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7b724249b3b5be/Documentos/Secretaria - Documentos/Finanças/"/>
    </mc:Choice>
  </mc:AlternateContent>
  <xr:revisionPtr revIDLastSave="8340" documentId="8_{5621DBFD-69CF-4DEB-85AB-427AA7C15482}" xr6:coauthVersionLast="47" xr6:coauthVersionMax="47" xr10:uidLastSave="{B30EC3DC-24E0-4828-9DCF-70471BA0F38F}"/>
  <bookViews>
    <workbookView xWindow="-108" yWindow="-108" windowWidth="23256" windowHeight="12456" xr2:uid="{FC731A61-F5EB-40C9-B37C-95831F52766A}"/>
  </bookViews>
  <sheets>
    <sheet name="ORDINARIOS" sheetId="7" r:id="rId1"/>
    <sheet name="EXTRAORDINARIOS" sheetId="8" r:id="rId2"/>
    <sheet name="BIOENERGIA" sheetId="9" r:id="rId3"/>
    <sheet name="Base Ordinarios" sheetId="1" r:id="rId4"/>
    <sheet name="Base Extraordinarios" sheetId="2" r:id="rId5"/>
    <sheet name="Base Bioenergia" sheetId="4" r:id="rId6"/>
  </sheets>
  <definedNames>
    <definedName name="_xlnm._FilterDatabase" localSheetId="5" hidden="1">'Base Bioenergia'!$A$1:$E$98</definedName>
    <definedName name="_xlnm._FilterDatabase" localSheetId="4" hidden="1">'Base Extraordinarios'!$A$1:$F$216</definedName>
    <definedName name="_xlnm._FilterDatabase" localSheetId="3" hidden="1">'Base Ordinarios'!$A$1:$G$2353</definedName>
  </definedNames>
  <calcPr calcId="191029"/>
  <pivotCaches>
    <pivotCache cacheId="1" r:id="rId7"/>
    <pivotCache cacheId="2" r:id="rId8"/>
    <pivotCache cacheId="1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L4" i="9" s="1"/>
  <c r="K5" i="9"/>
  <c r="L5" i="9" s="1"/>
  <c r="K6" i="9"/>
  <c r="L6" i="9" s="1"/>
  <c r="K7" i="9"/>
  <c r="L7" i="9" s="1"/>
  <c r="K8" i="9"/>
  <c r="L8" i="9" s="1"/>
  <c r="K9" i="9"/>
  <c r="L9" i="9" s="1"/>
  <c r="K10" i="9"/>
  <c r="L10" i="9" s="1"/>
  <c r="K11" i="9"/>
  <c r="L11" i="9" s="1"/>
  <c r="K12" i="9"/>
  <c r="L12" i="9" s="1"/>
  <c r="K3" i="9"/>
  <c r="L3" i="9" s="1"/>
  <c r="I12" i="9"/>
  <c r="J12" i="9" s="1"/>
  <c r="I11" i="9"/>
  <c r="J11" i="9" s="1"/>
  <c r="I4" i="9"/>
  <c r="J4" i="9" s="1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3" i="9"/>
  <c r="J3" i="9" s="1"/>
  <c r="L5" i="8"/>
  <c r="L6" i="8"/>
  <c r="L7" i="8"/>
  <c r="L8" i="8"/>
  <c r="L9" i="8"/>
  <c r="L10" i="8"/>
  <c r="L11" i="8"/>
  <c r="L12" i="8"/>
  <c r="L13" i="8"/>
  <c r="L3" i="8"/>
  <c r="J13" i="8"/>
  <c r="J4" i="8"/>
  <c r="J5" i="8"/>
  <c r="J6" i="8"/>
  <c r="J7" i="8"/>
  <c r="J8" i="8"/>
  <c r="J9" i="8"/>
  <c r="J10" i="8"/>
  <c r="J11" i="8"/>
  <c r="J12" i="8"/>
  <c r="J3" i="8"/>
  <c r="K4" i="7"/>
  <c r="L4" i="7" s="1"/>
  <c r="K5" i="7"/>
  <c r="L5" i="7" s="1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3" i="7"/>
  <c r="L3" i="7" s="1"/>
  <c r="I4" i="7"/>
  <c r="J4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15" i="7"/>
  <c r="J15" i="7" s="1"/>
  <c r="I3" i="7"/>
  <c r="J3" i="7" s="1"/>
  <c r="I13" i="8"/>
  <c r="I4" i="8"/>
  <c r="I5" i="8"/>
  <c r="I6" i="8"/>
  <c r="I7" i="8"/>
  <c r="I8" i="8"/>
  <c r="I9" i="8"/>
  <c r="I10" i="8"/>
  <c r="I11" i="8"/>
  <c r="I12" i="8"/>
  <c r="I3" i="8"/>
  <c r="K4" i="8" a="1"/>
  <c r="L4" i="8" s="1"/>
  <c r="K5" i="8" a="1"/>
  <c r="K6" i="8" a="1"/>
  <c r="K7" i="8" a="1"/>
  <c r="K8" i="8" a="1"/>
  <c r="K9" i="8" a="1"/>
  <c r="K10" i="8" a="1"/>
  <c r="K11" i="8" a="1"/>
  <c r="K12" i="8" a="1"/>
  <c r="K13" i="8" a="1"/>
  <c r="K3" i="8" a="1"/>
  <c r="G2355" i="1"/>
  <c r="F7" i="2"/>
  <c r="F6" i="2"/>
  <c r="H2234" i="1"/>
  <c r="G104" i="1"/>
  <c r="G456" i="1"/>
  <c r="G1557" i="1"/>
  <c r="G455" i="1"/>
  <c r="G389" i="1"/>
  <c r="G340" i="1"/>
  <c r="E83" i="4"/>
  <c r="F63" i="2"/>
  <c r="F62" i="2"/>
  <c r="E84" i="4"/>
  <c r="E170" i="4"/>
  <c r="G53" i="1"/>
  <c r="G57" i="1"/>
  <c r="G454" i="1"/>
  <c r="G387" i="1"/>
  <c r="G90" i="1"/>
  <c r="G1520" i="1"/>
  <c r="G1476" i="1"/>
  <c r="F34" i="2"/>
  <c r="F35" i="2"/>
  <c r="G1696" i="1"/>
  <c r="F28" i="2"/>
  <c r="G520" i="1"/>
  <c r="G444" i="1"/>
  <c r="G1553" i="1"/>
  <c r="G83" i="1"/>
  <c r="F4" i="2"/>
  <c r="F5" i="2"/>
  <c r="F56" i="2"/>
  <c r="F24" i="2"/>
  <c r="G1695" i="1"/>
  <c r="F16" i="2"/>
  <c r="F10" i="2"/>
  <c r="G1552" i="1"/>
  <c r="G1692" i="1"/>
  <c r="E77" i="4"/>
  <c r="G1693" i="1" l="1"/>
  <c r="G441" i="1"/>
  <c r="G1517" i="1"/>
  <c r="G459" i="1"/>
  <c r="G701" i="1"/>
  <c r="G460" i="1"/>
  <c r="G1554" i="1"/>
  <c r="G44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<sst xmlns="http://schemas.openxmlformats.org/spreadsheetml/2006/main" count="13433" uniqueCount="1176">
  <si>
    <t>IOF BTG</t>
  </si>
  <si>
    <t>Psicoterapia - Fabiana</t>
  </si>
  <si>
    <t>Massagem Elisa</t>
  </si>
  <si>
    <t>Reembolso Thomas</t>
  </si>
  <si>
    <t>Personal - Fred</t>
  </si>
  <si>
    <t>Reembolso Sul America Fred</t>
  </si>
  <si>
    <t>M3 Storage</t>
  </si>
  <si>
    <t>Serviços FBV</t>
  </si>
  <si>
    <t>Condominio Pascoal Vita</t>
  </si>
  <si>
    <t>Cilios Fabiana</t>
  </si>
  <si>
    <t>Tapeçaria Mâncio</t>
  </si>
  <si>
    <t>ECP</t>
  </si>
  <si>
    <t>Uber Thomas</t>
  </si>
  <si>
    <t>Thomas</t>
  </si>
  <si>
    <t>Mesada Thomas</t>
  </si>
  <si>
    <t>Mesada Elisa</t>
  </si>
  <si>
    <t>Front Point</t>
  </si>
  <si>
    <t>Massagem Fabiana</t>
  </si>
  <si>
    <t>Aulas Tênis Thomas</t>
  </si>
  <si>
    <t>Reembolso Sul America Thomas</t>
  </si>
  <si>
    <t>Ingressos Allianz</t>
  </si>
  <si>
    <t>Reembolso jantar - Thomas</t>
  </si>
  <si>
    <t>Chave Multlock</t>
  </si>
  <si>
    <t>Faxina FBV</t>
  </si>
  <si>
    <t>Faxina MF123</t>
  </si>
  <si>
    <t>Dermatologista Elisa</t>
  </si>
  <si>
    <t>Exame odontologico - Thomas</t>
  </si>
  <si>
    <t>Ventmear</t>
  </si>
  <si>
    <t>DATA</t>
  </si>
  <si>
    <t>DESCRIÇÃO</t>
  </si>
  <si>
    <t>CATEGORIA</t>
  </si>
  <si>
    <t>SUBCATEGORIA</t>
  </si>
  <si>
    <t>RESPONSÁVEL</t>
  </si>
  <si>
    <t>VALOR</t>
  </si>
  <si>
    <t>Diversos</t>
  </si>
  <si>
    <t>Custo banco</t>
  </si>
  <si>
    <t>Saúde</t>
  </si>
  <si>
    <t>Consulta/exame/tratamento</t>
  </si>
  <si>
    <t>BARONEZA</t>
  </si>
  <si>
    <t>Contas de consumo</t>
  </si>
  <si>
    <t>Energia elétrica</t>
  </si>
  <si>
    <t>Condomínio</t>
  </si>
  <si>
    <t>Fabiana</t>
  </si>
  <si>
    <t>Plano de Saúde</t>
  </si>
  <si>
    <t>CASA FERRAZ</t>
  </si>
  <si>
    <t>Empregados</t>
  </si>
  <si>
    <t>Maria</t>
  </si>
  <si>
    <t>Família</t>
  </si>
  <si>
    <t>Crianças</t>
  </si>
  <si>
    <t>Reembolsos</t>
  </si>
  <si>
    <t>Elisa</t>
  </si>
  <si>
    <t>Lazer/Bem-estar</t>
  </si>
  <si>
    <t>Cuidados pessoais</t>
  </si>
  <si>
    <t>Taxa condominial</t>
  </si>
  <si>
    <t>MF 123</t>
  </si>
  <si>
    <t>Esportes</t>
  </si>
  <si>
    <t>Treinos</t>
  </si>
  <si>
    <t>Fred</t>
  </si>
  <si>
    <t>Manutenção</t>
  </si>
  <si>
    <t>Financiamento</t>
  </si>
  <si>
    <t>Mensalidade Clube Hipico</t>
  </si>
  <si>
    <t>Outros</t>
  </si>
  <si>
    <t>Motoboy</t>
  </si>
  <si>
    <t>Buscar notebook</t>
  </si>
  <si>
    <t>Claro</t>
  </si>
  <si>
    <t>Depósito móveis</t>
  </si>
  <si>
    <t>Veículos</t>
  </si>
  <si>
    <t>Monitoramento</t>
  </si>
  <si>
    <t>HRV</t>
  </si>
  <si>
    <t>Vivo</t>
  </si>
  <si>
    <t>Estudos</t>
  </si>
  <si>
    <t>PUC</t>
  </si>
  <si>
    <t>Terapia/psicologia</t>
  </si>
  <si>
    <t>Ar condicionado</t>
  </si>
  <si>
    <t>Moradia</t>
  </si>
  <si>
    <t>Clubes</t>
  </si>
  <si>
    <t>Alto dos Pinheiros</t>
  </si>
  <si>
    <t>Millie</t>
  </si>
  <si>
    <t>Cuidados Millie</t>
  </si>
  <si>
    <t>IPTU</t>
  </si>
  <si>
    <t>UOL</t>
  </si>
  <si>
    <t>Mercado</t>
  </si>
  <si>
    <t>Jardineiro/piscineiro</t>
  </si>
  <si>
    <t>IPVA</t>
  </si>
  <si>
    <t>Serviços Adriano</t>
  </si>
  <si>
    <t>Mesada</t>
  </si>
  <si>
    <t>Imobiliaria</t>
  </si>
  <si>
    <t>Bossa Nova</t>
  </si>
  <si>
    <t>Consórcio</t>
  </si>
  <si>
    <t>Porto Seguro</t>
  </si>
  <si>
    <t>FGV</t>
  </si>
  <si>
    <t>Estacionamento</t>
  </si>
  <si>
    <t>BB e chave</t>
  </si>
  <si>
    <t>Água</t>
  </si>
  <si>
    <t>Seguro</t>
  </si>
  <si>
    <t>Reembolso Sul America Fabiana</t>
  </si>
  <si>
    <t>Pix</t>
  </si>
  <si>
    <t>Reativação email</t>
  </si>
  <si>
    <t>Passaporte/aeroporto</t>
  </si>
  <si>
    <t>Dentista</t>
  </si>
  <si>
    <t>Manutençao Cortina</t>
  </si>
  <si>
    <t>Manutençao forno</t>
  </si>
  <si>
    <t>Bandeja</t>
  </si>
  <si>
    <t>Droga Raia</t>
  </si>
  <si>
    <t>Paulo Humberg</t>
  </si>
  <si>
    <t>Key Capital</t>
  </si>
  <si>
    <t>Kopenhagen</t>
  </si>
  <si>
    <t>Compras/reformas</t>
  </si>
  <si>
    <t>Controle remoto</t>
  </si>
  <si>
    <t>Projetos</t>
  </si>
  <si>
    <t>Transferência</t>
  </si>
  <si>
    <t>Dr. Fabio Zimut</t>
  </si>
  <si>
    <t>Lente intraocular</t>
  </si>
  <si>
    <t>NATINGUI - 5B</t>
  </si>
  <si>
    <t>Içamento mesa</t>
  </si>
  <si>
    <t>Pedras lavabo</t>
  </si>
  <si>
    <t>Despesas financeiras</t>
  </si>
  <si>
    <t>Valmir transporte - SP/FBV/Baroneza</t>
  </si>
  <si>
    <t>Relógio</t>
  </si>
  <si>
    <t>Venda</t>
  </si>
  <si>
    <t>Instalacao papel parede closet</t>
  </si>
  <si>
    <t>Bandeja acrilico</t>
  </si>
  <si>
    <t>Bioenergia</t>
  </si>
  <si>
    <t>Suprimentos</t>
  </si>
  <si>
    <t>Vallend</t>
  </si>
  <si>
    <t>Aluguel</t>
  </si>
  <si>
    <t>Faxineira</t>
  </si>
  <si>
    <t>PIS/COFINS</t>
  </si>
  <si>
    <t>ICMS</t>
  </si>
  <si>
    <t>Energia eletrica</t>
  </si>
  <si>
    <t>Contabilidade</t>
  </si>
  <si>
    <t>Imóvel</t>
  </si>
  <si>
    <t>Funcionários</t>
  </si>
  <si>
    <t>Emy</t>
  </si>
  <si>
    <t>Viagens</t>
  </si>
  <si>
    <t>Material escritório</t>
  </si>
  <si>
    <t>CLM</t>
  </si>
  <si>
    <t>Prestação serviços</t>
  </si>
  <si>
    <t>Crédito</t>
  </si>
  <si>
    <t>Transferência Fred</t>
  </si>
  <si>
    <t>Salário</t>
  </si>
  <si>
    <t>B Fremder</t>
  </si>
  <si>
    <t>Passagens Palmas-TO</t>
  </si>
  <si>
    <t>Tributos</t>
  </si>
  <si>
    <t>DARF</t>
  </si>
  <si>
    <t>DARE</t>
  </si>
  <si>
    <t>Bermuda Thomas</t>
  </si>
  <si>
    <t>Farmácia Fred</t>
  </si>
  <si>
    <t>Docusign</t>
  </si>
  <si>
    <t>Plano anual</t>
  </si>
  <si>
    <t>Drogasil</t>
  </si>
  <si>
    <t>Arpoador Hoteis</t>
  </si>
  <si>
    <t>Imposto Correios</t>
  </si>
  <si>
    <t>Nogueira Supermercado</t>
  </si>
  <si>
    <t>Sem Parar</t>
  </si>
  <si>
    <t>Presente casamento - Prisco</t>
  </si>
  <si>
    <t>Multa - Smart preto</t>
  </si>
  <si>
    <t>Multas - Smart vermelho</t>
  </si>
  <si>
    <t>Vinhos</t>
  </si>
  <si>
    <t>José Angel Seoane</t>
  </si>
  <si>
    <t>Casa do Carregador</t>
  </si>
  <si>
    <t>Protesto Santana do Parnaiba</t>
  </si>
  <si>
    <t>Salete - Poço artesiano</t>
  </si>
  <si>
    <t>Transporte Gadelha</t>
  </si>
  <si>
    <t>Victor Franca</t>
  </si>
  <si>
    <t>IPVA Mercedes</t>
  </si>
  <si>
    <t>IPVA CRV</t>
  </si>
  <si>
    <t>Lentes - Elisa</t>
  </si>
  <si>
    <t>Lava-jato</t>
  </si>
  <si>
    <t>Carregador bateria - Smarts</t>
  </si>
  <si>
    <t>Joabe</t>
  </si>
  <si>
    <t>Wise</t>
  </si>
  <si>
    <t>Impostos</t>
  </si>
  <si>
    <t>Carrinho eletrico</t>
  </si>
  <si>
    <t>Acompanhamento tecnico Ariela</t>
  </si>
  <si>
    <t>Motos</t>
  </si>
  <si>
    <t>Sinal</t>
  </si>
  <si>
    <t>Mesa Dunelli</t>
  </si>
  <si>
    <t>Mudança escritório</t>
  </si>
  <si>
    <t>Transporte móveis</t>
  </si>
  <si>
    <t>Cooktop Frigelar</t>
  </si>
  <si>
    <t>Vintage Riders</t>
  </si>
  <si>
    <t>Multa Audi</t>
  </si>
  <si>
    <t>Multas</t>
  </si>
  <si>
    <t>Noura Salim - Ombrelone</t>
  </si>
  <si>
    <t>Audi 2025</t>
  </si>
  <si>
    <t>Comark</t>
  </si>
  <si>
    <t>Chaveiro</t>
  </si>
  <si>
    <t>Cartório</t>
  </si>
  <si>
    <t>Nivus</t>
  </si>
  <si>
    <t>Despachante</t>
  </si>
  <si>
    <t>Taxa regularização poço Baroneza</t>
  </si>
  <si>
    <t>Instalador quadro</t>
  </si>
  <si>
    <t>Reparo Nivus</t>
  </si>
  <si>
    <t>Eletrica/hidráulica</t>
  </si>
  <si>
    <t>Transporte</t>
  </si>
  <si>
    <t>Transferência Audi</t>
  </si>
  <si>
    <t>Juros/multa dezembro</t>
  </si>
  <si>
    <t>Lincon - reparos</t>
  </si>
  <si>
    <t>Seguros</t>
  </si>
  <si>
    <t>ITCMD</t>
  </si>
  <si>
    <t>Tec Paper</t>
  </si>
  <si>
    <t>You Connection</t>
  </si>
  <si>
    <t>Voa Arquitetura</t>
  </si>
  <si>
    <t>Reparo Smart vermelho</t>
  </si>
  <si>
    <t>Quinto Andar</t>
  </si>
  <si>
    <t>Lucia Chen - aprovação prefeitura</t>
  </si>
  <si>
    <t>Audi antigo</t>
  </si>
  <si>
    <t>Vistoria de blindagem</t>
  </si>
  <si>
    <t>Vistoria de transferencia</t>
  </si>
  <si>
    <t>Conserto bomba piscina</t>
  </si>
  <si>
    <t>Hortisabor</t>
  </si>
  <si>
    <t>Cartorio - multa</t>
  </si>
  <si>
    <t>Seguro FBV</t>
  </si>
  <si>
    <t>Financiamento Bradesco</t>
  </si>
  <si>
    <t>Gás</t>
  </si>
  <si>
    <t>Copa</t>
  </si>
  <si>
    <t>Placa Humberg  Time Offices</t>
  </si>
  <si>
    <t>Impressao fotos</t>
  </si>
  <si>
    <t>Consulta Fabi</t>
  </si>
  <si>
    <t>Varredura eletronica</t>
  </si>
  <si>
    <t>Suplementos Fabiana</t>
  </si>
  <si>
    <t>Essentia - medicamento Fabi</t>
  </si>
  <si>
    <t xml:space="preserve">Agnaelson </t>
  </si>
  <si>
    <t>Ubirajara Soares</t>
  </si>
  <si>
    <t>Laura Kaylane</t>
  </si>
  <si>
    <t>Terapia - Elisa</t>
  </si>
  <si>
    <t>Tenez Pro Shop</t>
  </si>
  <si>
    <t>Banca do Tenista</t>
  </si>
  <si>
    <t>Gilcilanio - espelho lavabo</t>
  </si>
  <si>
    <t xml:space="preserve">Wellington </t>
  </si>
  <si>
    <t>Batedor mixer</t>
  </si>
  <si>
    <t>Lavagem Audi</t>
  </si>
  <si>
    <t>Claro - negociação dez/jan/março</t>
  </si>
  <si>
    <t>Pix Dimas</t>
  </si>
  <si>
    <t>Villa Nova - Bordados SP</t>
  </si>
  <si>
    <t>Shopper</t>
  </si>
  <si>
    <t>Despachante transferência</t>
  </si>
  <si>
    <t>Capacete no aeroporto</t>
  </si>
  <si>
    <t>HTV</t>
  </si>
  <si>
    <t>Santa Efigenia</t>
  </si>
  <si>
    <t>elisa</t>
  </si>
  <si>
    <t>TI</t>
  </si>
  <si>
    <t>Suporte</t>
  </si>
  <si>
    <t>Varredura eletrônica</t>
  </si>
  <si>
    <t>Receita Elisa</t>
  </si>
  <si>
    <t>Placa Humberg  porta</t>
  </si>
  <si>
    <t>Ginecologista Fabi</t>
  </si>
  <si>
    <t>Jardim + material piscina</t>
  </si>
  <si>
    <t>Porsche 911</t>
  </si>
  <si>
    <t>Porsche Carrera</t>
  </si>
  <si>
    <t>Motor persiana</t>
  </si>
  <si>
    <t>Pagamento casa</t>
  </si>
  <si>
    <t xml:space="preserve">IR </t>
  </si>
  <si>
    <t>Ganho de capital BB</t>
  </si>
  <si>
    <t>Ganho de capital Agribrasil</t>
  </si>
  <si>
    <t>Cartorio Fabiana VRZ</t>
  </si>
  <si>
    <t>Saldo Marcel</t>
  </si>
  <si>
    <t>Sinal Marcel</t>
  </si>
  <si>
    <t>Mensalidade HRV</t>
  </si>
  <si>
    <t>Mensalidade Nivus</t>
  </si>
  <si>
    <t>Mensalidade Smart Preto</t>
  </si>
  <si>
    <t>Mensalidade Smart Vermelho</t>
  </si>
  <si>
    <t>Mensalidade Mercdes</t>
  </si>
  <si>
    <t>Estacionamento HRV</t>
  </si>
  <si>
    <t>Estacionamento Smart Preto</t>
  </si>
  <si>
    <t>Estacionamento Mercedes</t>
  </si>
  <si>
    <t>Pedágio Mercedes</t>
  </si>
  <si>
    <t>Mensalidade Porsche 911</t>
  </si>
  <si>
    <t>Mensalidade Audi 2025</t>
  </si>
  <si>
    <t>Mensalidade Audi antigo</t>
  </si>
  <si>
    <t>Pedágio Porsche 911</t>
  </si>
  <si>
    <t>Estacionamento Nivus</t>
  </si>
  <si>
    <t>Pedágio Nivus</t>
  </si>
  <si>
    <t>Estacionamento Audi antigo</t>
  </si>
  <si>
    <t>Pedágio Audi antigo</t>
  </si>
  <si>
    <t>Pedágio HRV</t>
  </si>
  <si>
    <t>Cursos</t>
  </si>
  <si>
    <t>Genera</t>
  </si>
  <si>
    <t>Jan</t>
  </si>
  <si>
    <t>Feb</t>
  </si>
  <si>
    <t>Mar</t>
  </si>
  <si>
    <t>Sum of VALOR</t>
  </si>
  <si>
    <t>IPVA - Smart preto</t>
  </si>
  <si>
    <t>IPVA - Smart vermelho</t>
  </si>
  <si>
    <t>IPVA Audi antigo</t>
  </si>
  <si>
    <t>IPVA Nivus</t>
  </si>
  <si>
    <t>IPVA Porsche 911</t>
  </si>
  <si>
    <t>IPTU 5B</t>
  </si>
  <si>
    <t>IPTU Baroneza</t>
  </si>
  <si>
    <t>IPTU FBV</t>
  </si>
  <si>
    <t>IPTU Mario Ferraz</t>
  </si>
  <si>
    <t>IPTU MF123</t>
  </si>
  <si>
    <t>Exames geneticos</t>
  </si>
  <si>
    <t>Dr. Marcelo - pendente Abr/25</t>
  </si>
  <si>
    <t>Ticketmaster</t>
  </si>
  <si>
    <t>Ticketsports</t>
  </si>
  <si>
    <t xml:space="preserve">Arena Allianz </t>
  </si>
  <si>
    <t>Mounjaro</t>
  </si>
  <si>
    <t>IPTU - Pascoal Vita</t>
  </si>
  <si>
    <t>Reembolso Sulamerica Elisa</t>
  </si>
  <si>
    <t>Livros</t>
  </si>
  <si>
    <t>Assessoria Linkedin</t>
  </si>
  <si>
    <t>Avaliação terreno</t>
  </si>
  <si>
    <t>Le Creuset</t>
  </si>
  <si>
    <t>Entreposto</t>
  </si>
  <si>
    <t>Treinador tênis ECP</t>
  </si>
  <si>
    <t>Seguro Nivus</t>
  </si>
  <si>
    <t>Seguro Audi</t>
  </si>
  <si>
    <t>Leroy Merlin</t>
  </si>
  <si>
    <t>Microsoft</t>
  </si>
  <si>
    <t>Licença software</t>
  </si>
  <si>
    <t>Ferragens Floresta</t>
  </si>
  <si>
    <t>Samsung</t>
  </si>
  <si>
    <t>Presente</t>
  </si>
  <si>
    <t>Cataoernestof</t>
  </si>
  <si>
    <t>Restaurantes</t>
  </si>
  <si>
    <t>Praia Das Tartarugas</t>
  </si>
  <si>
    <t>Apple</t>
  </si>
  <si>
    <t>Favoritto Golf</t>
  </si>
  <si>
    <t>Jc Lisboa</t>
  </si>
  <si>
    <t>Farmácia Indiana</t>
  </si>
  <si>
    <t>Ccl Comercial Carvalh</t>
  </si>
  <si>
    <t>Sinesia Karol Traco Ba</t>
  </si>
  <si>
    <t>Auto Posto Da Praca Tr</t>
  </si>
  <si>
    <t>Barthelemy</t>
  </si>
  <si>
    <t>Wemerson De Jesus Da</t>
  </si>
  <si>
    <t>Lua Verde Saladeria</t>
  </si>
  <si>
    <t>Estacquadrado</t>
  </si>
  <si>
    <t>Santa Monicacafe Gourm</t>
  </si>
  <si>
    <t>Fly Café</t>
  </si>
  <si>
    <t>Portao 7 Filial 02</t>
  </si>
  <si>
    <t>L S Food Serviços</t>
  </si>
  <si>
    <t>Jose Adelson De Sant</t>
  </si>
  <si>
    <t>Clinica Dr Liaw</t>
  </si>
  <si>
    <t>Olea Cj Restaurante Lt</t>
  </si>
  <si>
    <t>Rubaiyat</t>
  </si>
  <si>
    <t>Gallerist</t>
  </si>
  <si>
    <t>Track&amp;field</t>
  </si>
  <si>
    <t>Intimissimi</t>
  </si>
  <si>
    <t>Vix Varejo</t>
  </si>
  <si>
    <t>Pão De Açúcar</t>
  </si>
  <si>
    <t>Jccommerce</t>
  </si>
  <si>
    <t>Mercado Livre</t>
  </si>
  <si>
    <t>Allianz Segu</t>
  </si>
  <si>
    <t>Combustível</t>
  </si>
  <si>
    <t>C M Auto Posto</t>
  </si>
  <si>
    <t>Castelinho Da Pamonha</t>
  </si>
  <si>
    <t>Cha Cha</t>
  </si>
  <si>
    <t>Armazém Boa Vista</t>
  </si>
  <si>
    <t>Tokio Marine</t>
  </si>
  <si>
    <t>Uber/taxi</t>
  </si>
  <si>
    <t>Uber</t>
  </si>
  <si>
    <t>Latine Pad Express</t>
  </si>
  <si>
    <t>Celio</t>
  </si>
  <si>
    <t>Liva Bowls</t>
  </si>
  <si>
    <t>Casakoacafese</t>
  </si>
  <si>
    <t>Bacio Di Latte</t>
  </si>
  <si>
    <t>Rc Ink Restaurante L</t>
  </si>
  <si>
    <t>Allpark Empreendimento</t>
  </si>
  <si>
    <t>Boutique Dos Eletros</t>
  </si>
  <si>
    <t>Ritu</t>
  </si>
  <si>
    <t>Caruso</t>
  </si>
  <si>
    <t>Saint Chico Matriz</t>
  </si>
  <si>
    <t>Net Park</t>
  </si>
  <si>
    <t>Austral Bgb Comercio E</t>
  </si>
  <si>
    <t>Centauro</t>
  </si>
  <si>
    <t>Ofner</t>
  </si>
  <si>
    <t>Seguro Mercedes</t>
  </si>
  <si>
    <t>Cadu Ramos Fisioterapi</t>
  </si>
  <si>
    <t>Ifood</t>
  </si>
  <si>
    <t>Restaurante Santa Maria</t>
  </si>
  <si>
    <t>Rufino's</t>
  </si>
  <si>
    <t>Hous Coffee</t>
  </si>
  <si>
    <t>Air France</t>
  </si>
  <si>
    <t>Airbnb</t>
  </si>
  <si>
    <t>Lounge Coffee</t>
  </si>
  <si>
    <t>Le Jazz</t>
  </si>
  <si>
    <t>Vmt Telecomunicações</t>
  </si>
  <si>
    <t>Lust Beauty</t>
  </si>
  <si>
    <t>Gapseg Servicos</t>
  </si>
  <si>
    <t>Santa Maria Emporio</t>
  </si>
  <si>
    <t>Distribuidora</t>
  </si>
  <si>
    <t>Tun Goomer Montoza Sush</t>
  </si>
  <si>
    <t>Drogaria São Paulo</t>
  </si>
  <si>
    <t>Mesa Café</t>
  </si>
  <si>
    <t>Mr Baker Superfoods</t>
  </si>
  <si>
    <t>Posto Servico Cambui</t>
  </si>
  <si>
    <t>Casa Fortunata Restau</t>
  </si>
  <si>
    <t>Estacionamento Jk Iguate</t>
  </si>
  <si>
    <t>Pães E Doces Beija Flo</t>
  </si>
  <si>
    <t>Adolfo Tadacow</t>
  </si>
  <si>
    <t>Clube Dos 50</t>
  </si>
  <si>
    <t>Swikly Consensio B</t>
  </si>
  <si>
    <t>Tds Piedade</t>
  </si>
  <si>
    <t>Auto Posto Saco Da Ri</t>
  </si>
  <si>
    <t>Gastromar Solucoes Gas</t>
  </si>
  <si>
    <t>Punto Divino Ristorant</t>
  </si>
  <si>
    <t>Armazém Da Cachaca</t>
  </si>
  <si>
    <t>Casa Turquesa Planeta</t>
  </si>
  <si>
    <t>Arte Mandala Atelier</t>
  </si>
  <si>
    <t>Super Mimos Presentes</t>
  </si>
  <si>
    <t>Manoela Da Silva</t>
  </si>
  <si>
    <t>Alexandre Silva</t>
  </si>
  <si>
    <t>Tudo Da Roca</t>
  </si>
  <si>
    <t>Grupo Batistella</t>
  </si>
  <si>
    <t>G Mkt Delivery</t>
  </si>
  <si>
    <t>La Fresca Comercio De</t>
  </si>
  <si>
    <t>Emporio Do Tenista</t>
  </si>
  <si>
    <t>R2mp Lolla Serviços De</t>
  </si>
  <si>
    <t>Mig Park Estacionamento</t>
  </si>
  <si>
    <t>Espaco A Mario Ferra</t>
  </si>
  <si>
    <t>Rhino</t>
  </si>
  <si>
    <t>Brioche Doree</t>
  </si>
  <si>
    <t>Netflix</t>
  </si>
  <si>
    <t>Le Grand Cafe</t>
  </si>
  <si>
    <t>Urban Outfitters 250</t>
  </si>
  <si>
    <t>Costadoro Social C</t>
  </si>
  <si>
    <t>Ratp</t>
  </si>
  <si>
    <t>Malou Taxi</t>
  </si>
  <si>
    <t>Le Bon Marche</t>
  </si>
  <si>
    <t>Newrest Wagons Lits</t>
  </si>
  <si>
    <t>Pds Transports</t>
  </si>
  <si>
    <t>Le Tremplin</t>
  </si>
  <si>
    <t>OAB</t>
  </si>
  <si>
    <t xml:space="preserve">Anuidade </t>
  </si>
  <si>
    <t>Sncf</t>
  </si>
  <si>
    <t>Localiza</t>
  </si>
  <si>
    <t>Mailaib3lgy</t>
  </si>
  <si>
    <t>Fs Iguatemi Sp</t>
  </si>
  <si>
    <t>Farfetch</t>
  </si>
  <si>
    <t>Studio W Cabeleireiros</t>
  </si>
  <si>
    <t>Link Animale Iguatemi</t>
  </si>
  <si>
    <t>Rlg Do Brasil Varejo L</t>
  </si>
  <si>
    <t>Bistro Otico Comercio</t>
  </si>
  <si>
    <t>Polo Ralph Lauren</t>
  </si>
  <si>
    <t>Appmax</t>
  </si>
  <si>
    <t>Vindi</t>
  </si>
  <si>
    <t>Dethie Diop</t>
  </si>
  <si>
    <t>Rescisão Quinto Andar</t>
  </si>
  <si>
    <t>Pix Pagarme</t>
  </si>
  <si>
    <t>Pix Eliseu</t>
  </si>
  <si>
    <t>Pix Xavier</t>
  </si>
  <si>
    <t>Henrique</t>
  </si>
  <si>
    <t>Pix Jessica</t>
  </si>
  <si>
    <t>Pix Gildo</t>
  </si>
  <si>
    <t>Mentoria RV</t>
  </si>
  <si>
    <t>Pix Mercado</t>
  </si>
  <si>
    <t>Mundo Do Enxoval</t>
  </si>
  <si>
    <t>Intercontinental Ge</t>
  </si>
  <si>
    <t>Geneva</t>
  </si>
  <si>
    <t>Max</t>
  </si>
  <si>
    <t>Terminal Ii Oeste</t>
  </si>
  <si>
    <t>Aero Acai</t>
  </si>
  <si>
    <t>Taxi</t>
  </si>
  <si>
    <t>Palmas</t>
  </si>
  <si>
    <t>Latam Airlines</t>
  </si>
  <si>
    <t>Whitestorm Courc</t>
  </si>
  <si>
    <t>Beer Station</t>
  </si>
  <si>
    <t>Whoosh Br Al Patinetes</t>
  </si>
  <si>
    <t>Rjr Alimentacoes L</t>
  </si>
  <si>
    <t>Ig Caflisandro</t>
  </si>
  <si>
    <t>Guarucoop</t>
  </si>
  <si>
    <t>Camisa Augusto</t>
  </si>
  <si>
    <t>Cantaloup</t>
  </si>
  <si>
    <t>Park Zone</t>
  </si>
  <si>
    <t>C&amp;a</t>
  </si>
  <si>
    <t>Vacina</t>
  </si>
  <si>
    <t>Alta Sp Domiciliar</t>
  </si>
  <si>
    <t>Israel Silva</t>
  </si>
  <si>
    <t>Stchico</t>
  </si>
  <si>
    <t>Conveniencia</t>
  </si>
  <si>
    <t>Auto Posto Jardim</t>
  </si>
  <si>
    <t>La Tambouille</t>
  </si>
  <si>
    <t>Jorge Taxi</t>
  </si>
  <si>
    <t>Galeto Leblon</t>
  </si>
  <si>
    <t>Momo Gelato</t>
  </si>
  <si>
    <t>Cicero Rodrigues Perei</t>
  </si>
  <si>
    <t>Nativoo Beach</t>
  </si>
  <si>
    <t>Drogaria Tambau</t>
  </si>
  <si>
    <t>Saulotaxi</t>
  </si>
  <si>
    <t>Sushi Vaz</t>
  </si>
  <si>
    <t>Italia</t>
  </si>
  <si>
    <t>99</t>
  </si>
  <si>
    <t>Gastro Distribuicao</t>
  </si>
  <si>
    <t>Drogasmil</t>
  </si>
  <si>
    <t>Jim.com* Thiago Cicer</t>
  </si>
  <si>
    <t>Sao Sebastiao Do Rio</t>
  </si>
  <si>
    <t>Geneton</t>
  </si>
  <si>
    <t>Pipocadivina</t>
  </si>
  <si>
    <t>Sebastiaoalencar</t>
  </si>
  <si>
    <t>Zig Rio Open 2026</t>
  </si>
  <si>
    <t>Fila</t>
  </si>
  <si>
    <t>Pop</t>
  </si>
  <si>
    <t>Drogaria Pacheco</t>
  </si>
  <si>
    <t>Loja</t>
  </si>
  <si>
    <t>Wilson Salomon</t>
  </si>
  <si>
    <t>Alex Pereira Taxi</t>
  </si>
  <si>
    <t>Walace Rodrigues To</t>
  </si>
  <si>
    <t>Jorge Roberto Guima</t>
  </si>
  <si>
    <t>Personalizado Sonhos</t>
  </si>
  <si>
    <t>Connecttaxis</t>
  </si>
  <si>
    <t>Sua Academia</t>
  </si>
  <si>
    <t>Napoleon</t>
  </si>
  <si>
    <t>Bottega Cucina</t>
  </si>
  <si>
    <t>Chocolateria David</t>
  </si>
  <si>
    <t>Santa Barbara</t>
  </si>
  <si>
    <t>Lvm Comercio</t>
  </si>
  <si>
    <t>Iprimesp</t>
  </si>
  <si>
    <t>Icon Aviation</t>
  </si>
  <si>
    <t>5asec</t>
  </si>
  <si>
    <t>Drogaria Iguatemi</t>
  </si>
  <si>
    <t>Alexandre</t>
  </si>
  <si>
    <t>Jetro Marques</t>
  </si>
  <si>
    <t>Zara</t>
  </si>
  <si>
    <t>Pati Piva</t>
  </si>
  <si>
    <t>Rocca Comercio E Imp</t>
  </si>
  <si>
    <t>One Hair Concept</t>
  </si>
  <si>
    <t>Kosushi</t>
  </si>
  <si>
    <t>348 Jardim Europa</t>
  </si>
  <si>
    <t>Hotels.com</t>
  </si>
  <si>
    <t>Latam Miami</t>
  </si>
  <si>
    <t>Air France - Paris</t>
  </si>
  <si>
    <t>Gol - Miami</t>
  </si>
  <si>
    <t>Gol - Porto Seguro</t>
  </si>
  <si>
    <t>Latam - Miami</t>
  </si>
  <si>
    <t>Elementopuro</t>
  </si>
  <si>
    <t>London</t>
  </si>
  <si>
    <t>Empório Bud</t>
  </si>
  <si>
    <t>Estok</t>
  </si>
  <si>
    <t>Sinha Casa E Conceito</t>
  </si>
  <si>
    <t>Roissy25516born1</t>
  </si>
  <si>
    <t>Cartier</t>
  </si>
  <si>
    <t>Cafe Balsac</t>
  </si>
  <si>
    <t>Posto Monte Carlo</t>
  </si>
  <si>
    <t>Pmphbdrocastello Branc</t>
  </si>
  <si>
    <t>Clube Hipico</t>
  </si>
  <si>
    <t>Panasonic Avionics Cor</t>
  </si>
  <si>
    <t>Jose Cassio Compri</t>
  </si>
  <si>
    <t>Wandda S Fashion Hair</t>
  </si>
  <si>
    <t>Auto Posto Estoril</t>
  </si>
  <si>
    <t>Lies Pizza Bar</t>
  </si>
  <si>
    <t>Claivith Da Silva</t>
  </si>
  <si>
    <t>Cartpanda*ebooksreceit</t>
  </si>
  <si>
    <t>Affiliatespay Cltu</t>
  </si>
  <si>
    <t>Vileve A Fornada Itai</t>
  </si>
  <si>
    <t>St Marche</t>
  </si>
  <si>
    <t>Jannarelli</t>
  </si>
  <si>
    <t>Padoca Do Maní</t>
  </si>
  <si>
    <t>Sandropontes</t>
  </si>
  <si>
    <t>Cristal Pizza</t>
  </si>
  <si>
    <t>Mg Park</t>
  </si>
  <si>
    <t>Jos</t>
  </si>
  <si>
    <t>Nova Pao Kent</t>
  </si>
  <si>
    <t>Itaim</t>
  </si>
  <si>
    <t>Edson Salvador</t>
  </si>
  <si>
    <t>Luiz Henrique</t>
  </si>
  <si>
    <t>Pop 12mar 19h14min</t>
  </si>
  <si>
    <t>348 Vila Olimpia</t>
  </si>
  <si>
    <t>Rotary Park Estacionamen</t>
  </si>
  <si>
    <t>Skina 1914</t>
  </si>
  <si>
    <t>Botica Biofarma</t>
  </si>
  <si>
    <t>Zahle Comercio De</t>
  </si>
  <si>
    <t>Almah Alimentos</t>
  </si>
  <si>
    <t>Dougtx05</t>
  </si>
  <si>
    <t>Helder</t>
  </si>
  <si>
    <t>São Bento Itaim</t>
  </si>
  <si>
    <t>Hotel Miami</t>
  </si>
  <si>
    <t>Ritz</t>
  </si>
  <si>
    <t>Auto Socorro 24 Horas</t>
  </si>
  <si>
    <t>Mfo2 Steak House</t>
  </si>
  <si>
    <t>Ricardo Rogerio De M</t>
  </si>
  <si>
    <t>Farmácia Central</t>
  </si>
  <si>
    <t>Active Auto Posto</t>
  </si>
  <si>
    <t>Sdb Comercio De Produ</t>
  </si>
  <si>
    <t>Life Extension</t>
  </si>
  <si>
    <t>Nagayama</t>
  </si>
  <si>
    <t>Raimundotertodos</t>
  </si>
  <si>
    <t>Sdi Park Estacionamento</t>
  </si>
  <si>
    <t>Ebay</t>
  </si>
  <si>
    <t>Crp Joao Cachoeira</t>
  </si>
  <si>
    <t>fred</t>
  </si>
  <si>
    <t>Latam Upgrade - Miami</t>
  </si>
  <si>
    <t>AI</t>
  </si>
  <si>
    <t>Claude Ai Subscription</t>
  </si>
  <si>
    <t>Carpaccio Inc</t>
  </si>
  <si>
    <t>Cvs Pharmacy</t>
  </si>
  <si>
    <t>Carolina De Mello</t>
  </si>
  <si>
    <t>Hard Rock</t>
  </si>
  <si>
    <t>Tennis Plaza</t>
  </si>
  <si>
    <t>Maman Aventura</t>
  </si>
  <si>
    <t>Old Navy Us 5888</t>
  </si>
  <si>
    <t>Mango</t>
  </si>
  <si>
    <t>Apple Store</t>
  </si>
  <si>
    <t>Cellphone Acces</t>
  </si>
  <si>
    <t>The Cheesecake Factory</t>
  </si>
  <si>
    <t>Sq Imperial Moto Av</t>
  </si>
  <si>
    <t>Moncler</t>
  </si>
  <si>
    <t>Neiman Marcus</t>
  </si>
  <si>
    <t>Avenue</t>
  </si>
  <si>
    <t>Bal Harbour</t>
  </si>
  <si>
    <t>Ls Lucky Cigar Surfsi</t>
  </si>
  <si>
    <t>Vpneparkingsolutions</t>
  </si>
  <si>
    <t>Starbucks Store 19090</t>
  </si>
  <si>
    <t>Target</t>
  </si>
  <si>
    <t>By Call Me Gaby</t>
  </si>
  <si>
    <t>Venchi Aventura Llc</t>
  </si>
  <si>
    <t>Aventura Mall Vale</t>
  </si>
  <si>
    <t>Texaco</t>
  </si>
  <si>
    <t>Victoria's Secret</t>
  </si>
  <si>
    <t>Inmotion @mia 875</t>
  </si>
  <si>
    <t>Terminal Iii Desembarq</t>
  </si>
  <si>
    <t>Jaile</t>
  </si>
  <si>
    <t>Mensalidade Associação FBV</t>
  </si>
  <si>
    <t>Consulta Flaquer</t>
  </si>
  <si>
    <t>Ginecologista Elisa</t>
  </si>
  <si>
    <t>Fisioterapia Fred</t>
  </si>
  <si>
    <t>Otorrino Fabiana</t>
  </si>
  <si>
    <t>Casa 1 BARONEZA</t>
  </si>
  <si>
    <t>Casa 3 FBV</t>
  </si>
  <si>
    <t>Casa 4 NATINGUI 5B</t>
  </si>
  <si>
    <t>Casa 5 MF 123</t>
  </si>
  <si>
    <t>Mercadao De Móveis</t>
  </si>
  <si>
    <t xml:space="preserve">Empório Bud </t>
  </si>
  <si>
    <t>Zara Home</t>
  </si>
  <si>
    <t>Vrz Blindados</t>
  </si>
  <si>
    <t>Fastshop</t>
  </si>
  <si>
    <t>Mush</t>
  </si>
  <si>
    <t>Wifi andar superior</t>
  </si>
  <si>
    <t>Stamptex cortinas</t>
  </si>
  <si>
    <t>Hotelbras colchões</t>
  </si>
  <si>
    <t>Juliao Som</t>
  </si>
  <si>
    <t>Hanazaki Paisagismo</t>
  </si>
  <si>
    <t>Suncorp</t>
  </si>
  <si>
    <t>Caixa de Fogo</t>
  </si>
  <si>
    <t>Padovani</t>
  </si>
  <si>
    <t>Parcela principal</t>
  </si>
  <si>
    <t>Parcela aditivo</t>
  </si>
  <si>
    <t>Transferência Bioenergia</t>
  </si>
  <si>
    <t>Juliao Som - diária ténico</t>
  </si>
  <si>
    <t>Agnaelson - pintura</t>
  </si>
  <si>
    <t>AFAC</t>
  </si>
  <si>
    <t>Média 3 meses</t>
  </si>
  <si>
    <t>Média 2026</t>
  </si>
  <si>
    <t>CATEGORIAS</t>
  </si>
  <si>
    <t>Compras SP</t>
  </si>
  <si>
    <t>Medicamentos/suplementos</t>
  </si>
  <si>
    <t>Lazer</t>
  </si>
  <si>
    <t>Compras/restaurantes</t>
  </si>
  <si>
    <t>Passagens aéreas</t>
  </si>
  <si>
    <t>Pacote Peru</t>
  </si>
  <si>
    <t>Libertadores</t>
  </si>
  <si>
    <t>Locação auto</t>
  </si>
  <si>
    <t>Hospedagem</t>
  </si>
  <si>
    <t>Aula de tênis Fred</t>
  </si>
  <si>
    <t>FORMA DE PGTO</t>
  </si>
  <si>
    <t>Crédito BTG</t>
  </si>
  <si>
    <t>Crédito Bradesco</t>
  </si>
  <si>
    <t>Allianz</t>
  </si>
  <si>
    <t>Conta corrente BTG</t>
  </si>
  <si>
    <t>Conta corrente Bradesco</t>
  </si>
  <si>
    <t>Crédito BB</t>
  </si>
  <si>
    <t>Clube Hípico</t>
  </si>
  <si>
    <t>GRU Desembarque</t>
  </si>
  <si>
    <t>Barbacoa</t>
  </si>
  <si>
    <t>LSM8</t>
  </si>
  <si>
    <t>Rede Campeão</t>
  </si>
  <si>
    <t>SAES</t>
  </si>
  <si>
    <t>CRB Fpay</t>
  </si>
  <si>
    <t>ICON Aviation</t>
  </si>
  <si>
    <t>Despesas corporativas</t>
  </si>
  <si>
    <t>Hotel Oiti</t>
  </si>
  <si>
    <t>H Plus</t>
  </si>
  <si>
    <t>Conta corrente BB</t>
  </si>
  <si>
    <t>Moto Grunt</t>
  </si>
  <si>
    <t>Necessaire</t>
  </si>
  <si>
    <t>Rolex</t>
  </si>
  <si>
    <t>Cirurgia capilar</t>
  </si>
  <si>
    <t>Instrumentação</t>
  </si>
  <si>
    <t>Anestesista</t>
  </si>
  <si>
    <t>Busca Diario Oficial</t>
  </si>
  <si>
    <t>SEDEP</t>
  </si>
  <si>
    <t>Botteh Tapetes</t>
  </si>
  <si>
    <t>Euroluce</t>
  </si>
  <si>
    <t>Atual Rede</t>
  </si>
  <si>
    <t>Space Lander</t>
  </si>
  <si>
    <t>Lambretta</t>
  </si>
  <si>
    <t>Transporte moto</t>
  </si>
  <si>
    <t>Corte pedra</t>
  </si>
  <si>
    <t>Custos hospitalares</t>
  </si>
  <si>
    <t>Cirurgião</t>
  </si>
  <si>
    <t>Abordin</t>
  </si>
  <si>
    <t>Confecção guias</t>
  </si>
  <si>
    <t>Minussi</t>
  </si>
  <si>
    <t>Retirada entulho</t>
  </si>
  <si>
    <t>Despesas de locação</t>
  </si>
  <si>
    <t>Delma vistoria</t>
  </si>
  <si>
    <t>Vuo Ateliê</t>
  </si>
  <si>
    <t>Ventura</t>
  </si>
  <si>
    <t>Apr</t>
  </si>
  <si>
    <t>Lpqbr Restaurantes E P</t>
  </si>
  <si>
    <t>City Das Batidas</t>
  </si>
  <si>
    <t>D5em7</t>
  </si>
  <si>
    <t>Ebook Renan Botel</t>
  </si>
  <si>
    <t>Tc</t>
  </si>
  <si>
    <t>Applecombill</t>
  </si>
  <si>
    <t>Auto Park Nk Estaciona</t>
  </si>
  <si>
    <t>Barra Doce</t>
  </si>
  <si>
    <t>Conveniencia Maiolin</t>
  </si>
  <si>
    <t>Gas Jundiai</t>
  </si>
  <si>
    <t>Marena Cucina</t>
  </si>
  <si>
    <t>Park Car One</t>
  </si>
  <si>
    <t>Ethos Cafeteria E</t>
  </si>
  <si>
    <t>Edi Comercio De Alime</t>
  </si>
  <si>
    <t>Consorcio Mais Shop</t>
  </si>
  <si>
    <t>A Fornada New Itaim</t>
  </si>
  <si>
    <t>Far Park Estacionamento</t>
  </si>
  <si>
    <t>M M Hamburgueres</t>
  </si>
  <si>
    <t>Fornada Itaim</t>
  </si>
  <si>
    <t>Milene Aquarius</t>
  </si>
  <si>
    <t>Óticas Foto Paulo</t>
  </si>
  <si>
    <t>Ingresse</t>
  </si>
  <si>
    <t>Editora Wmf Martins F</t>
  </si>
  <si>
    <t>Fjs Estacionamentos</t>
  </si>
  <si>
    <t>Quality Nutrition</t>
  </si>
  <si>
    <t>Gjordansociedade</t>
  </si>
  <si>
    <t>Fer Fisioterapia</t>
  </si>
  <si>
    <t>Madonna Cucine</t>
  </si>
  <si>
    <t>Detoni Beauty</t>
  </si>
  <si>
    <t>Ohkinha</t>
  </si>
  <si>
    <t>Ld Play Eventos</t>
  </si>
  <si>
    <t>Afgr Producoes E G</t>
  </si>
  <si>
    <t>Santa Rita Park</t>
  </si>
  <si>
    <t>Quitanda Tomio</t>
  </si>
  <si>
    <t>J C Farmacias Ltda Pal</t>
  </si>
  <si>
    <t>Dia Brasil</t>
  </si>
  <si>
    <t>Suely</t>
  </si>
  <si>
    <t>Wi Fi Onboard Tam</t>
  </si>
  <si>
    <t>Rop Com Alim</t>
  </si>
  <si>
    <t>Claudio Carneiro</t>
  </si>
  <si>
    <t>Jim</t>
  </si>
  <si>
    <t>Garagem Villas Car</t>
  </si>
  <si>
    <t>Paypal *mundotenis</t>
  </si>
  <si>
    <t>Passagens</t>
  </si>
  <si>
    <t>Bar Bolla</t>
  </si>
  <si>
    <t>Airbnb Paris</t>
  </si>
  <si>
    <t>Bloomberg</t>
  </si>
  <si>
    <t>Silvana Curriel Krivk</t>
  </si>
  <si>
    <t>Melhoradesivo</t>
  </si>
  <si>
    <t>Ticombo Gmbh</t>
  </si>
  <si>
    <t>Appsmkt Epictok</t>
  </si>
  <si>
    <t>Amazon</t>
  </si>
  <si>
    <t>Ingresso.com</t>
  </si>
  <si>
    <t>Anjoserosa</t>
  </si>
  <si>
    <t>Renoar Park Servicos</t>
  </si>
  <si>
    <t>Cinemark</t>
  </si>
  <si>
    <t>Almanara</t>
  </si>
  <si>
    <t>Cafezinn</t>
  </si>
  <si>
    <t>Itaim Foods Ltda</t>
  </si>
  <si>
    <t>Air France - Catania</t>
  </si>
  <si>
    <t>Ita Airways - Catania/Nice</t>
  </si>
  <si>
    <t>Viagogo - Monaco</t>
  </si>
  <si>
    <t>Pinheiros Park</t>
  </si>
  <si>
    <t>Hoteis Com - Nice</t>
  </si>
  <si>
    <t>Easyjet - Nice/Palma</t>
  </si>
  <si>
    <t>Transavia - Palma/Paris</t>
  </si>
  <si>
    <t>Bistro L Entrecote Do</t>
  </si>
  <si>
    <t>Mini Extra</t>
  </si>
  <si>
    <t>Amma Todos Os Sant</t>
  </si>
  <si>
    <t>Alta Sp Pq Ibirapuera</t>
  </si>
  <si>
    <t>Nagayama Itaim</t>
  </si>
  <si>
    <t>Dutramaquinas</t>
  </si>
  <si>
    <t>Lp Bike Comercio De Ro</t>
  </si>
  <si>
    <t>Bottega Iguatemi</t>
  </si>
  <si>
    <t>Hotel Fasano Itaim</t>
  </si>
  <si>
    <t>Correios</t>
  </si>
  <si>
    <t>Notificação Quinto Andar</t>
  </si>
  <si>
    <t>Notificação Drogaria SP</t>
  </si>
  <si>
    <t>Isaias Tertuliano Pimenta</t>
  </si>
  <si>
    <t>Reembolso Sul America Elisa</t>
  </si>
  <si>
    <t>Produtos de limpeza</t>
  </si>
  <si>
    <t>Lowbank Shoes</t>
  </si>
  <si>
    <t>Intermezzo Escola De Musica</t>
  </si>
  <si>
    <t>Personal - Thomas</t>
  </si>
  <si>
    <t xml:space="preserve">Devolução </t>
  </si>
  <si>
    <t>QuintoAndar</t>
  </si>
  <si>
    <t>Pix Marketplace</t>
  </si>
  <si>
    <t>Dedetização/adubação</t>
  </si>
  <si>
    <t>Contra-notificação Stone</t>
  </si>
  <si>
    <t>Garmin</t>
  </si>
  <si>
    <t>Topolino</t>
  </si>
  <si>
    <t>Follow The Flow - Jericoacoara</t>
  </si>
  <si>
    <t>Notificação Posto Gasolina</t>
  </si>
  <si>
    <t>Miligrama Nordeste</t>
  </si>
  <si>
    <t>Rd Saúde</t>
  </si>
  <si>
    <t>Classy Wink Beauty Ltda</t>
  </si>
  <si>
    <t>IPTU 2025</t>
  </si>
  <si>
    <t xml:space="preserve">Manutenção do depósito </t>
  </si>
  <si>
    <t>Taxa cancelamento Nivus</t>
  </si>
  <si>
    <t>Taxa cancelamento HRV</t>
  </si>
  <si>
    <t>Braganca Reparos Hidráulica</t>
  </si>
  <si>
    <t>Hsolhos - lentes</t>
  </si>
  <si>
    <t>BELMONTE SAO PAULO</t>
  </si>
  <si>
    <t>Blazee</t>
  </si>
  <si>
    <t>Henrique Luiz</t>
  </si>
  <si>
    <t>Pagarme</t>
  </si>
  <si>
    <t>LS Selection</t>
  </si>
  <si>
    <t>Leticia Sobral</t>
  </si>
  <si>
    <t>Ana Maria dos Santos</t>
  </si>
  <si>
    <t>Paula Porto</t>
  </si>
  <si>
    <t>Bruno Vilela</t>
  </si>
  <si>
    <t>Lentes Elisa</t>
  </si>
  <si>
    <t>Carolina Humberg</t>
  </si>
  <si>
    <t>Lavagem carro</t>
  </si>
  <si>
    <t>Custa protesto FBV</t>
  </si>
  <si>
    <t>Faxina Baroneza</t>
  </si>
  <si>
    <t>Certificado digital Fabiana</t>
  </si>
  <si>
    <t>Tenis de mesa</t>
  </si>
  <si>
    <t>Medicamentos</t>
  </si>
  <si>
    <t>Conserto Garmin</t>
  </si>
  <si>
    <t>Passaporte italiano</t>
  </si>
  <si>
    <t>Taxa consular</t>
  </si>
  <si>
    <t>Peça jardinagem</t>
  </si>
  <si>
    <t>ECP Fitness</t>
  </si>
  <si>
    <t>Comgás</t>
  </si>
  <si>
    <t>Niver Elisa</t>
  </si>
  <si>
    <t>Van Executiva</t>
  </si>
  <si>
    <t>Heloisa Maluf - docinhos</t>
  </si>
  <si>
    <t>Tênis jogar</t>
  </si>
  <si>
    <t>FBV</t>
  </si>
  <si>
    <t>Pilates</t>
  </si>
  <si>
    <t>Terapia - Fred</t>
  </si>
  <si>
    <t>Pizza</t>
  </si>
  <si>
    <t>Conserto roupas</t>
  </si>
  <si>
    <t>Dona Filó</t>
  </si>
  <si>
    <t>Certificado digital</t>
  </si>
  <si>
    <t>Tênis</t>
  </si>
  <si>
    <t>Oficina 3011 - Smart Preto</t>
  </si>
  <si>
    <t>Moto Navi</t>
  </si>
  <si>
    <t>Valmir Transporte</t>
  </si>
  <si>
    <t>Caução</t>
  </si>
  <si>
    <t>Pagamento</t>
  </si>
  <si>
    <t>JK Pneus</t>
  </si>
  <si>
    <t>Stradale</t>
  </si>
  <si>
    <t>Mercedes</t>
  </si>
  <si>
    <t>Artesanato Fontana di Trevi</t>
  </si>
  <si>
    <t>Emplacamento</t>
  </si>
  <si>
    <t>Botteh tapetes</t>
  </si>
  <si>
    <t>StudioStamp persianas</t>
  </si>
  <si>
    <t>Minussi - devolução</t>
  </si>
  <si>
    <t>Churrascaria Palmas</t>
  </si>
  <si>
    <t>IA</t>
  </si>
  <si>
    <t>Ubrabio - Inscrição Forum Biodiesel</t>
  </si>
  <si>
    <t>Reembolso estacionamento prestador serviços</t>
  </si>
  <si>
    <t>Banco do Brasil</t>
  </si>
  <si>
    <t>Banco Itaú</t>
  </si>
  <si>
    <t>Limpeza</t>
  </si>
  <si>
    <t>LImpeza</t>
  </si>
  <si>
    <t>Reembolso de despesas</t>
  </si>
  <si>
    <t>Leticia Bressan - almoço</t>
  </si>
  <si>
    <t>Suporte Fabiano</t>
  </si>
  <si>
    <t>Evento corporativo</t>
  </si>
  <si>
    <t>Grand Hyatt - CEOs Conference</t>
  </si>
  <si>
    <t>IR</t>
  </si>
  <si>
    <t>Assessoria financeira</t>
  </si>
  <si>
    <t>Geovana</t>
  </si>
  <si>
    <t>May</t>
  </si>
  <si>
    <t>Material copa</t>
  </si>
  <si>
    <t>Escritório</t>
  </si>
  <si>
    <t>Posto Panamby</t>
  </si>
  <si>
    <t>Diarista</t>
  </si>
  <si>
    <t>Rodrigo Piovesan</t>
  </si>
  <si>
    <t>Pagamento semana Thomas</t>
  </si>
  <si>
    <t>Casa 2 CASA FERRAZ</t>
  </si>
  <si>
    <t>Vento Verde Viveiro</t>
  </si>
  <si>
    <t>World Wine</t>
  </si>
  <si>
    <t>Clos</t>
  </si>
  <si>
    <t>Padaria E Restaurante</t>
  </si>
  <si>
    <t>Black River Café</t>
  </si>
  <si>
    <t>Joel Roch55423</t>
  </si>
  <si>
    <t>Frevinho Lanches L</t>
  </si>
  <si>
    <t>Amazon Servicos De Var</t>
  </si>
  <si>
    <t>Papelaria</t>
  </si>
  <si>
    <t>Openai</t>
  </si>
  <si>
    <t>Sympla</t>
  </si>
  <si>
    <t>Emporium Sao Paulo</t>
  </si>
  <si>
    <t>Boteco Sao Francisco L</t>
  </si>
  <si>
    <t>Pão Com Carne Hamb</t>
  </si>
  <si>
    <t>Atomishine</t>
  </si>
  <si>
    <t>Sandra Regina Carval</t>
  </si>
  <si>
    <t>Roselene Brizola Ve</t>
  </si>
  <si>
    <t>Barra Doce (1/2)</t>
  </si>
  <si>
    <t>Vivino Com</t>
  </si>
  <si>
    <t>Francisco Das Chaga</t>
  </si>
  <si>
    <t>Emporiominass</t>
  </si>
  <si>
    <t>Vaca Véia</t>
  </si>
  <si>
    <t>Carlos Oliveira Dos Sa</t>
  </si>
  <si>
    <t>Msa Ta¡xi Executivo</t>
  </si>
  <si>
    <t>Assador Restaurante Sp</t>
  </si>
  <si>
    <t>Quinoa Natural Itaim S</t>
  </si>
  <si>
    <t>Idealwine</t>
  </si>
  <si>
    <t>Capsams</t>
  </si>
  <si>
    <t>Multicoisas</t>
  </si>
  <si>
    <t>Casarao Da Villa Res</t>
  </si>
  <si>
    <t>Liquido Itaim</t>
  </si>
  <si>
    <t>Reginaldo Jose Dos</t>
  </si>
  <si>
    <t>Agnaldogering</t>
  </si>
  <si>
    <t>Frutaria Natural Food</t>
  </si>
  <si>
    <t>Frutaria Beach Morumb</t>
  </si>
  <si>
    <t>Rainer Rainer Armazem</t>
  </si>
  <si>
    <t>Tukgelatoltda</t>
  </si>
  <si>
    <t>Sp Velthentic</t>
  </si>
  <si>
    <t>Leonardo Moratta Da F</t>
  </si>
  <si>
    <t>Kalunga</t>
  </si>
  <si>
    <t>Banca Do Damasceno</t>
  </si>
  <si>
    <t>Ednoveremundo</t>
  </si>
  <si>
    <t>Relais Marbeuf</t>
  </si>
  <si>
    <t>Hotel Paris</t>
  </si>
  <si>
    <t>Neo Tickets</t>
  </si>
  <si>
    <t>Sc Rest Lavenue</t>
  </si>
  <si>
    <t>Tour D Argent</t>
  </si>
  <si>
    <t>Sodexo</t>
  </si>
  <si>
    <t>Ker Taxi</t>
  </si>
  <si>
    <t>Le President</t>
  </si>
  <si>
    <t>Guediri Mounir</t>
  </si>
  <si>
    <t>Villa Marquis Member O</t>
  </si>
  <si>
    <t>Viagem Uatu</t>
  </si>
  <si>
    <t>Fr 001 Montaigne</t>
  </si>
  <si>
    <t>Multa Uatu</t>
  </si>
  <si>
    <t>Lime 2 Viagens Uatu</t>
  </si>
  <si>
    <t>Francois1er</t>
  </si>
  <si>
    <t>Francois Felix</t>
  </si>
  <si>
    <t>Eglise Suedoise</t>
  </si>
  <si>
    <t>Ivs France</t>
  </si>
  <si>
    <t>Fft</t>
  </si>
  <si>
    <t>Yacine Drici</t>
  </si>
  <si>
    <t>Zeltweg</t>
  </si>
  <si>
    <t>Chreng Taxi</t>
  </si>
  <si>
    <t>Areas Roissy</t>
  </si>
  <si>
    <t>Easycarhire</t>
  </si>
  <si>
    <t>Capricciusi</t>
  </si>
  <si>
    <t>Gelateria Don Peppinu</t>
  </si>
  <si>
    <t>Ricevitoria Signorino</t>
  </si>
  <si>
    <t>Sum Up L Isola Del G</t>
  </si>
  <si>
    <t>Gusto Gelateria</t>
  </si>
  <si>
    <t>Il Chioschetto Di Bigh</t>
  </si>
  <si>
    <t>Cala Piada Di</t>
  </si>
  <si>
    <t>Gelati Bianca</t>
  </si>
  <si>
    <t>Place Des Grands</t>
  </si>
  <si>
    <t>Helen Wine</t>
  </si>
  <si>
    <t>Deslocamento</t>
  </si>
  <si>
    <t>Anima Vinum Comercio D</t>
  </si>
  <si>
    <t>Compras mercado</t>
  </si>
  <si>
    <t>Terapia - Thomas</t>
  </si>
  <si>
    <t>Valmir</t>
  </si>
  <si>
    <t>Reparo HRV</t>
  </si>
  <si>
    <t>Receitas de Locação</t>
  </si>
  <si>
    <t>Tarifa bancária</t>
  </si>
  <si>
    <t>Seguro predial</t>
  </si>
  <si>
    <t>Advogado</t>
  </si>
  <si>
    <t>Vasconcelos e Hecker</t>
  </si>
  <si>
    <t>Custas de apelação VLI</t>
  </si>
  <si>
    <t>Letícia</t>
  </si>
  <si>
    <t>Gabrielle</t>
  </si>
  <si>
    <t>Leticia Bressan - deslocamentos</t>
  </si>
  <si>
    <t>BRZ</t>
  </si>
  <si>
    <t>Gritt - Thais</t>
  </si>
  <si>
    <t>RGV - Renoir</t>
  </si>
  <si>
    <t>Despesas bancárias</t>
  </si>
  <si>
    <t>Rótulos de Coluna</t>
  </si>
  <si>
    <t>Rótulos de Linha</t>
  </si>
  <si>
    <t>Total Geral</t>
  </si>
  <si>
    <t>(Tudo)</t>
  </si>
  <si>
    <t>IPTU - Pascoal Vita (05/10)</t>
  </si>
  <si>
    <t>Conserto moto Navi</t>
  </si>
  <si>
    <t>Pix Antonio Carlos Davila</t>
  </si>
  <si>
    <t>Banho de prata em bandejas</t>
  </si>
  <si>
    <t>Zletric</t>
  </si>
  <si>
    <t>Ituran - Mini</t>
  </si>
  <si>
    <t>Edson Miconi</t>
  </si>
  <si>
    <t>Capacete</t>
  </si>
  <si>
    <t>Debito Fred</t>
  </si>
  <si>
    <t>Poltronas</t>
  </si>
  <si>
    <t>Copos</t>
  </si>
  <si>
    <t>Stradale - Nivus</t>
  </si>
  <si>
    <t>Stradale - Q5</t>
  </si>
  <si>
    <t>Stradale - Mercedes</t>
  </si>
  <si>
    <t>Taxa ambiental Ubatuba (2023)</t>
  </si>
  <si>
    <t>Villaescusa</t>
  </si>
  <si>
    <t>Mensalidade</t>
  </si>
  <si>
    <t>Motinhas</t>
  </si>
  <si>
    <t>Transporte Navi</t>
  </si>
  <si>
    <t>Bolão</t>
  </si>
  <si>
    <t>Wandda Cabelereiro</t>
  </si>
  <si>
    <t>Vaga garagem Casa Ferraz</t>
  </si>
  <si>
    <t>Cardiologista</t>
  </si>
  <si>
    <t>Enel</t>
  </si>
  <si>
    <t>Pagamento Cleo/Jonatas</t>
  </si>
  <si>
    <t>Cartao PagBank</t>
  </si>
  <si>
    <t>Escada</t>
  </si>
  <si>
    <t>Vitaminas</t>
  </si>
  <si>
    <t>Botica</t>
  </si>
  <si>
    <t>Chulam Collucci</t>
  </si>
  <si>
    <t>Alteração ata Holding</t>
  </si>
  <si>
    <t>Saque</t>
  </si>
  <si>
    <t>Psiquiatra</t>
  </si>
  <si>
    <t>Depósito</t>
  </si>
  <si>
    <t>Cilios</t>
  </si>
  <si>
    <t>Taxa ambiental</t>
  </si>
  <si>
    <t>Veiculos</t>
  </si>
  <si>
    <t>Smart Vermelho</t>
  </si>
  <si>
    <t>Compras/Reformas</t>
  </si>
  <si>
    <t>Pneus</t>
  </si>
  <si>
    <t>Julião Som</t>
  </si>
  <si>
    <t>Comissão venda</t>
  </si>
  <si>
    <t>ECV blindagem</t>
  </si>
  <si>
    <t>Vistoria blindagem</t>
  </si>
  <si>
    <t>Agência contratação</t>
  </si>
  <si>
    <t>Baronne</t>
  </si>
  <si>
    <t>Mg Car Rental Srl</t>
  </si>
  <si>
    <t>Nuova Tropical Soc Co</t>
  </si>
  <si>
    <t>Baco Ortigia</t>
  </si>
  <si>
    <t>Artigiana Siciliana</t>
  </si>
  <si>
    <t>A Putia Srls</t>
  </si>
  <si>
    <t>Nache</t>
  </si>
  <si>
    <t>Arluma Sas Di Armando</t>
  </si>
  <si>
    <t>Stazione Servizio Q8 1</t>
  </si>
  <si>
    <t>Palazzo Artemide</t>
  </si>
  <si>
    <t>Maniace Boutique Hotel</t>
  </si>
  <si>
    <t>Stazione Serv A18</t>
  </si>
  <si>
    <t>Four Seasons</t>
  </si>
  <si>
    <t>Da Cristina</t>
  </si>
  <si>
    <t>Europcar</t>
  </si>
  <si>
    <t>Dolce And Gabbana Taor</t>
  </si>
  <si>
    <t>Dolce &amp; Gabbana</t>
  </si>
  <si>
    <t>Royal Yachting Srl</t>
  </si>
  <si>
    <t>Dior Taormina</t>
  </si>
  <si>
    <t>Teatro Greco Taormina</t>
  </si>
  <si>
    <t>Arte Mediterranea</t>
  </si>
  <si>
    <t>Elsoafiane</t>
  </si>
  <si>
    <t>Fanaberia</t>
  </si>
  <si>
    <t>La Capinera</t>
  </si>
  <si>
    <t>Belmond Sicily Spa V</t>
  </si>
  <si>
    <t>Stazione Carburani</t>
  </si>
  <si>
    <t>Sum Up I Pititti Di S</t>
  </si>
  <si>
    <t>Intimissimi Uomo</t>
  </si>
  <si>
    <t>Mc2 Saint Barth</t>
  </si>
  <si>
    <t>Revoltwearusa</t>
  </si>
  <si>
    <t>Oltremare</t>
  </si>
  <si>
    <t>Palace Catania Una Es</t>
  </si>
  <si>
    <t>Asset Food Cat</t>
  </si>
  <si>
    <t>La Rinascente Catania</t>
  </si>
  <si>
    <t>Asc Handling Aereoport</t>
  </si>
  <si>
    <t>Wine Bar</t>
  </si>
  <si>
    <t>La Tarte Tropezi</t>
  </si>
  <si>
    <t>Le Botticelli</t>
  </si>
  <si>
    <t>Acm Sam</t>
  </si>
  <si>
    <t>Jpa Mc Trading</t>
  </si>
  <si>
    <t>Artcafe</t>
  </si>
  <si>
    <t>Le Felix</t>
  </si>
  <si>
    <t>Amorino Nice</t>
  </si>
  <si>
    <t>Olcese Fabien Hu</t>
  </si>
  <si>
    <t>Okko Nice Aeroport</t>
  </si>
  <si>
    <t>Ama</t>
  </si>
  <si>
    <t>Morino Sarl</t>
  </si>
  <si>
    <t>Tabacs Ste Devot</t>
  </si>
  <si>
    <t>Societe 4 Gators Mc</t>
  </si>
  <si>
    <t>Il Calcio</t>
  </si>
  <si>
    <t>Le Cocodile</t>
  </si>
  <si>
    <t>Regie Ligne D Azur</t>
  </si>
  <si>
    <t>Hotel Negresco</t>
  </si>
  <si>
    <t>Amorino Nice 33</t>
  </si>
  <si>
    <t>Selecta Sas</t>
  </si>
  <si>
    <t>Fondation Dentreprise</t>
  </si>
  <si>
    <t>Ajd Taxi</t>
  </si>
  <si>
    <t>Le Royal Monceau Raffl</t>
  </si>
  <si>
    <t>Montaigne</t>
  </si>
  <si>
    <t>La Democratie</t>
  </si>
  <si>
    <t>Ait Adda Moura</t>
  </si>
  <si>
    <t>Ntumbe Taxi</t>
  </si>
  <si>
    <t>Massimo Dutti</t>
  </si>
  <si>
    <t>Le Souffle</t>
  </si>
  <si>
    <t>Yego Ride 16 Min</t>
  </si>
  <si>
    <t>Noir Coffee</t>
  </si>
  <si>
    <t>Taxi Drive Pro</t>
  </si>
  <si>
    <t>Alminer Genet</t>
  </si>
  <si>
    <t>Sc Le Laurent</t>
  </si>
  <si>
    <t>G7</t>
  </si>
  <si>
    <t>Ride 22 Min</t>
  </si>
  <si>
    <t>Pocket2wrist</t>
  </si>
  <si>
    <t>Taxi Damin</t>
  </si>
  <si>
    <t>Le Bistrot D Arsene</t>
  </si>
  <si>
    <t>Yc Rosiers</t>
  </si>
  <si>
    <t>Exki</t>
  </si>
  <si>
    <t>Ifd Restaurante Sushi</t>
  </si>
  <si>
    <t>Padaria Moenda</t>
  </si>
  <si>
    <t>Posto Da Moenda De It</t>
  </si>
  <si>
    <t>Iky Delivery</t>
  </si>
  <si>
    <t>Multipark</t>
  </si>
  <si>
    <t>Gigi Kiehl Acessorios</t>
  </si>
  <si>
    <t>Toro Negro</t>
  </si>
  <si>
    <t>Sephora</t>
  </si>
  <si>
    <t>Esimcard Us</t>
  </si>
  <si>
    <t>Casa Dos Frios</t>
  </si>
  <si>
    <t>Gf4 Participacoes</t>
  </si>
  <si>
    <t>Miami Internationa</t>
  </si>
  <si>
    <t>Starbucks</t>
  </si>
  <si>
    <t>Yb Miami</t>
  </si>
  <si>
    <t>Best Buy</t>
  </si>
  <si>
    <t>Publix</t>
  </si>
  <si>
    <t>Fisher Island Club</t>
  </si>
  <si>
    <t>A5hl Bar E Restaurante</t>
  </si>
  <si>
    <t>Dick's Sporting Goods</t>
  </si>
  <si>
    <t>7 For All Mankind</t>
  </si>
  <si>
    <t>Nike</t>
  </si>
  <si>
    <t>Haagen Dazs</t>
  </si>
  <si>
    <t>Mila</t>
  </si>
  <si>
    <t>Flamingo Food Market</t>
  </si>
  <si>
    <t>7 Eleven</t>
  </si>
  <si>
    <t>Anthropic Claude Sub</t>
  </si>
  <si>
    <t>Cipriani</t>
  </si>
  <si>
    <t>Marathon</t>
  </si>
  <si>
    <t>Ls Roberio Cycling Lab</t>
  </si>
  <si>
    <t>Tumi Store</t>
  </si>
  <si>
    <t>Rosetta Bakery At Lenn</t>
  </si>
  <si>
    <t>Fiorito</t>
  </si>
  <si>
    <t>Ls World Tennis</t>
  </si>
  <si>
    <t>Total Wine And More</t>
  </si>
  <si>
    <t>Mayasam Inc</t>
  </si>
  <si>
    <t>Fll Today Store</t>
  </si>
  <si>
    <t>C0frutraga Lanchonet</t>
  </si>
  <si>
    <t>Gleidson</t>
  </si>
  <si>
    <t>Smiles Fidelidade</t>
  </si>
  <si>
    <t>Zigpay</t>
  </si>
  <si>
    <t>Lev Faria Lima</t>
  </si>
  <si>
    <t>Hoteiscom</t>
  </si>
  <si>
    <t>Saque 800 euros</t>
  </si>
  <si>
    <t>Táxi</t>
  </si>
  <si>
    <t>Fifaus ticket</t>
  </si>
  <si>
    <t>Seguro Audi 2025</t>
  </si>
  <si>
    <t>Informação</t>
  </si>
  <si>
    <t>Consultorio Alessandra Haddad</t>
  </si>
  <si>
    <t>Estacionametno</t>
  </si>
  <si>
    <t>Comunicação</t>
  </si>
  <si>
    <t>Azul - Miami</t>
  </si>
  <si>
    <t>Fly - Miami</t>
  </si>
  <si>
    <t>Lambretta Rosso Etna</t>
  </si>
  <si>
    <t>Osmani</t>
  </si>
  <si>
    <t>Anuidade</t>
  </si>
  <si>
    <t>Cartão BB Altus</t>
  </si>
  <si>
    <t>Icon Interiores - Jader</t>
  </si>
  <si>
    <t>Estacionamento Audi 2025</t>
  </si>
  <si>
    <t>Pedágio Audi 2025</t>
  </si>
  <si>
    <t>Jun</t>
  </si>
  <si>
    <t>Pagamentos Robson/Luana</t>
  </si>
  <si>
    <t>Eliana - mãe</t>
  </si>
  <si>
    <t>Título Harmonia - Ma.Eugênia</t>
  </si>
  <si>
    <t>Starlink</t>
  </si>
  <si>
    <t>Priscilla Donega</t>
  </si>
  <si>
    <t>Leone</t>
  </si>
  <si>
    <t>Darf multa</t>
  </si>
  <si>
    <t>Multa atraso entrega DCTF</t>
  </si>
  <si>
    <t>Café</t>
  </si>
  <si>
    <t>Soma de VALOR</t>
  </si>
  <si>
    <t>Anti-virus</t>
  </si>
  <si>
    <t>Licença Norton</t>
  </si>
  <si>
    <t>Trimestre</t>
  </si>
  <si>
    <t>2026</t>
  </si>
  <si>
    <t>Maria Eugenia título Harmonia</t>
  </si>
  <si>
    <t>Fabiana - Audi</t>
  </si>
  <si>
    <t>RD Fred</t>
  </si>
  <si>
    <t>Jun vs ano</t>
  </si>
  <si>
    <t>Junho vs ano</t>
  </si>
  <si>
    <t>Junho vs  trim</t>
  </si>
  <si>
    <t>Junho vs  trim.</t>
  </si>
  <si>
    <t>Jun vs trim.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</si>
</sst>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;@"/>
    <numFmt numFmtId="165" formatCode="&quot;R$&quot;\ #,##0.00;[Red]\-&quot;R$&quot;\ #,##0.00"/>
    <numFmt numFmtId="166" formatCode="_(* #,##0_);_(* \(#,##0\);_(* &quot;-&quot;??_);_(@_)"/>
    <numFmt numFmtId="167" formatCode="[$-F800]dddd\,\ mmmm\ dd\,\ yyyy"/>
    <numFmt numFmtId="168" formatCode="#,##0;[Red]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Display"/>
      <family val="2"/>
      <scheme val="major"/>
    </font>
    <font>
      <b/>
      <sz val="8"/>
      <color rgb="FFFF0000"/>
      <name val="Aptos Display"/>
      <family val="2"/>
      <scheme val="major"/>
    </font>
    <font>
      <b/>
      <sz val="8"/>
      <name val="Aptos Display"/>
      <family val="2"/>
      <scheme val="maj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2" borderId="0" xfId="0" applyFill="1"/>
    <xf numFmtId="164" fontId="2" fillId="2" borderId="1" xfId="0" applyNumberFormat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4" fillId="2" borderId="2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43" fontId="6" fillId="2" borderId="1" xfId="1" applyFont="1" applyFill="1" applyBorder="1"/>
    <xf numFmtId="14" fontId="7" fillId="2" borderId="1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2" fontId="3" fillId="2" borderId="1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166" fontId="9" fillId="0" borderId="0" xfId="1" applyNumberFormat="1" applyFont="1"/>
    <xf numFmtId="166" fontId="11" fillId="0" borderId="0" xfId="1" applyNumberFormat="1" applyFont="1"/>
    <xf numFmtId="166" fontId="0" fillId="0" borderId="0" xfId="1" applyNumberFormat="1" applyFont="1"/>
    <xf numFmtId="0" fontId="0" fillId="0" borderId="0" xfId="0" pivotButton="1"/>
    <xf numFmtId="14" fontId="0" fillId="0" borderId="0" xfId="0" applyNumberFormat="1"/>
    <xf numFmtId="14" fontId="0" fillId="2" borderId="1" xfId="0" applyNumberFormat="1" applyFill="1" applyBorder="1"/>
    <xf numFmtId="0" fontId="0" fillId="0" borderId="0" xfId="0" applyAlignment="1">
      <alignment horizontal="left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43" fontId="3" fillId="2" borderId="1" xfId="1" applyFont="1" applyFill="1" applyBorder="1" applyAlignment="1">
      <alignment horizontal="center" wrapText="1"/>
    </xf>
    <xf numFmtId="43" fontId="3" fillId="2" borderId="1" xfId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43" fontId="0" fillId="0" borderId="0" xfId="0" applyNumberFormat="1"/>
    <xf numFmtId="43" fontId="3" fillId="2" borderId="3" xfId="1" applyFont="1" applyFill="1" applyBorder="1" applyAlignment="1">
      <alignment horizontal="center"/>
    </xf>
    <xf numFmtId="43" fontId="0" fillId="0" borderId="0" xfId="1" applyFont="1"/>
    <xf numFmtId="166" fontId="8" fillId="0" borderId="4" xfId="1" applyNumberFormat="1" applyFont="1" applyBorder="1"/>
    <xf numFmtId="166" fontId="0" fillId="0" borderId="0" xfId="0" applyNumberFormat="1"/>
    <xf numFmtId="43" fontId="0" fillId="2" borderId="1" xfId="1" applyFont="1" applyFill="1" applyBorder="1"/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6" fontId="0" fillId="0" borderId="0" xfId="0" pivotButton="1" applyNumberFormat="1"/>
    <xf numFmtId="14" fontId="4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6" fontId="8" fillId="0" borderId="0" xfId="1" applyNumberFormat="1" applyFont="1"/>
    <xf numFmtId="0" fontId="8" fillId="0" borderId="1" xfId="0" applyFont="1" applyBorder="1" applyAlignment="1">
      <alignment horizontal="left"/>
    </xf>
    <xf numFmtId="166" fontId="8" fillId="6" borderId="0" xfId="0" applyNumberFormat="1" applyFont="1" applyFill="1"/>
    <xf numFmtId="0" fontId="8" fillId="4" borderId="0" xfId="0" applyFont="1" applyFill="1"/>
    <xf numFmtId="166" fontId="8" fillId="4" borderId="0" xfId="0" applyNumberFormat="1" applyFont="1" applyFill="1"/>
    <xf numFmtId="166" fontId="8" fillId="0" borderId="1" xfId="0" applyNumberFormat="1" applyFont="1" applyBorder="1"/>
    <xf numFmtId="0" fontId="8" fillId="6" borderId="0" xfId="0" applyFont="1" applyFill="1"/>
    <xf numFmtId="0" fontId="8" fillId="5" borderId="1" xfId="0" applyFont="1" applyFill="1" applyBorder="1" applyAlignment="1">
      <alignment horizontal="left"/>
    </xf>
    <xf numFmtId="166" fontId="8" fillId="5" borderId="1" xfId="0" applyNumberFormat="1" applyFont="1" applyFill="1" applyBorder="1"/>
    <xf numFmtId="0" fontId="8" fillId="5" borderId="1" xfId="0" applyFont="1" applyFill="1" applyBorder="1"/>
    <xf numFmtId="168" fontId="8" fillId="0" borderId="1" xfId="1" applyNumberFormat="1" applyFont="1" applyBorder="1"/>
    <xf numFmtId="168" fontId="8" fillId="5" borderId="1" xfId="1" applyNumberFormat="1" applyFont="1" applyFill="1" applyBorder="1"/>
    <xf numFmtId="168" fontId="0" fillId="0" borderId="0" xfId="1" applyNumberFormat="1" applyFont="1"/>
    <xf numFmtId="168" fontId="11" fillId="0" borderId="0" xfId="1" applyNumberFormat="1" applyFont="1"/>
    <xf numFmtId="166" fontId="8" fillId="5" borderId="4" xfId="0" applyNumberFormat="1" applyFont="1" applyFill="1" applyBorder="1"/>
    <xf numFmtId="168" fontId="8" fillId="0" borderId="1" xfId="0" applyNumberFormat="1" applyFont="1" applyBorder="1"/>
    <xf numFmtId="168" fontId="8" fillId="0" borderId="4" xfId="0" applyNumberFormat="1" applyFont="1" applyBorder="1"/>
    <xf numFmtId="168" fontId="8" fillId="5" borderId="5" xfId="0" applyNumberFormat="1" applyFont="1" applyFill="1" applyBorder="1"/>
    <xf numFmtId="168" fontId="8" fillId="0" borderId="4" xfId="1" applyNumberFormat="1" applyFont="1" applyBorder="1" applyAlignment="1">
      <alignment horizontal="left"/>
    </xf>
    <xf numFmtId="168" fontId="8" fillId="0" borderId="4" xfId="1" applyNumberFormat="1" applyFont="1" applyBorder="1"/>
    <xf numFmtId="168" fontId="8" fillId="5" borderId="6" xfId="1" applyNumberFormat="1" applyFont="1" applyFill="1" applyBorder="1"/>
    <xf numFmtId="168" fontId="8" fillId="3" borderId="7" xfId="1" applyNumberFormat="1" applyFont="1" applyFill="1" applyBorder="1"/>
    <xf numFmtId="168" fontId="8" fillId="0" borderId="1" xfId="1" applyNumberFormat="1" applyFont="1" applyBorder="1" applyAlignment="1">
      <alignment horizontal="left"/>
    </xf>
    <xf numFmtId="168" fontId="8" fillId="5" borderId="1" xfId="1" applyNumberFormat="1" applyFont="1" applyFill="1" applyBorder="1" applyAlignment="1">
      <alignment horizontal="left"/>
    </xf>
    <xf numFmtId="168" fontId="8" fillId="0" borderId="1" xfId="1" applyNumberFormat="1" applyFont="1" applyBorder="1" applyAlignment="1">
      <alignment horizontal="right"/>
    </xf>
    <xf numFmtId="168" fontId="0" fillId="0" borderId="0" xfId="0" applyNumberFormat="1"/>
    <xf numFmtId="168" fontId="0" fillId="0" borderId="0" xfId="0" pivotButton="1" applyNumberForma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8" fillId="7" borderId="1" xfId="1" applyNumberFormat="1" applyFont="1" applyFill="1" applyBorder="1" applyAlignment="1">
      <alignment horizontal="center"/>
    </xf>
    <xf numFmtId="166" fontId="13" fillId="7" borderId="2" xfId="1" applyNumberFormat="1" applyFont="1" applyFill="1" applyBorder="1"/>
    <xf numFmtId="168" fontId="8" fillId="7" borderId="1" xfId="1" applyNumberFormat="1" applyFont="1" applyFill="1" applyBorder="1"/>
    <xf numFmtId="166" fontId="8" fillId="8" borderId="1" xfId="1" quotePrefix="1" applyNumberFormat="1" applyFont="1" applyFill="1" applyBorder="1" applyAlignment="1">
      <alignment horizontal="center"/>
    </xf>
    <xf numFmtId="166" fontId="8" fillId="8" borderId="1" xfId="1" applyNumberFormat="1" applyFont="1" applyFill="1" applyBorder="1" applyAlignment="1">
      <alignment horizontal="center"/>
    </xf>
    <xf numFmtId="166" fontId="13" fillId="8" borderId="2" xfId="1" applyNumberFormat="1" applyFont="1" applyFill="1" applyBorder="1"/>
    <xf numFmtId="166" fontId="13" fillId="8" borderId="1" xfId="1" applyNumberFormat="1" applyFont="1" applyFill="1" applyBorder="1"/>
    <xf numFmtId="168" fontId="8" fillId="8" borderId="1" xfId="1" applyNumberFormat="1" applyFont="1" applyFill="1" applyBorder="1"/>
    <xf numFmtId="168" fontId="8" fillId="8" borderId="1" xfId="1" quotePrefix="1" applyNumberFormat="1" applyFont="1" applyFill="1" applyBorder="1" applyAlignment="1">
      <alignment horizontal="center"/>
    </xf>
    <xf numFmtId="168" fontId="13" fillId="9" borderId="6" xfId="1" applyNumberFormat="1" applyFont="1" applyFill="1" applyBorder="1" applyAlignment="1">
      <alignment horizontal="center"/>
    </xf>
    <xf numFmtId="168" fontId="8" fillId="8" borderId="1" xfId="1" applyNumberFormat="1" applyFont="1" applyFill="1" applyBorder="1" applyAlignment="1">
      <alignment horizontal="right"/>
    </xf>
    <xf numFmtId="168" fontId="8" fillId="7" borderId="1" xfId="1" applyNumberFormat="1" applyFont="1" applyFill="1" applyBorder="1" applyAlignment="1">
      <alignment horizontal="center"/>
    </xf>
    <xf numFmtId="168" fontId="13" fillId="7" borderId="6" xfId="1" applyNumberFormat="1" applyFont="1" applyFill="1" applyBorder="1" applyAlignment="1">
      <alignment horizontal="center"/>
    </xf>
    <xf numFmtId="168" fontId="13" fillId="10" borderId="6" xfId="1" applyNumberFormat="1" applyFont="1" applyFill="1" applyBorder="1" applyAlignment="1">
      <alignment horizontal="center"/>
    </xf>
    <xf numFmtId="168" fontId="8" fillId="7" borderId="1" xfId="1" applyNumberFormat="1" applyFont="1" applyFill="1" applyBorder="1" applyAlignment="1">
      <alignment horizontal="right"/>
    </xf>
    <xf numFmtId="166" fontId="12" fillId="7" borderId="1" xfId="1" applyNumberFormat="1" applyFont="1" applyFill="1" applyBorder="1" applyAlignment="1">
      <alignment horizontal="center"/>
    </xf>
    <xf numFmtId="166" fontId="10" fillId="7" borderId="6" xfId="1" applyNumberFormat="1" applyFont="1" applyFill="1" applyBorder="1"/>
    <xf numFmtId="168" fontId="10" fillId="7" borderId="6" xfId="1" applyNumberFormat="1" applyFont="1" applyFill="1" applyBorder="1"/>
    <xf numFmtId="166" fontId="8" fillId="10" borderId="1" xfId="0" applyNumberFormat="1" applyFont="1" applyFill="1" applyBorder="1"/>
    <xf numFmtId="168" fontId="8" fillId="10" borderId="1" xfId="1" applyNumberFormat="1" applyFont="1" applyFill="1" applyBorder="1"/>
    <xf numFmtId="168" fontId="12" fillId="8" borderId="1" xfId="1" quotePrefix="1" applyNumberFormat="1" applyFont="1" applyFill="1" applyBorder="1" applyAlignment="1">
      <alignment horizontal="center"/>
    </xf>
    <xf numFmtId="168" fontId="12" fillId="8" borderId="1" xfId="1" applyNumberFormat="1" applyFont="1" applyFill="1" applyBorder="1" applyAlignment="1">
      <alignment horizontal="center"/>
    </xf>
    <xf numFmtId="168" fontId="10" fillId="8" borderId="6" xfId="1" applyNumberFormat="1" applyFont="1" applyFill="1" applyBorder="1" applyAlignment="1">
      <alignment horizontal="center"/>
    </xf>
    <xf numFmtId="168" fontId="10" fillId="8" borderId="6" xfId="1" applyNumberFormat="1" applyFont="1" applyFill="1" applyBorder="1"/>
    <xf numFmtId="168" fontId="8" fillId="9" borderId="1" xfId="1" applyNumberFormat="1" applyFont="1" applyFill="1" applyBorder="1"/>
    <xf numFmtId="0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30">
    <dxf>
      <numFmt numFmtId="169" formatCode="_(* #,##0.0_);_(* \(#,##0.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8" formatCode="#,##0;[Red]#,##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y Funes" refreshedDate="46211.468587731484" createdVersion="8" refreshedVersion="8" minRefreshableVersion="3" recordCount="215" xr:uid="{1E0F913F-888B-412E-91B8-B75F0F804FD9}">
  <cacheSource type="worksheet">
    <worksheetSource ref="A1:F216" sheet="Base Extraordinarios"/>
  </cacheSource>
  <cacheFields count="8">
    <cacheField name="DATA" numFmtId="14">
      <sharedItems containsSemiMixedTypes="0" containsNonDate="0" containsDate="1" containsString="0" minDate="2026-01-01T00:00:00" maxDate="2026-06-27T00:00:00" count="91">
        <d v="2026-01-01T00:00:00"/>
        <d v="2026-01-06T00:00:00"/>
        <d v="2026-06-16T00:00:00"/>
        <d v="2026-01-07T00:00:00"/>
        <d v="2026-01-08T00:00:00"/>
        <d v="2026-01-10T00:00:00"/>
        <d v="2026-01-12T00:00:00"/>
        <d v="2026-01-14T00:00:00"/>
        <d v="2026-01-15T00:00:00"/>
        <d v="2026-01-16T00:00:00"/>
        <d v="2026-06-01T00:00:00"/>
        <d v="2026-01-19T00:00:00"/>
        <d v="2026-01-20T00:00:00"/>
        <d v="2026-01-22T00:00:00"/>
        <d v="2026-01-26T00:00:00"/>
        <d v="2026-02-01T00:00:00"/>
        <d v="2026-02-02T00:00:00"/>
        <d v="2026-02-05T00:00:00"/>
        <d v="2026-02-06T00:00:00"/>
        <d v="2026-02-09T00:00:00"/>
        <d v="2026-02-12T00:00:00"/>
        <d v="2026-02-18T00:00:00"/>
        <d v="2026-02-19T00:00:00"/>
        <d v="2026-03-01T00:00:00"/>
        <d v="2026-03-02T00:00:00"/>
        <d v="2026-03-03T00:00:00"/>
        <d v="2026-03-05T00:00:00"/>
        <d v="2026-03-09T00:00:00"/>
        <d v="2026-03-10T00:00:00"/>
        <d v="2026-03-11T00:00:00"/>
        <d v="2026-03-16T00:00:00"/>
        <d v="2026-04-01T00:00:00"/>
        <d v="2026-04-02T00:00:00"/>
        <d v="2026-04-03T00:00:00"/>
        <d v="2026-04-04T00:00:00"/>
        <d v="2026-04-05T00:00:00"/>
        <d v="2026-04-06T00:00:00"/>
        <d v="2026-04-16T00:00:00"/>
        <d v="2026-05-01T00:00:00"/>
        <d v="2026-05-04T00:00:00"/>
        <d v="2026-05-07T00:00:00"/>
        <d v="2026-05-18T00:00:00"/>
        <d v="2026-05-22T00:00:00"/>
        <d v="2026-06-22T00:00:00"/>
        <d v="2026-06-02T00:00:00"/>
        <d v="2026-03-06T00:00:00"/>
        <d v="2026-01-02T00:00:00"/>
        <d v="2026-01-05T00:00:00"/>
        <d v="2026-01-11T00:00:00"/>
        <d v="2026-01-13T00:00:00"/>
        <d v="2026-01-21T00:00:00"/>
        <d v="2026-01-25T00:00:00"/>
        <d v="2026-02-24T00:00:00"/>
        <d v="2026-02-25T00:00:00"/>
        <d v="2026-02-26T00:00:00"/>
        <d v="2026-02-27T00:00:00"/>
        <d v="2026-03-04T00:00:00"/>
        <d v="2026-03-17T00:00:00"/>
        <d v="2026-03-20T00:00:00"/>
        <d v="2026-03-23T00:00:00"/>
        <d v="2026-03-24T00:00:00"/>
        <d v="2026-03-25T00:00:00"/>
        <d v="2026-04-09T00:00:00"/>
        <d v="2026-05-05T00:00:00"/>
        <d v="2026-06-05T00:00:00"/>
        <d v="2026-05-06T00:00:00"/>
        <d v="2026-05-11T00:00:00"/>
        <d v="2026-05-12T00:00:00"/>
        <d v="2026-05-19T00:00:00"/>
        <d v="2026-05-20T00:00:00"/>
        <d v="2026-05-23T00:00:00"/>
        <d v="2026-05-27T00:00:00"/>
        <d v="2026-06-15T00:00:00"/>
        <d v="2026-06-25T00:00:00"/>
        <d v="2026-06-26T00:00:00"/>
        <d v="2026-06-24T00:00:00"/>
        <d v="2026-06-17T00:00:00"/>
        <d v="2026-05-25T00:00:00"/>
        <d v="2026-02-13T00:00:00"/>
        <d v="2026-01-23T00:00:00"/>
        <d v="2026-02-23T00:00:00"/>
        <d v="2026-03-19T00:00:00"/>
        <d v="2026-03-12T00:00:00"/>
        <d v="2026-02-28T00:00:00"/>
        <d v="2026-06-23T00:00:00"/>
        <d v="2026-06-19T00:00:00"/>
        <d v="2026-06-10T00:00:00"/>
        <d v="2026-06-08T00:00:00"/>
        <d v="2026-01-30T00:00:00"/>
        <d v="2026-04-13T00:00:00"/>
        <d v="2026-04-27T00:00:00"/>
      </sharedItems>
      <fieldGroup par="7"/>
    </cacheField>
    <cacheField name="CATEGORIA" numFmtId="0">
      <sharedItems count="11">
        <s v="BARONEZA"/>
        <s v="Bioenergia"/>
        <s v="CASA FERRAZ"/>
        <s v="FBV"/>
        <s v="MF 123"/>
        <s v="NATINGUI - 5B"/>
        <s v="Outros"/>
        <s v="Saúde"/>
        <s v="Tributos"/>
        <s v="Veiculos"/>
        <s v="Veículos" u="1"/>
      </sharedItems>
    </cacheField>
    <cacheField name="SUBCATEGORIA" numFmtId="0">
      <sharedItems count="33">
        <s v="Compras/reformas"/>
        <s v="Pagamento casa"/>
        <s v="Projetos"/>
        <s v="Funcionários"/>
        <s v="Transferência Bioenergia"/>
        <s v="Financiamento"/>
        <s v="Venda"/>
        <s v="Despesas de locação"/>
        <s v="Receitas de Locação"/>
        <s v="Manutenção"/>
        <s v="Abordin"/>
        <s v="Despesas financeiras"/>
        <s v="Presente"/>
        <s v="Relógio"/>
        <s v="SEDEP"/>
        <s v="Valmir"/>
        <s v="Cirurgia capilar"/>
        <s v="Dr. Fabio Zimut"/>
        <s v="IR "/>
        <s v="ITCMD"/>
        <s v="Motos"/>
        <s v="Smart Vermelho"/>
        <s v="Audi 2025"/>
        <s v="Audi antigo"/>
        <s v="Lambretta"/>
        <s v="Mercedes"/>
        <s v="Moto Grunt"/>
        <s v="Moto Navi"/>
        <s v="Lambretta Rosso Etna"/>
        <s v="Porsche 911"/>
        <s v="Porsche Carrera"/>
        <s v="Space Lander"/>
        <s v="Locação" u="1"/>
      </sharedItems>
    </cacheField>
    <cacheField name="DESCRIÇÃO" numFmtId="0">
      <sharedItems count="114">
        <s v="Empório Bud "/>
        <s v="Carrinho eletrico"/>
        <s v="Parcela aditivo"/>
        <s v="Parcela principal"/>
        <s v="Acompanhamento tecnico Ariela"/>
        <s v="Entreposto"/>
        <s v="Padovani"/>
        <s v="Cooktop Frigelar"/>
        <s v="Samsung"/>
        <s v="Noura Salim - Ombrelone"/>
        <s v="Suncorp"/>
        <s v="Stamptex cortinas"/>
        <s v="Salete - Poço artesiano"/>
        <s v="Taxa regularização poço Baroneza"/>
        <s v="Hotelbras colchões"/>
        <s v="Juros/multa dezembro"/>
        <s v="Tec Paper"/>
        <s v="Lucia Chen - aprovação prefeitura"/>
        <s v="Hanazaki Paisagismo"/>
        <s v="Fastshop"/>
        <s v="Mundo Do Enxoval"/>
        <s v="Bandeja"/>
        <s v="Caixa de Fogo"/>
        <s v="Wifi andar superior"/>
        <s v="Pedras lavabo"/>
        <s v="Atual Rede"/>
        <s v="Corte pedra"/>
        <s v="Tapeçaria Mâncio"/>
        <s v="StudioStamp persianas"/>
        <s v="Julião Som"/>
        <s v="Starlink"/>
        <s v="Agência contratação"/>
        <s v="Transferência"/>
        <s v="Leroy Merlin"/>
        <s v="Mercadao De Móveis"/>
        <s v="Zara Home"/>
        <s v="Juliao Som"/>
        <s v="Juliao Som - diária ténico"/>
        <s v="Le Creuset"/>
        <s v="Financiamento Bradesco"/>
        <s v="Mesa Dunelli"/>
        <s v="Ferragens Floresta"/>
        <s v="You Connection"/>
        <s v="Villa Nova - Bordados SP"/>
        <s v="Estok"/>
        <s v="Controle remoto"/>
        <s v="Empório Bud"/>
        <s v="Mush"/>
        <s v="Içamento mesa"/>
        <s v="Instalacao papel parede closet"/>
        <s v="Bandeja acrilico"/>
        <s v="Fs Iguatemi Sp"/>
        <s v="Minussi"/>
        <s v="Botteh Tapetes"/>
        <s v="Euroluce"/>
        <s v="Vuo Ateliê"/>
        <s v="Artesanato Fontana di Trevi"/>
        <s v="Minussi - devolução"/>
        <s v="Vento Verde Viveiro"/>
        <s v="Icon Interiores - Jader"/>
        <s v="Banho de prata em bandejas"/>
        <s v="Poltronas"/>
        <s v="Copos"/>
        <s v="Multicoisas"/>
        <s v="Custa protesto FBV"/>
        <s v="Delma vistoria"/>
        <s v="Retirada entulho"/>
        <s v="Caução"/>
        <s v="Agnaelson - pintura"/>
        <s v="Aluguel"/>
        <s v="Voa Arquitetura"/>
        <s v="Confecção guias"/>
        <s v="Key Capital"/>
        <s v="Paulo Humberg"/>
        <s v="Valmir transporte - SP/FBV/Baroneza"/>
        <s v="Rolex"/>
        <s v="Venda"/>
        <s v="Busca Diario Oficial"/>
        <s v="Transporte moto"/>
        <s v="Anestesista"/>
        <s v="Cirurgião"/>
        <s v="Custos hospitalares"/>
        <s v="Instrumentação"/>
        <s v="Lente intraocular"/>
        <s v="Ganho de capital Agribrasil"/>
        <s v="Ganho de capital BB"/>
        <s v="Fabiana - Audi"/>
        <s v="Pneus"/>
        <s v="Cartório"/>
        <s v="Comissão venda"/>
        <s v="Vistoria blindagem"/>
        <s v="Despachante"/>
        <s v="ECV blindagem"/>
        <s v="Comark"/>
        <s v="Vrz Blindados"/>
        <s v="Despachante transferência"/>
        <s v="Vistoria de blindagem"/>
        <s v="Vistoria de transferencia"/>
        <s v="Pagamento"/>
        <s v="Stradale"/>
        <s v="Ventura"/>
        <s v="Emplacamento"/>
        <s v="Valmir Transporte"/>
        <s v="Vintage Riders"/>
        <s v="Maria Eugenia título Harmonia"/>
        <s v="Título Harmonia - Ma.Eugênia"/>
        <s v="Osmani"/>
        <s v="JK Pneus"/>
        <s v="Saldo Marcel"/>
        <s v="Sinal Marcel"/>
        <s v="Sinal"/>
        <s v="Doação Audi" u="1"/>
        <s v="ITCMD Maria Eugenia" u="1"/>
        <s v="Jader Almeida" u="1"/>
      </sharedItems>
    </cacheField>
    <cacheField name="RESPONSÁVEL" numFmtId="0">
      <sharedItems count="4">
        <s v="Família"/>
        <s v="Bioenergia"/>
        <s v="Fabiana"/>
        <s v="fred"/>
      </sharedItems>
    </cacheField>
    <cacheField name="VALOR" numFmtId="0">
      <sharedItems containsSemiMixedTypes="0" containsString="0" containsNumber="1" minValue="-195000" maxValue="58250166.049999997"/>
    </cacheField>
    <cacheField name="Days (DATA)" numFmtId="0" databaseField="0">
      <fieldGroup base="0">
        <rangePr groupBy="days" startDate="2026-01-01T00:00:00" endDate="2026-06-27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06-26"/>
        </groupItems>
      </fieldGroup>
    </cacheField>
    <cacheField name="Months (DATA)" numFmtId="0" databaseField="0">
      <fieldGroup base="0">
        <rangePr groupBy="months" startDate="2026-01-01T00:00:00" endDate="2026-06-27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6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y Funes" refreshedDate="46211.48966875" createdVersion="8" refreshedVersion="8" minRefreshableVersion="3" recordCount="207" xr:uid="{89258B8F-3ABE-4597-890D-A0C16F966437}">
  <cacheSource type="worksheet">
    <worksheetSource ref="A1:E208" sheet="Base Bioenergia"/>
  </cacheSource>
  <cacheFields count="7">
    <cacheField name="DATA" numFmtId="164">
      <sharedItems containsSemiMixedTypes="0" containsNonDate="0" containsDate="1" containsString="0" minDate="2026-01-03T00:00:00" maxDate="2026-07-01T00:00:00" count="80">
        <d v="2026-04-02T00:00:00"/>
        <d v="2026-03-27T00:00:00"/>
        <d v="2026-04-06T00:00:00"/>
        <d v="2026-04-13T00:00:00"/>
        <d v="2026-04-14T00:00:00"/>
        <d v="2026-05-04T00:00:00"/>
        <d v="2026-04-24T00:00:00"/>
        <d v="2026-04-30T00:00:00"/>
        <d v="2026-04-27T00:00:00"/>
        <d v="2026-05-07T00:00:00"/>
        <d v="2026-05-08T00:00:00"/>
        <d v="2026-05-21T00:00:00"/>
        <d v="2026-05-25T00:00:00"/>
        <d v="2026-01-03T00:00:00"/>
        <d v="2026-01-05T00:00:00"/>
        <d v="2026-02-03T00:00:00"/>
        <d v="2026-03-03T00:00:00"/>
        <d v="2026-05-05T00:00:00"/>
        <d v="2026-05-06T00:00:00"/>
        <d v="2026-06-02T00:00:00"/>
        <d v="2026-06-03T00:00:00"/>
        <d v="2026-06-08T00:00:00"/>
        <d v="2026-06-10T00:00:00"/>
        <d v="2026-06-16T00:00:00"/>
        <d v="2026-06-17T00:00:00"/>
        <d v="2026-06-22T00:00:00"/>
        <d v="2026-01-13T00:00:00"/>
        <d v="2026-02-10T00:00:00"/>
        <d v="2026-03-20T00:00:00"/>
        <d v="2026-05-22T00:00:00"/>
        <d v="2026-01-12T00:00:00"/>
        <d v="2026-03-05T00:00:00"/>
        <d v="2026-06-05T00:00:00"/>
        <d v="2026-02-06T00:00:00"/>
        <d v="2026-02-02T00:00:00"/>
        <d v="2026-03-01T00:00:00"/>
        <d v="2026-04-01T00:00:00"/>
        <d v="2026-02-09T00:00:00"/>
        <d v="2026-03-09T00:00:00"/>
        <d v="2026-02-23T00:00:00"/>
        <d v="2026-03-02T00:00:00"/>
        <d v="2026-04-22T00:00:00"/>
        <d v="2026-01-16T00:00:00"/>
        <d v="2026-02-04T00:00:00"/>
        <d v="2026-02-19T00:00:00"/>
        <d v="2026-02-11T00:00:00"/>
        <d v="2026-06-01T00:00:00"/>
        <d v="2026-06-09T00:00:00"/>
        <d v="2026-06-15T00:00:00"/>
        <d v="2026-06-30T00:00:00"/>
        <d v="2026-02-15T00:00:00"/>
        <d v="2026-03-15T00:00:00"/>
        <d v="2026-05-15T00:00:00"/>
        <d v="2026-05-19T00:00:00"/>
        <d v="2026-02-28T00:00:00"/>
        <d v="2026-03-10T00:00:00"/>
        <d v="2026-05-10T00:00:00"/>
        <d v="2026-01-19T00:00:00"/>
        <d v="2026-01-21T00:00:00"/>
        <d v="2026-02-05T00:00:00"/>
        <d v="2026-01-14T00:00:00"/>
        <d v="2026-01-26T00:00:00"/>
        <d v="2026-01-28T00:00:00"/>
        <d v="2026-01-06T00:00:00"/>
        <d v="2026-03-11T00:00:00"/>
        <d v="2026-04-29T00:00:00"/>
        <d v="2026-03-23T00:00:00"/>
        <d v="2026-02-25T00:00:00"/>
        <d v="2026-01-15T00:00:00"/>
        <d v="2026-01-20T00:00:00"/>
        <d v="2026-02-12T00:00:00"/>
        <d v="2026-01-30T00:00:00"/>
        <d v="2026-02-27T00:00:00"/>
        <d v="2026-06-19T00:00:00"/>
        <d v="2026-06-24T00:00:00"/>
        <d v="2026-02-24T00:00:00"/>
        <d v="2026-04-28T00:00:00"/>
        <d v="2026-04-15T00:00:00"/>
        <d v="2026-04-16T00:00:00"/>
        <d v="2026-02-20T00:00:00"/>
      </sharedItems>
      <fieldGroup par="6"/>
    </cacheField>
    <cacheField name="CATEGORIA" numFmtId="0">
      <sharedItems count="10">
        <s v="Despesas bancárias"/>
        <s v="Despesas corporativas"/>
        <s v="Viagens"/>
        <s v="Tributos"/>
        <s v="Diversos"/>
        <s v="Funcionários"/>
        <s v="Imóvel"/>
        <s v="Prestação serviços"/>
        <s v="Suprimentos"/>
        <s v="Crédito" u="1"/>
      </sharedItems>
    </cacheField>
    <cacheField name="SUBCATEGORIA" numFmtId="0">
      <sharedItems count="48">
        <s v="Banco do Brasil"/>
        <s v="Banco Itaú"/>
        <s v="Estacionamento"/>
        <s v="Evento corporativo"/>
        <s v="Reembolso de despesas"/>
        <s v="Palmas"/>
        <s v="DARE"/>
        <s v="Uber/taxi"/>
        <s v="Docusign"/>
        <s v="Licença software"/>
        <s v="Anti-virus"/>
        <s v="Emy"/>
        <s v="Letícia"/>
        <s v="Aluguel"/>
        <s v="Condomínio"/>
        <s v="Contas de consumo"/>
        <s v="IPTU"/>
        <s v="LImpeza"/>
        <s v="Manutenção"/>
        <s v="Seguro"/>
        <s v="Assessoria financeira"/>
        <s v="Assessoria Linkedin"/>
        <s v="IA"/>
        <s v="Contabilidade"/>
        <s v="TI"/>
        <s v="Vallend"/>
        <s v="Varredura eletrônica"/>
        <s v="Advogado"/>
        <s v="Copa"/>
        <s v="Escritório"/>
        <s v="ICMS"/>
        <s v="IR"/>
        <s v="PIS/COFINS"/>
        <s v="Darf multa"/>
        <s v="Aero Acai"/>
        <s v="Air France"/>
        <s v="B Fremder"/>
        <s v="Churrascaria Palmas"/>
        <s v="H Plus"/>
        <s v="Hotel Oiti"/>
        <s v="Hotels.com"/>
        <s v="Intercontinental Ge"/>
        <s v="Latam Airlines"/>
        <s v="Max"/>
        <s v="Rhino"/>
        <s v="Taxi"/>
        <s v="Terminal Ii Oeste"/>
        <s v="AFAC" u="1"/>
      </sharedItems>
    </cacheField>
    <cacheField name="DESCRIÇÃO" numFmtId="0">
      <sharedItems count="52">
        <s v="Tarifa bancária"/>
        <s v="Reembolso estacionamento prestador serviços"/>
        <s v="Grand Hyatt - CEOs Conference"/>
        <s v="Ubrabio - Inscrição Forum Biodiesel"/>
        <s v="Leticia Bressan - almoço"/>
        <s v="RD Fred"/>
        <s v="Custas de apelação VLI"/>
        <s v="Leticia Bressan - deslocamentos"/>
        <s v="Fred"/>
        <s v="Plano anual"/>
        <s v="Microsoft"/>
        <s v="Licença Norton"/>
        <s v="Salário"/>
        <s v="Aluguel"/>
        <s v="Taxa condominial"/>
        <s v="Claro"/>
        <s v="Energia eletrica"/>
        <s v="IPTU"/>
        <s v="Faxineira"/>
        <s v="Chaveiro"/>
        <s v="Eletrica/hidráulica"/>
        <s v="Instalador quadro"/>
        <s v="Placa Humberg  porta"/>
        <s v="Placa Humberg  Time Offices"/>
        <s v="Seguro predial"/>
        <s v="Gabrielle"/>
        <s v="Geovana"/>
        <s v="Front Point"/>
        <s v="Bruno Vilela"/>
        <s v="CLM"/>
        <s v="Suporte"/>
        <s v="Suporte Fabiano"/>
        <s v="Avaliação terreno"/>
        <s v="Varredura eletronica"/>
        <s v="Vasconcelos e Hecker"/>
        <s v="BRZ"/>
        <s v="RGV - Renoir"/>
        <s v="Gritt - Thais"/>
        <s v="Priscilla Donega"/>
        <s v="Leone"/>
        <s v="Material copa"/>
        <s v="Material escritório"/>
        <s v="Café"/>
        <s v="DARE"/>
        <s v="DARF"/>
        <s v="Multa atraso entrega DCTF"/>
        <s v="Palmas"/>
        <s v="Geneva"/>
        <s v="Passagens Palmas-TO"/>
        <s v="London"/>
        <s v="Transferência Fred" u="1"/>
        <s v="Norton anti-virus" u="1"/>
      </sharedItems>
    </cacheField>
    <cacheField name="VALOR" numFmtId="43">
      <sharedItems containsSemiMixedTypes="0" containsString="0" containsNumber="1" minValue="0.5" maxValue="72079.600000000006"/>
    </cacheField>
    <cacheField name="Dias (DATA)" numFmtId="0" databaseField="0">
      <fieldGroup base="0">
        <rangePr groupBy="days" startDate="2026-01-03T00:00:00" endDate="2026-07-01T00:00:00"/>
        <groupItems count="368">
          <s v="&lt;03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6"/>
        </groupItems>
      </fieldGroup>
    </cacheField>
    <cacheField name="Meses (DATA)" numFmtId="0" databaseField="0">
      <fieldGroup base="0">
        <rangePr groupBy="months" startDate="2026-01-03T00:00:00" endDate="2026-07-01T00:00:00"/>
        <groupItems count="14">
          <s v="&lt;03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y Funes" refreshedDate="46216.72134074074" createdVersion="8" refreshedVersion="8" minRefreshableVersion="3" recordCount="2352" xr:uid="{21B8B236-F5D0-4E11-8D32-A009DFAEBBC0}">
  <cacheSource type="worksheet">
    <worksheetSource ref="A1:G2353" sheet="Base Ordinarios"/>
  </cacheSource>
  <cacheFields count="9">
    <cacheField name="DATA" numFmtId="14">
      <sharedItems containsSemiMixedTypes="0" containsNonDate="0" containsDate="1" containsString="0" minDate="2026-01-01T00:00:00" maxDate="2026-07-01T00:00:00" count="159">
        <d v="2026-01-15T00:00:00"/>
        <d v="2026-02-15T00:00:00"/>
        <d v="2026-03-01T00:00:00"/>
        <d v="2026-04-01T00:00:00"/>
        <d v="2026-05-20T00:00:00"/>
        <d v="2026-06-22T00:00:00"/>
        <d v="2026-05-21T00:00:00"/>
        <d v="2026-06-09T00:00:00"/>
        <d v="2026-01-27T00:00:00"/>
        <d v="2026-05-12T00:00:00"/>
        <d v="2026-02-02T00:00:00"/>
        <d v="2026-03-02T00:00:00"/>
        <d v="2026-05-04T00:00:00"/>
        <d v="2026-06-01T00:00:00"/>
        <d v="2026-01-10T00:00:00"/>
        <d v="2026-02-05T00:00:00"/>
        <d v="2026-03-05T00:00:00"/>
        <d v="2026-05-05T00:00:00"/>
        <d v="2026-06-03T00:00:00"/>
        <d v="2026-05-29T00:00:00"/>
        <d v="2026-05-25T00:00:00"/>
        <d v="2026-01-02T00:00:00"/>
        <d v="2026-03-16T00:00:00"/>
        <d v="2026-05-15T00:00:00"/>
        <d v="2026-06-15T00:00:00"/>
        <d v="2026-06-16T00:00:00"/>
        <d v="2026-06-23T00:00:00"/>
        <d v="2026-05-26T00:00:00"/>
        <d v="2026-02-23T00:00:00"/>
        <d v="2026-03-23T00:00:00"/>
        <d v="2026-03-10T00:00:00"/>
        <d v="2026-02-10T00:00:00"/>
        <d v="2026-05-08T00:00:00"/>
        <d v="2026-02-11T00:00:00"/>
        <d v="2026-02-13T00:00:00"/>
        <d v="2026-03-13T00:00:00"/>
        <d v="2026-05-06T00:00:00"/>
        <d v="2026-06-10T00:00:00"/>
        <d v="2026-03-03T00:00:00"/>
        <d v="2026-01-30T00:00:00"/>
        <d v="2026-02-18T00:00:00"/>
        <d v="2026-01-19T00:00:00"/>
        <d v="2026-06-05T00:00:00"/>
        <d v="2026-01-08T00:00:00"/>
        <d v="2026-01-22T00:00:00"/>
        <d v="2026-01-29T00:00:00"/>
        <d v="2026-02-04T00:00:00"/>
        <d v="2026-02-09T00:00:00"/>
        <d v="2026-02-27T00:00:00"/>
        <d v="2026-03-09T00:00:00"/>
        <d v="2026-03-20T00:00:00"/>
        <d v="2026-05-22T00:00:00"/>
        <d v="2026-06-02T00:00:00"/>
        <d v="2026-06-08T00:00:00"/>
        <d v="2026-06-12T00:00:00"/>
        <d v="2026-06-19T00:00:00"/>
        <d v="2026-02-28T00:00:00"/>
        <d v="2026-03-12T00:00:00"/>
        <d v="2026-03-22T00:00:00"/>
        <d v="2026-05-17T00:00:00"/>
        <d v="2026-01-06T00:00:00"/>
        <d v="2026-02-06T00:00:00"/>
        <d v="2026-03-06T00:00:00"/>
        <d v="2026-06-06T00:00:00"/>
        <d v="2026-01-05T00:00:00"/>
        <d v="2026-01-12T00:00:00"/>
        <d v="2026-02-24T00:00:00"/>
        <d v="2026-06-18T00:00:00"/>
        <d v="2026-01-20T00:00:00"/>
        <d v="2026-01-13T00:00:00"/>
        <d v="2026-01-26T00:00:00"/>
        <d v="2026-02-03T00:00:00"/>
        <d v="2026-02-12T00:00:00"/>
        <d v="2026-02-16T00:00:00"/>
        <d v="2026-02-19T00:00:00"/>
        <d v="2026-02-26T00:00:00"/>
        <d v="2026-03-17T00:00:00"/>
        <d v="2026-03-19T00:00:00"/>
        <d v="2026-03-24T00:00:00"/>
        <d v="2026-03-26T00:00:00"/>
        <d v="2026-03-30T00:00:00"/>
        <d v="2026-03-31T00:00:00"/>
        <d v="2026-05-07T00:00:00"/>
        <d v="2026-05-14T00:00:00"/>
        <d v="2026-05-28T00:00:00"/>
        <d v="2026-06-11T00:00:00"/>
        <d v="2026-06-25T00:00:00"/>
        <d v="2026-03-04T00:00:00"/>
        <d v="2026-02-20T00:00:00"/>
        <d v="2026-02-21T00:00:00"/>
        <d v="2026-02-22T00:00:00"/>
        <d v="2026-02-25T00:00:00"/>
        <d v="2026-05-19T00:00:00"/>
        <d v="2026-06-17T00:00:00"/>
        <d v="2026-06-21T00:00:00"/>
        <d v="2026-06-24T00:00:00"/>
        <d v="2026-06-27T00:00:00"/>
        <d v="2026-06-28T00:00:00"/>
        <d v="2026-05-11T00:00:00"/>
        <d v="2026-05-18T00:00:00"/>
        <d v="2026-01-07T00:00:00"/>
        <d v="2026-03-27T00:00:00"/>
        <d v="2026-04-10T00:00:00"/>
        <d v="2026-06-13T00:00:00"/>
        <d v="2026-06-30T00:00:00"/>
        <d v="2026-03-11T00:00:00"/>
        <d v="2026-03-25T00:00:00"/>
        <d v="2026-06-29T00:00:00"/>
        <d v="2026-01-16T00:00:00"/>
        <d v="2026-05-27T00:00:00"/>
        <d v="2026-01-25T00:00:00"/>
        <d v="2026-02-17T00:00:00"/>
        <d v="2026-03-15T00:00:00"/>
        <d v="2026-02-14T00:00:00"/>
        <d v="2026-01-31T00:00:00"/>
        <d v="2026-01-09T00:00:00"/>
        <d v="2026-01-14T00:00:00"/>
        <d v="2026-05-02T00:00:00"/>
        <d v="2026-02-01T00:00:00"/>
        <d v="2026-03-18T00:00:00"/>
        <d v="2026-02-08T00:00:00"/>
        <d v="2026-01-28T00:00:00"/>
        <d v="2026-05-13T00:00:00"/>
        <d v="2026-06-20T00:00:00"/>
        <d v="2026-05-09T00:00:00"/>
        <d v="2026-01-04T00:00:00"/>
        <d v="2026-01-01T00:00:00"/>
        <d v="2026-01-03T00:00:00"/>
        <d v="2026-01-23T00:00:00"/>
        <d v="2026-01-18T00:00:00"/>
        <d v="2026-01-11T00:00:00"/>
        <d v="2026-01-24T00:00:00"/>
        <d v="2026-02-07T00:00:00"/>
        <d v="2026-03-07T00:00:00"/>
        <d v="2026-03-14T00:00:00"/>
        <d v="2026-03-28T00:00:00"/>
        <d v="2026-05-23T00:00:00"/>
        <d v="2026-05-24T00:00:00"/>
        <d v="2026-06-04T00:00:00"/>
        <d v="2026-06-14T00:00:00"/>
        <d v="2026-04-27T00:00:00"/>
        <d v="2026-05-16T00:00:00"/>
        <d v="2026-05-10T00:00:00"/>
        <d v="2026-05-03T00:00:00"/>
        <d v="2026-05-01T00:00:00"/>
        <d v="2026-03-08T00:00:00"/>
        <d v="2026-03-21T00:00:00"/>
        <d v="2026-04-06T00:00:00"/>
        <d v="2026-03-29T00:00:00"/>
        <d v="2026-04-30T00:00:00"/>
        <d v="2026-04-05T00:00:00"/>
        <d v="2026-04-25T00:00:00"/>
        <d v="2026-01-21T00:00:00"/>
        <d v="2026-01-17T00:00:00"/>
        <d v="2026-04-29T00:00:00"/>
        <d v="2026-06-07T00:00:00"/>
        <d v="2026-06-26T00:00:00"/>
        <d v="2026-05-31T00:00:00"/>
        <d v="2026-05-30T00:00:00"/>
      </sharedItems>
      <fieldGroup par="8"/>
    </cacheField>
    <cacheField name="CATEGORIA" numFmtId="0">
      <sharedItems count="12">
        <s v="Casa 1 BARONEZA"/>
        <s v="Casa 2 CASA FERRAZ"/>
        <s v="Casa 3 FBV"/>
        <s v="Casa 4 NATINGUI 5B"/>
        <s v="Casa 5 MF 123"/>
        <s v="Crianças"/>
        <s v="Diversos"/>
        <s v="Esportes"/>
        <s v="Lazer/Bem-estar"/>
        <s v="Saúde"/>
        <s v="Veículos"/>
        <s v="Viagens"/>
      </sharedItems>
    </cacheField>
    <cacheField name="SUBCATEGORIA" numFmtId="0">
      <sharedItems count="73">
        <s v="Condomínio"/>
        <s v="Contas de consumo"/>
        <s v="Empregados"/>
        <s v="IPTU"/>
        <s v="Manutenção"/>
        <s v="Mercado"/>
        <s v="Seguros"/>
        <s v="Consórcio"/>
        <s v="Estudos"/>
        <s v="Mesada"/>
        <s v="Millie"/>
        <s v="Moradia"/>
        <s v="Niver Elisa"/>
        <s v="Prestação serviços"/>
        <s v="Reembolsos"/>
        <s v="AI"/>
        <s v="Bolão"/>
        <s v="Cartão BB Altus"/>
        <s v="Cartório"/>
        <s v="Certificado digital"/>
        <s v="Chulam Collucci"/>
        <s v="Conserto roupas"/>
        <s v="Correios"/>
        <s v="Cursos"/>
        <s v="Custo banco"/>
        <s v="Depósito móveis"/>
        <s v="Deslocamento"/>
        <s v="Devolução "/>
        <s v="Diversos"/>
        <s v="Eliana - mãe"/>
        <s v="Genera"/>
        <s v="HTV"/>
        <s v="Imobiliaria"/>
        <s v="Impostos"/>
        <s v="Informação"/>
        <s v="Motoboy"/>
        <s v="Mudança escritório"/>
        <s v="OAB"/>
        <s v="Passaporte italiano"/>
        <s v="Pix"/>
        <s v="Presente"/>
        <s v="Quinto Andar"/>
        <s v="Taxa ambiental"/>
        <s v="Transporte"/>
        <s v="UOL"/>
        <s v="Ventmear"/>
        <s v="Treinos"/>
        <s v="Clubes"/>
        <s v="Compras SP"/>
        <s v="Cuidados pessoais"/>
        <s v="Lazer"/>
        <s v="Restaurantes"/>
        <s v="Vinhos"/>
        <s v="Consulta/exame/tratamento"/>
        <s v="Dentista"/>
        <s v="Medicamentos/suplementos"/>
        <s v="Terapia/psicologia"/>
        <s v="Vacina"/>
        <s v="Combustível"/>
        <s v="Estacionamento"/>
        <s v="Estacionametno"/>
        <s v="IPVA"/>
        <s v="Monitoramento"/>
        <s v="Multas"/>
        <s v="Sem Parar"/>
        <s v="Compras/restaurantes"/>
        <s v="Comunicação"/>
        <s v="Hospedagem"/>
        <s v="Locação auto"/>
        <s v="Pacote Peru"/>
        <s v="Passagens aéreas"/>
        <s v="Saque"/>
        <s v="Wise"/>
      </sharedItems>
    </cacheField>
    <cacheField name="DESCRIÇÃO" numFmtId="0">
      <sharedItems count="828">
        <s v="Mensalidade Clube Hipico"/>
        <s v="Taxa condominial"/>
        <s v="Comgás"/>
        <s v="Energia elétrica"/>
        <s v="Vivo"/>
        <s v="Diarista"/>
        <s v="Faxina Baroneza"/>
        <s v="Jardineiro/piscineiro"/>
        <s v="Pagamento Cleo/Jonatas"/>
        <s v="Pagamentos Robson/Luana"/>
        <s v="IPTU Baroneza"/>
        <s v="Ar condicionado"/>
        <s v="Braganca Reparos Hidráulica"/>
        <s v="Conserto bomba piscina"/>
        <s v="Dedetização/adubação"/>
        <s v="Jardim + material piscina"/>
        <s v="Lincon - reparos"/>
        <s v="Motinhas"/>
        <s v="Peça jardinagem"/>
        <s v="Suncorp"/>
        <s v="Cartao PagBank"/>
        <s v="Compras mercado"/>
        <s v="Escada"/>
        <s v="Gas Jundiai"/>
        <s v="Pão De Açúcar"/>
        <s v="Santa Maria Emporio"/>
        <s v="Sdb Comercio De Produ"/>
        <s v="Shopper"/>
        <s v="Allianz Segu"/>
        <s v="Claro"/>
        <s v="Claro - negociação dez/jan/março"/>
        <s v="Maria"/>
        <s v="IPTU Mario Ferraz"/>
        <s v="Agnaelson "/>
        <s v="Chave Multlock"/>
        <s v="Chaveiro"/>
        <s v="Gilcilanio - espelho lavabo"/>
        <s v="Motor persiana"/>
        <s v="Dia Brasil"/>
        <s v="Emporium Sao Paulo"/>
        <s v="Hortisabor"/>
        <s v="Jannarelli"/>
        <s v="La Fresca Comercio De"/>
        <s v="Mini Extra"/>
        <s v="Nogueira Supermercado"/>
        <s v="Nova Pao Kent"/>
        <s v="Pães E Doces Beija Flo"/>
        <s v="Pix Mercado"/>
        <s v="Quitanda Tomio"/>
        <s v="St Marche"/>
        <s v="Tokio Marine"/>
        <s v="Mensalidade Associação FBV"/>
        <s v="Água"/>
        <s v="Gás"/>
        <s v="Faxina FBV"/>
        <s v="Isaias Tertuliano Pimenta"/>
        <s v="IPTU 2025"/>
        <s v="IPTU FBV"/>
        <s v="Manutençao Cortina"/>
        <s v="Manutençao forno"/>
        <s v="Serviços Adriano"/>
        <s v="Serviços FBV"/>
        <s v="Armazém Boa Vista"/>
        <s v="Seguro FBV"/>
        <s v="Porto Seguro"/>
        <s v="IPTU 5B"/>
        <s v="Enel"/>
        <s v="IPTU MF123"/>
        <s v="Faxina MF123"/>
        <s v="Manutenção do depósito "/>
        <s v="Produtos de limpeza"/>
        <s v="FGV"/>
        <s v="PUC"/>
        <s v="Mesada Elisa"/>
        <s v="Mesada Thomas"/>
        <s v="Cuidados Millie"/>
        <s v="Condominio Pascoal Vita"/>
        <s v="IPTU - Pascoal Vita"/>
        <s v="IPTU - Pascoal Vita (05/10)"/>
        <s v="Heloisa Maluf - docinhos"/>
        <s v="Pizza"/>
        <s v="Van Executiva"/>
        <s v="Pagamento semana Thomas"/>
        <s v="Estacionamento"/>
        <s v="Livros"/>
        <s v="Reembolso jantar - Thomas"/>
        <s v="Reembolso Thomas"/>
        <s v="Uber Thomas"/>
        <s v="Anthropic Claude Sub"/>
        <s v="Claude Ai Subscription"/>
        <s v="Openai"/>
        <s v="Bolão"/>
        <s v="Anuidade"/>
        <s v="Cartorio - multa"/>
        <s v="Cartorio Fabiana VRZ"/>
        <s v="Protesto Santana do Parnaiba"/>
        <s v="Transferência Audi"/>
        <s v="Certificado digital Fabiana"/>
        <s v="Alteração ata Holding"/>
        <s v="Dona Filó"/>
        <s v="Villaescusa"/>
        <s v="Contra-notificação Stone"/>
        <s v="Notificação Drogaria SP"/>
        <s v="Notificação Posto Gasolina"/>
        <s v="Notificação Quinto Andar"/>
        <s v="Mentoria RV"/>
        <s v="IOF BTG"/>
        <s v="M3 Storage"/>
        <s v="99"/>
        <s v="Agnaldogering"/>
        <s v="Alex Pereira Taxi"/>
        <s v="Celio"/>
        <s v="Cicero Rodrigues Perei"/>
        <s v="Connecttaxis"/>
        <s v="Dougtx05"/>
        <s v="Edson Salvador"/>
        <s v="Geneton"/>
        <s v="Guarucoop"/>
        <s v="Helder"/>
        <s v="Joabe"/>
        <s v="Jorge Roberto Guima"/>
        <s v="Jorge Taxi"/>
        <s v="Leonardo Moratta Da F"/>
        <s v="Luiz Henrique"/>
        <s v="Msa Ta¡xi Executivo"/>
        <s v="Pop"/>
        <s v="Pop 12mar 19h14min"/>
        <s v="Reginaldo Jose Dos"/>
        <s v="Rhino"/>
        <s v="Saulotaxi"/>
        <s v="Sebastiaoalencar"/>
        <s v="Taxi"/>
        <s v="Táxi"/>
        <s v="Uber"/>
        <s v="Walace Rodrigues To"/>
        <s v="Whoosh Br Al Patinetes"/>
        <s v="QuintoAndar"/>
        <s v="Topolino"/>
        <s v="CRB Fpay"/>
        <s v="Gapseg Servicos"/>
        <s v="SAES"/>
        <s v="Depósito"/>
        <s v="Passagens"/>
        <s v="Plano de Saúde"/>
        <s v="Exames geneticos"/>
        <s v="Manutenção"/>
        <s v="Bossa Nova"/>
        <s v="Imposto Correios"/>
        <s v="Bloomberg"/>
        <s v="BB e chave"/>
        <s v="Buscar notebook"/>
        <s v="Capacete no aeroporto"/>
        <s v="Cartório"/>
        <s v="Conserto Garmin"/>
        <s v="Garmin"/>
        <s v="Lentes - Elisa"/>
        <s v="Lentes Elisa"/>
        <s v="Motoboy"/>
        <s v="Passaporte/aeroporto"/>
        <s v="Receita Elisa"/>
        <s v="Santa Efigenia"/>
        <s v="Transporte móveis"/>
        <s v="Anuidade "/>
        <s v="Taxa consular"/>
        <s v="Ana Maria dos Santos"/>
        <s v="Edson Miconi"/>
        <s v="Henrique"/>
        <s v="Henrique Luiz"/>
        <s v="José Angel Seoane"/>
        <s v="Leticia Sobral"/>
        <s v="Pagarme"/>
        <s v="Paula Porto"/>
        <s v="Pix"/>
        <s v="Pix Antonio Carlos Davila"/>
        <s v="Pix Dimas"/>
        <s v="Pix Eliseu"/>
        <s v="Pix Gildo"/>
        <s v="Pix Jessica"/>
        <s v="Pix Pagarme"/>
        <s v="Pix Xavier"/>
        <s v="Victor Franca"/>
        <s v="Wellington "/>
        <s v="Carolina Humberg"/>
        <s v="Emy"/>
        <s v="Presente casamento - Prisco"/>
        <s v="Rodrigo Piovesan"/>
        <s v="Rescisão Quinto Andar"/>
        <s v="Taxa ambiental Ubatuba (2023)"/>
        <s v="Transporte Gadelha"/>
        <s v="Reativação email"/>
        <s v="Aula de tênis Fred"/>
        <s v="Aulas Tênis Thomas"/>
        <s v="ECP Fitness"/>
        <s v="Personal - Fred"/>
        <s v="Personal - Thomas"/>
        <s v="Sua Academia"/>
        <s v="Tênis"/>
        <s v="Tenis de mesa"/>
        <s v="Tênis jogar"/>
        <s v="Treinador tênis ECP"/>
        <s v="Alto dos Pinheiros"/>
        <s v="ECP"/>
        <s v="5asec"/>
        <s v="Affiliatespay Cltu"/>
        <s v="Afgr Producoes E G"/>
        <s v="Alexandre"/>
        <s v="Alexandre Silva"/>
        <s v="Amazon"/>
        <s v="Amazon Servicos De Var"/>
        <s v="Amma Todos Os Sant"/>
        <s v="Anjoserosa"/>
        <s v="Apple"/>
        <s v="Applecombill"/>
        <s v="Appmax"/>
        <s v="Appsmkt Epictok"/>
        <s v="Arte Mandala Atelier"/>
        <s v="Atomishine"/>
        <s v="Austral Bgb Comercio E"/>
        <s v="Banca Do Damasceno"/>
        <s v="Banca do Tenista"/>
        <s v="Barra Doce"/>
        <s v="Barra Doce (1/2)"/>
        <s v="Batedor mixer"/>
        <s v="Bermuda Thomas"/>
        <s v="Bistro Otico Comercio"/>
        <s v="Blazee"/>
        <s v="Boutique Dos Eletros"/>
        <s v="C&amp;a"/>
        <s v="Camisa Augusto"/>
        <s v="Capacete"/>
        <s v="Capsams"/>
        <s v="Carlos Oliveira Dos Sa"/>
        <s v="Carolina De Mello"/>
        <s v="Cartier"/>
        <s v="Cartpanda*ebooksreceit"/>
        <s v="Casa do Carregador"/>
        <s v="Centauro"/>
        <s v="Cha Cha"/>
        <s v="Chocolateria David"/>
        <s v="Claivith Da Silva"/>
        <s v="Claudio Carneiro"/>
        <s v="Clube Dos 50"/>
        <s v="Consorcio Mais Shop"/>
        <s v="Conveniencia"/>
        <s v="Conveniencia Maiolin"/>
        <s v="Costadoro Social C"/>
        <s v="D5em7"/>
        <s v="Dethie Diop"/>
        <s v="Distribuidora"/>
        <s v="Dutramaquinas"/>
        <s v="Ebay"/>
        <s v="Ebook Renan Botel"/>
        <s v="Editora Wmf Martins F"/>
        <s v="Ednoveremundo"/>
        <s v="Emporio Do Tenista"/>
        <s v="Emporiominass"/>
        <s v="Estok"/>
        <s v="Farfetch"/>
        <s v="Fila"/>
        <s v="Francisco Das Chaga"/>
        <s v="Fs Iguatemi Sp"/>
        <s v="G Mkt Delivery"/>
        <s v="Gallerist"/>
        <s v="Gf4 Participacoes"/>
        <s v="Gigi Kiehl Acessorios"/>
        <s v="Gjordansociedade"/>
        <s v="Gleidson"/>
        <s v="Ig Caflisandro"/>
        <s v="Impressao fotos"/>
        <s v="Intimissimi"/>
        <s v="Iprimesp"/>
        <s v="Italia"/>
        <s v="Jaile"/>
        <s v="Jc Lisboa"/>
        <s v="Jccommerce"/>
        <s v="Jetro Marques"/>
        <s v="Jim"/>
        <s v="Joel Roch55423"/>
        <s v="Jos"/>
        <s v="Jose Adelson De Sant"/>
        <s v="Jose Cassio Compri"/>
        <s v="Kalunga"/>
        <s v="Kopenhagen"/>
        <s v="Leroy Merlin"/>
        <s v="Lev Faria Lima"/>
        <s v="Link Animale Iguatemi"/>
        <s v="Liquido Itaim"/>
        <s v="Loja"/>
        <s v="Lowbank Shoes"/>
        <s v="Lp Bike Comercio De Ro"/>
        <s v="LS Selection"/>
        <s v="Lvm Comercio"/>
        <s v="Manoela Da Silva"/>
        <s v="Melhoradesivo"/>
        <s v="Mercado Livre"/>
        <s v="Milene Aquarius"/>
        <s v="Multicoisas"/>
        <s v="Necessaire"/>
        <s v="Netflix"/>
        <s v="Óticas Foto Paulo"/>
        <s v="Panasonic Avionics Cor"/>
        <s v="Papelaria"/>
        <s v="Personalizado Sonhos"/>
        <s v="Pix Marketplace"/>
        <s v="Pmphbdrocastello Branc"/>
        <s v="Polo Ralph Lauren"/>
        <s v="Portao 7 Filial 02"/>
        <s v="Quality Nutrition"/>
        <s v="Quinoa Natural Itaim S"/>
        <s v="Raimundotertodos"/>
        <s v="Ricardo Rogerio De M"/>
        <s v="Rlg Do Brasil Varejo L"/>
        <s v="Rocca Comercio E Imp"/>
        <s v="Roselene Brizola Ve"/>
        <s v="Sandra Regina Carval"/>
        <s v="Sandropontes"/>
        <s v="Sephora"/>
        <s v="Sinal"/>
        <s v="Sinha Casa E Conceito"/>
        <s v="Smiles Fidelidade"/>
        <s v="Sp Velthentic"/>
        <s v="Suely"/>
        <s v="Super Mimos Presentes"/>
        <s v="Tc"/>
        <s v="Tds Piedade"/>
        <s v="Tenez Pro Shop"/>
        <s v="Track&amp;field"/>
        <s v="Ubirajara Soares"/>
        <s v="Vindi"/>
        <s v="Vix Varejo"/>
        <s v="Vmt Telecomunicações"/>
        <s v="Vpneparkingsolutions"/>
        <s v="Wi Fi Onboard Tam"/>
        <s v="Wilson Salomon"/>
        <s v="Zara"/>
        <s v="Zigpay"/>
        <s v="Cilios"/>
        <s v="Cilios Fabiana"/>
        <s v="Classy Wink Beauty Ltda"/>
        <s v="Detoni Beauty"/>
        <s v="Espaco A Mario Ferra"/>
        <s v="Lust Beauty"/>
        <s v="Massagem Elisa"/>
        <s v="Massagem Fabiana"/>
        <s v="One Hair Concept"/>
        <s v="Ritu"/>
        <s v="Studio W Cabeleireiros"/>
        <s v="Wandda Cabelereiro"/>
        <s v="Wandda S Fashion Hair"/>
        <s v="Allianz"/>
        <s v="Arena Allianz "/>
        <s v="Cinemark"/>
        <s v="Fifaus ticket"/>
        <s v="Ingresse"/>
        <s v="Ingresso.com"/>
        <s v="Ingressos Allianz"/>
        <s v="Intermezzo Escola De Musica"/>
        <s v="Ld Play Eventos"/>
        <s v="Paypal *mundotenis"/>
        <s v="Sympla"/>
        <s v="Ticketmaster"/>
        <s v="Ticketsports"/>
        <s v="Viagogo - Monaco"/>
        <s v="Zig Rio Open 2026"/>
        <s v="348 Jardim Europa"/>
        <s v="348 Vila Olimpia"/>
        <s v="A Fornada New Itaim"/>
        <s v="Adolfo Tadacow"/>
        <s v="Aero Acai"/>
        <s v="Almah Alimentos"/>
        <s v="Almanara"/>
        <s v="Armazém Da Cachaca"/>
        <s v="Assador Restaurante Sp"/>
        <s v="Bacio Di Latte"/>
        <s v="Bar Bolla"/>
        <s v="Barbacoa"/>
        <s v="BELMONTE SAO PAULO"/>
        <s v="Bistro L Entrecote Do"/>
        <s v="Black River Café"/>
        <s v="Boteco Sao Francisco L"/>
        <s v="Bottega Cucina"/>
        <s v="Bottega Iguatemi"/>
        <s v="Brioche Doree"/>
        <s v="C0frutraga Lanchonet"/>
        <s v="Cafe Balsac"/>
        <s v="Cafezinn"/>
        <s v="Cantaloup"/>
        <s v="Caruso"/>
        <s v="Casa Dos Frios"/>
        <s v="Casa Fortunata Restau"/>
        <s v="Casakoacafese"/>
        <s v="Casarao Da Villa Res"/>
        <s v="Castelinho Da Pamonha"/>
        <s v="Ccl Comercial Carvalh"/>
        <s v="City Das Batidas"/>
        <s v="Clube Hipico"/>
        <s v="Clube Hípico"/>
        <s v="Cristal Pizza"/>
        <s v="Crp Joao Cachoeira"/>
        <s v="Edi Comercio De Alime"/>
        <s v="Ethos Cafeteria E"/>
        <s v="Fly Café"/>
        <s v="Fornada Itaim"/>
        <s v="Frevinho Lanches L"/>
        <s v="Frutaria Beach Morumb"/>
        <s v="Frutaria Natural Food"/>
        <s v="Gastromar Solucoes Gas"/>
        <s v="GRU Desembarque"/>
        <s v="Grupo Batistella"/>
        <s v="Hotel Fasano Itaim"/>
        <s v="Hous Coffee"/>
        <s v="Ifd Restaurante Sushi"/>
        <s v="Ifood"/>
        <s v="Iky Delivery"/>
        <s v="Itaim"/>
        <s v="Itaim Foods Ltda"/>
        <s v="Kosushi"/>
        <s v="L S Food Serviços"/>
        <s v="La Tambouille"/>
        <s v="Latine Pad Express"/>
        <s v="Le Jazz"/>
        <s v="Lies Pizza Bar"/>
        <s v="Liva Bowls"/>
        <s v="Lounge Coffee"/>
        <s v="Lpqbr Restaurantes E P"/>
        <s v="Lua Verde Saladeria"/>
        <s v="M M Hamburgueres"/>
        <s v="Madonna Cucine"/>
        <s v="Marena Cucina"/>
        <s v="Mesa Café"/>
        <s v="Mfo2 Steak House"/>
        <s v="Mr Baker Superfoods"/>
        <s v="Nagayama"/>
        <s v="Nagayama Itaim"/>
        <s v="Nativoo Beach"/>
        <s v="Ofner"/>
        <s v="Ohkinha"/>
        <s v="Olea Cj Restaurante Lt"/>
        <s v="Padaria E Restaurante"/>
        <s v="Padaria Moenda"/>
        <s v="Padoca Do Maní"/>
        <s v="Pão Com Carne Hamb"/>
        <s v="Pati Piva"/>
        <s v="Punto Divino Ristorant"/>
        <s v="R2mp Lolla Serviços De"/>
        <s v="Rainer Rainer Armazem"/>
        <s v="Rc Ink Restaurante L"/>
        <s v="Restaurante Santa Maria"/>
        <s v="Ritz"/>
        <s v="Rjr Alimentacoes L"/>
        <s v="Rop Com Alim"/>
        <s v="Rubaiyat"/>
        <s v="Rufino's"/>
        <s v="Saint Chico Matriz"/>
        <s v="Santa Barbara"/>
        <s v="Santa Monicacafe Gourm"/>
        <s v="São Bento Itaim"/>
        <s v="Skina 1914"/>
        <s v="Stchico"/>
        <s v="Sushi Vaz"/>
        <s v="Terminal Iii Desembarq"/>
        <s v="Toro Negro"/>
        <s v="Tudo Da Roca"/>
        <s v="Tukgelatoltda"/>
        <s v="Tun Goomer Montoza Sush"/>
        <s v="Vaca Véia"/>
        <s v="Vileve A Fornada Itai"/>
        <s v="Zahle Comercio De"/>
        <s v="Anima Vinum Comercio D"/>
        <s v="Clos"/>
        <s v="Helen Wine"/>
        <s v="Idealwine"/>
        <s v="Place Des Grands"/>
        <s v="Vivino Com"/>
        <s v="World Wine"/>
        <s v="Alta Sp Pq Ibirapuera"/>
        <s v="Cadu Ramos Fisioterapi"/>
        <s v="Cardiologista"/>
        <s v="Clinica Dr Liaw"/>
        <s v="Consulta Fabi"/>
        <s v="Consulta Flaquer"/>
        <s v="Consultorio Alessandra Haddad"/>
        <s v="Dermatologista Elisa"/>
        <s v="Fer Fisioterapia"/>
        <s v="Fisioterapia Fred"/>
        <s v="Ginecologista Elisa"/>
        <s v="Ginecologista Fabi"/>
        <s v="Hsolhos - lentes"/>
        <s v="Otorrino Fabiana"/>
        <s v="Pilates"/>
        <s v="Psiquiatra"/>
        <s v="Dr. Marcelo - pendente Abr/25"/>
        <s v="Exame odontologico - Thomas"/>
        <s v="Botica"/>
        <s v="Botica Biofarma"/>
        <s v="Droga Raia"/>
        <s v="Drogaria Iguatemi"/>
        <s v="Drogaria Pacheco"/>
        <s v="Drogaria São Paulo"/>
        <s v="Drogaria Tambau"/>
        <s v="Drogasil"/>
        <s v="Drogasmil"/>
        <s v="Elementopuro"/>
        <s v="Essentia - medicamento Fabi"/>
        <s v="Farmácia Central"/>
        <s v="Farmácia Fred"/>
        <s v="Farmácia Indiana"/>
        <s v="J C Farmacias Ltda Pal"/>
        <s v="Life Extension"/>
        <s v="Medicamentos"/>
        <s v="Miligrama Nordeste"/>
        <s v="Mounjaro"/>
        <s v="Rd Saúde"/>
        <s v="Suplementos Fabiana"/>
        <s v="Vitaminas"/>
        <s v="Reembolso Sul America Elisa"/>
        <s v="Reembolso Sul America Fabiana"/>
        <s v="Reembolso Sul America Fred"/>
        <s v="Reembolso Sul America Thomas"/>
        <s v="Reembolso Sulamerica Elisa"/>
        <s v="Psicoterapia - Fabiana"/>
        <s v="Terapia - Elisa"/>
        <s v="Terapia - Fred"/>
        <s v="Terapia - Thomas"/>
        <s v="Alta Sp Domiciliar"/>
        <s v="Active Auto Posto"/>
        <s v="Auto Posto Estoril"/>
        <s v="Auto Posto Jardim"/>
        <s v="Auto Posto Saco Da Ri"/>
        <s v="C M Auto Posto"/>
        <s v="Posto Da Moenda De It"/>
        <s v="Posto Monte Carlo"/>
        <s v="Posto Panamby"/>
        <s v="Posto Servico Cambui"/>
        <s v="Rede Campeão"/>
        <s v="Zletric"/>
        <s v="Allpark Empreendimento"/>
        <s v="Auto Park Nk Estaciona"/>
        <s v="Estacionamento Jk Iguate"/>
        <s v="Far Park Estacionamento"/>
        <s v="Fjs Estacionamentos"/>
        <s v="Garagem Villas Car"/>
        <s v="Israel Silva"/>
        <s v="Mensalidade"/>
        <s v="Mg Park"/>
        <s v="Mig Park Estacionamento"/>
        <s v="Net Park"/>
        <s v="Park Car One"/>
        <s v="Park Zone"/>
        <s v="Pinheiros Park"/>
        <s v="Renoar Park Servicos"/>
        <s v="Rotary Park Estacionamen"/>
        <s v="Santa Rita Park"/>
        <s v="Sdi Park Estacionamento"/>
        <s v="Vaga garagem Casa Ferraz"/>
        <s v="Multipark"/>
        <s v="IPVA - Smart preto"/>
        <s v="IPVA - Smart vermelho"/>
        <s v="IPVA Audi antigo"/>
        <s v="IPVA CRV"/>
        <s v="IPVA Mercedes"/>
        <s v="IPVA Nivus"/>
        <s v="IPVA Porsche 911"/>
        <s v="Auto Socorro 24 Horas"/>
        <s v="Carregador bateria - Smarts"/>
        <s v="Conserto moto Navi"/>
        <s v="Lavagem Audi"/>
        <s v="Lavagem carro"/>
        <s v="Lava-jato"/>
        <s v="Oficina 3011 - Smart Preto"/>
        <s v="Reparo HRV"/>
        <s v="Reparo Nivus"/>
        <s v="Reparo Smart vermelho"/>
        <s v="Stradale - Mercedes"/>
        <s v="Stradale - Nivus"/>
        <s v="Stradale - Q5"/>
        <s v="Transporte Navi"/>
        <s v="HRV"/>
        <s v="Ituran - Mini"/>
        <s v="Nivus"/>
        <s v="Taxa cancelamento HRV"/>
        <s v="Taxa cancelamento Nivus"/>
        <s v="Multa - Smart preto"/>
        <s v="Multa Audi"/>
        <s v="Multas - Smart vermelho"/>
        <s v="Seguro Audi"/>
        <s v="Seguro Audi 2025"/>
        <s v="Seguro Mercedes"/>
        <s v="Seguro Nivus"/>
        <s v="Estacionamento Audi 2025"/>
        <s v="Estacionamento Audi antigo"/>
        <s v="Estacionamento HRV"/>
        <s v="Estacionamento Mercedes"/>
        <s v="Estacionamento Nivus"/>
        <s v="Estacionamento Smart Preto"/>
        <s v="Mensalidade Audi 2025"/>
        <s v="Mensalidade Audi antigo"/>
        <s v="Mensalidade HRV"/>
        <s v="Mensalidade Mercdes"/>
        <s v="Mensalidade Nivus"/>
        <s v="Mensalidade Porsche 911"/>
        <s v="Mensalidade Smart Preto"/>
        <s v="Mensalidade Smart Vermelho"/>
        <s v="Pedágio Audi 2025"/>
        <s v="Pedágio Audi antigo"/>
        <s v="Pedágio HRV"/>
        <s v="Pedágio Mercedes"/>
        <s v="Pedágio Nivus"/>
        <s v="Pedágio Porsche 911"/>
        <s v="7 Eleven"/>
        <s v="7 For All Mankind"/>
        <s v="A Putia Srls"/>
        <s v="A5hl Bar E Restaurante"/>
        <s v="Acm Sam"/>
        <s v="Ait Adda Moura"/>
        <s v="Alminer Genet"/>
        <s v="Ama"/>
        <s v="Amorino Nice"/>
        <s v="Amorino Nice 33"/>
        <s v="Apple Store"/>
        <s v="Areas Roissy"/>
        <s v="Arluma Sas Di Armando"/>
        <s v="Artcafe"/>
        <s v="Arte Mediterranea"/>
        <s v="Artigiana Siciliana"/>
        <s v="Asset Food Cat"/>
        <s v="Aventura Mall Vale"/>
        <s v="Avenue"/>
        <s v="Baco Ortigia"/>
        <s v="Bal Harbour"/>
        <s v="Baronne"/>
        <s v="Barthelemy"/>
        <s v="Beer Station"/>
        <s v="Best Buy"/>
        <s v="By Call Me Gaby"/>
        <s v="Cala Piada Di"/>
        <s v="Capricciusi"/>
        <s v="Carpaccio Inc"/>
        <s v="Casa Turquesa Planeta"/>
        <s v="Cataoernestof"/>
        <s v="Cellphone Acces"/>
        <s v="Cipriani"/>
        <s v="Cvs Pharmacy"/>
        <s v="Da Cristina"/>
        <s v="Dick's Sporting Goods"/>
        <s v="Dior Taormina"/>
        <s v="Dolce &amp; Gabbana"/>
        <s v="Dolce And Gabbana Taor"/>
        <s v="Eglise Suedoise"/>
        <s v="Elsoafiane"/>
        <s v="Estacquadrado"/>
        <s v="Exki"/>
        <s v="Fanaberia"/>
        <s v="Favoritto Golf"/>
        <s v="Fft"/>
        <s v="Fiorito"/>
        <s v="Fisher Island Club"/>
        <s v="Flamingo Food Market"/>
        <s v="Fll Today Store"/>
        <s v="Fondation Dentreprise"/>
        <s v="Fr 001 Montaigne"/>
        <s v="Francois Felix"/>
        <s v="Francois1er"/>
        <s v="G7"/>
        <s v="Galeto Leblon"/>
        <s v="Gastro Distribuicao"/>
        <s v="Gelateria Don Peppinu"/>
        <s v="Gelati Bianca"/>
        <s v="Guediri Mounir"/>
        <s v="Gusto Gelateria"/>
        <s v="Haagen Dazs"/>
        <s v="Hard Rock"/>
        <s v="Hotel Negresco"/>
        <s v="Il Calcio"/>
        <s v="Il Chioschetto Di Bigh"/>
        <s v="Inmotion @mia 875"/>
        <s v="Intimissimi Uomo"/>
        <s v="Ivs France"/>
        <s v="Jim.com* Thiago Cicer"/>
        <s v="Jpa Mc Trading"/>
        <s v="La Capinera"/>
        <s v="La Democratie"/>
        <s v="La Rinascente Catania"/>
        <s v="La Tarte Tropezi"/>
        <s v="Laura Kaylane"/>
        <s v="Le Bistrot D Arsene"/>
        <s v="Le Bon Marche"/>
        <s v="Le Botticelli"/>
        <s v="Le Cocodile"/>
        <s v="Le Felix"/>
        <s v="Le Grand Cafe"/>
        <s v="Le President"/>
        <s v="Le Souffle"/>
        <s v="Le Tremplin"/>
        <s v="Lime 2 Viagens Uatu"/>
        <s v="Ls Lucky Cigar Surfsi"/>
        <s v="Ls Roberio Cycling Lab"/>
        <s v="Ls World Tennis"/>
        <s v="LSM8"/>
        <s v="Mailaib3lgy"/>
        <s v="Maman Aventura"/>
        <s v="Mango"/>
        <s v="Maniace Boutique Hotel"/>
        <s v="Marathon"/>
        <s v="Massimo Dutti"/>
        <s v="Mayasam Inc"/>
        <s v="Mc2 Saint Barth"/>
        <s v="Miami Internationa"/>
        <s v="Mila"/>
        <s v="Momo Gelato"/>
        <s v="Moncler"/>
        <s v="Morino Sarl"/>
        <s v="Multa Uatu"/>
        <s v="Nache"/>
        <s v="Napoleon"/>
        <s v="Neiman Marcus"/>
        <s v="Newrest Wagons Lits"/>
        <s v="Nike"/>
        <s v="Noir Coffee"/>
        <s v="Nuova Tropical Soc Co"/>
        <s v="Okko Nice Aeroport"/>
        <s v="Olcese Fabien Hu"/>
        <s v="Old Navy Us 5888"/>
        <s v="Oltremare"/>
        <s v="Palace Catania Una Es"/>
        <s v="Palazzo Artemide"/>
        <s v="Pipocadivina"/>
        <s v="Pocket2wrist"/>
        <s v="Praia Das Tartarugas"/>
        <s v="Publix"/>
        <s v="Ratp"/>
        <s v="Regie Ligne D Azur"/>
        <s v="Relais Marbeuf"/>
        <s v="Revoltwearusa"/>
        <s v="Ricevitoria Signorino"/>
        <s v="Ride 22 Min"/>
        <s v="Roissy25516born1"/>
        <s v="Rosetta Bakery At Lenn"/>
        <s v="Royal Yachting Srl"/>
        <s v="Sao Sebastiao Do Rio"/>
        <s v="Sc Le Laurent"/>
        <s v="Sc Rest Lavenue"/>
        <s v="Selecta Sas"/>
        <s v="Silvana Curriel Krivk"/>
        <s v="Sinesia Karol Traco Ba"/>
        <s v="Sncf"/>
        <s v="Societe 4 Gators Mc"/>
        <s v="Sodexo"/>
        <s v="Sq Imperial Moto Av"/>
        <s v="Starbucks"/>
        <s v="Starbucks Store 19090"/>
        <s v="Stazione Carburani"/>
        <s v="Stazione Serv A18"/>
        <s v="Stazione Servizio Q8 1"/>
        <s v="Sum Up I Pititti Di S"/>
        <s v="Sum Up L Isola Del G"/>
        <s v="Swikly Consensio B"/>
        <s v="Tabacs Ste Devot"/>
        <s v="Target"/>
        <s v="Teatro Greco Taormina"/>
        <s v="Tennis Plaza"/>
        <s v="Texaco"/>
        <s v="The Cheesecake Factory"/>
        <s v="Ticombo Gmbh"/>
        <s v="Total Wine And More"/>
        <s v="Tour D Argent"/>
        <s v="Tumi Store"/>
        <s v="Urban Outfitters 250"/>
        <s v="Venchi Aventura Llc"/>
        <s v="Viagem Uatu"/>
        <s v="Victoria's Secret"/>
        <s v="Villa Marquis Member O"/>
        <s v="Wemerson De Jesus Da"/>
        <s v="Whitestorm Courc"/>
        <s v="Wine Bar"/>
        <s v="Yacine Drici"/>
        <s v="Yb Miami"/>
        <s v="Yc Rosiers"/>
        <s v="Yego Ride 16 Min"/>
        <s v="Zeltweg"/>
        <s v="Esimcard Us"/>
        <s v="Ajd Taxi"/>
        <s v="Asc Handling Aereoport"/>
        <s v="Auto Posto Da Praca Tr"/>
        <s v="Chreng Taxi"/>
        <s v="Ker Taxi"/>
        <s v="Malou Taxi"/>
        <s v="Ntumbe Taxi"/>
        <s v="Pds Transports"/>
        <s v="Taxi Damin"/>
        <s v="Taxi Drive Pro"/>
        <s v="Airbnb"/>
        <s v="Airbnb Paris"/>
        <s v="Arpoador Hoteis"/>
        <s v="Belmond Sicily Spa V"/>
        <s v="Follow The Flow - Jericoacoara"/>
        <s v="Four Seasons"/>
        <s v="Hoteis Com - Nice"/>
        <s v="Hoteiscom"/>
        <s v="Hotel Miami"/>
        <s v="Hotel Paris"/>
        <s v="Le Royal Monceau Raffl"/>
        <s v="Montaigne"/>
        <s v="Neo Tickets"/>
        <s v="Easycarhire"/>
        <s v="Europcar"/>
        <s v="Localiza"/>
        <s v="Mg Car Rental Srl"/>
        <s v="Libertadores"/>
        <s v="Air France"/>
        <s v="Air France - Catania"/>
        <s v="Air France - Paris"/>
        <s v="Azul - Miami"/>
        <s v="Easyjet - Nice/Palma"/>
        <s v="Fly - Miami"/>
        <s v="Gol - Miami"/>
        <s v="Gol - Porto Seguro"/>
        <s v="ICON Aviation"/>
        <s v="Ita Airways - Catania/Nice"/>
        <s v="Latam - Miami"/>
        <s v="Latam Airlines"/>
        <s v="Latam Miami"/>
        <s v="Latam Upgrade - Miami"/>
        <s v="Transavia - Palma/Paris"/>
        <s v="Paulo Humberg"/>
        <s v="Debito Fred"/>
        <s v="Saque 800 euros"/>
        <s v="Wise"/>
      </sharedItems>
    </cacheField>
    <cacheField name="RESPONSÁVEL" numFmtId="0">
      <sharedItems containsBlank="1" count="6">
        <s v="Família"/>
        <s v="Fred"/>
        <s v="Thomas"/>
        <s v="Elisa"/>
        <s v="Fabiana"/>
        <m/>
      </sharedItems>
    </cacheField>
    <cacheField name="FORMA DE PGTO" numFmtId="0">
      <sharedItems count="6">
        <s v="Conta corrente BTG"/>
        <s v="Crédito BTG"/>
        <s v="Conta corrente Bradesco"/>
        <s v="Crédito BB"/>
        <s v="Crédito Bradesco"/>
        <s v="Conta corrente BB"/>
      </sharedItems>
    </cacheField>
    <cacheField name="VALOR" numFmtId="0">
      <sharedItems containsSemiMixedTypes="0" containsString="0" containsNumber="1" minValue="-2000" maxValue="274068.63"/>
    </cacheField>
    <cacheField name="Dias (DATA)" numFmtId="0" databaseField="0">
      <fieldGroup base="0">
        <rangePr groupBy="days" startDate="2026-01-01T00:00:00" endDate="2026-07-01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6"/>
        </groupItems>
      </fieldGroup>
    </cacheField>
    <cacheField name="Meses (DATA)" numFmtId="0" databaseField="0">
      <fieldGroup base="0">
        <rangePr groupBy="months" startDate="2026-01-01T00:00:00" endDate="2026-07-01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x v="0"/>
    <x v="0"/>
    <x v="0"/>
    <x v="0"/>
    <x v="0"/>
    <n v="3104.35"/>
  </r>
  <r>
    <x v="1"/>
    <x v="0"/>
    <x v="0"/>
    <x v="1"/>
    <x v="0"/>
    <n v="75400"/>
  </r>
  <r>
    <x v="1"/>
    <x v="0"/>
    <x v="1"/>
    <x v="2"/>
    <x v="0"/>
    <n v="25137.45"/>
  </r>
  <r>
    <x v="1"/>
    <x v="0"/>
    <x v="1"/>
    <x v="3"/>
    <x v="0"/>
    <n v="954166"/>
  </r>
  <r>
    <x v="2"/>
    <x v="0"/>
    <x v="1"/>
    <x v="2"/>
    <x v="0"/>
    <n v="25137.45"/>
  </r>
  <r>
    <x v="2"/>
    <x v="0"/>
    <x v="1"/>
    <x v="3"/>
    <x v="0"/>
    <n v="954166"/>
  </r>
  <r>
    <x v="3"/>
    <x v="0"/>
    <x v="0"/>
    <x v="4"/>
    <x v="0"/>
    <n v="4799.67"/>
  </r>
  <r>
    <x v="4"/>
    <x v="0"/>
    <x v="0"/>
    <x v="5"/>
    <x v="0"/>
    <n v="1254"/>
  </r>
  <r>
    <x v="4"/>
    <x v="0"/>
    <x v="2"/>
    <x v="6"/>
    <x v="0"/>
    <n v="24000"/>
  </r>
  <r>
    <x v="5"/>
    <x v="0"/>
    <x v="0"/>
    <x v="7"/>
    <x v="0"/>
    <n v="2138.1"/>
  </r>
  <r>
    <x v="5"/>
    <x v="0"/>
    <x v="0"/>
    <x v="8"/>
    <x v="0"/>
    <n v="5838.01"/>
  </r>
  <r>
    <x v="6"/>
    <x v="0"/>
    <x v="0"/>
    <x v="9"/>
    <x v="0"/>
    <n v="10000"/>
  </r>
  <r>
    <x v="6"/>
    <x v="0"/>
    <x v="2"/>
    <x v="10"/>
    <x v="0"/>
    <n v="2014.4"/>
  </r>
  <r>
    <x v="6"/>
    <x v="0"/>
    <x v="2"/>
    <x v="10"/>
    <x v="0"/>
    <n v="9585.6"/>
  </r>
  <r>
    <x v="7"/>
    <x v="0"/>
    <x v="0"/>
    <x v="11"/>
    <x v="0"/>
    <n v="12191.5"/>
  </r>
  <r>
    <x v="8"/>
    <x v="0"/>
    <x v="2"/>
    <x v="12"/>
    <x v="0"/>
    <n v="2000"/>
  </r>
  <r>
    <x v="8"/>
    <x v="0"/>
    <x v="2"/>
    <x v="13"/>
    <x v="0"/>
    <n v="76.84"/>
  </r>
  <r>
    <x v="9"/>
    <x v="0"/>
    <x v="0"/>
    <x v="5"/>
    <x v="0"/>
    <n v="672.3"/>
  </r>
  <r>
    <x v="10"/>
    <x v="0"/>
    <x v="0"/>
    <x v="5"/>
    <x v="0"/>
    <n v="672.3"/>
  </r>
  <r>
    <x v="11"/>
    <x v="0"/>
    <x v="0"/>
    <x v="14"/>
    <x v="0"/>
    <n v="2500"/>
  </r>
  <r>
    <x v="11"/>
    <x v="0"/>
    <x v="1"/>
    <x v="15"/>
    <x v="0"/>
    <n v="36985.300000000003"/>
  </r>
  <r>
    <x v="12"/>
    <x v="0"/>
    <x v="0"/>
    <x v="16"/>
    <x v="0"/>
    <n v="4469"/>
  </r>
  <r>
    <x v="13"/>
    <x v="0"/>
    <x v="2"/>
    <x v="10"/>
    <x v="0"/>
    <n v="1373"/>
  </r>
  <r>
    <x v="14"/>
    <x v="0"/>
    <x v="2"/>
    <x v="17"/>
    <x v="0"/>
    <n v="5000"/>
  </r>
  <r>
    <x v="15"/>
    <x v="0"/>
    <x v="0"/>
    <x v="0"/>
    <x v="0"/>
    <n v="3104.35"/>
  </r>
  <r>
    <x v="15"/>
    <x v="0"/>
    <x v="0"/>
    <x v="5"/>
    <x v="0"/>
    <n v="672.3"/>
  </r>
  <r>
    <x v="16"/>
    <x v="0"/>
    <x v="0"/>
    <x v="11"/>
    <x v="0"/>
    <n v="12191.5"/>
  </r>
  <r>
    <x v="17"/>
    <x v="0"/>
    <x v="2"/>
    <x v="18"/>
    <x v="0"/>
    <n v="31666.68"/>
  </r>
  <r>
    <x v="18"/>
    <x v="0"/>
    <x v="0"/>
    <x v="19"/>
    <x v="0"/>
    <n v="4616.66"/>
  </r>
  <r>
    <x v="19"/>
    <x v="0"/>
    <x v="0"/>
    <x v="20"/>
    <x v="0"/>
    <n v="1536"/>
  </r>
  <r>
    <x v="20"/>
    <x v="0"/>
    <x v="2"/>
    <x v="10"/>
    <x v="0"/>
    <n v="2014.4"/>
  </r>
  <r>
    <x v="20"/>
    <x v="0"/>
    <x v="2"/>
    <x v="10"/>
    <x v="0"/>
    <n v="9585.6"/>
  </r>
  <r>
    <x v="21"/>
    <x v="0"/>
    <x v="1"/>
    <x v="2"/>
    <x v="0"/>
    <n v="25137.45"/>
  </r>
  <r>
    <x v="21"/>
    <x v="0"/>
    <x v="1"/>
    <x v="3"/>
    <x v="0"/>
    <n v="954166"/>
  </r>
  <r>
    <x v="22"/>
    <x v="0"/>
    <x v="0"/>
    <x v="14"/>
    <x v="0"/>
    <n v="2500"/>
  </r>
  <r>
    <x v="23"/>
    <x v="0"/>
    <x v="0"/>
    <x v="5"/>
    <x v="0"/>
    <n v="672.3"/>
  </r>
  <r>
    <x v="23"/>
    <x v="0"/>
    <x v="0"/>
    <x v="19"/>
    <x v="0"/>
    <n v="4616.66"/>
  </r>
  <r>
    <x v="24"/>
    <x v="0"/>
    <x v="0"/>
    <x v="21"/>
    <x v="0"/>
    <n v="400"/>
  </r>
  <r>
    <x v="25"/>
    <x v="0"/>
    <x v="2"/>
    <x v="22"/>
    <x v="0"/>
    <n v="6230"/>
  </r>
  <r>
    <x v="26"/>
    <x v="0"/>
    <x v="2"/>
    <x v="18"/>
    <x v="0"/>
    <n v="31666.68"/>
  </r>
  <r>
    <x v="27"/>
    <x v="0"/>
    <x v="0"/>
    <x v="23"/>
    <x v="0"/>
    <n v="3000"/>
  </r>
  <r>
    <x v="28"/>
    <x v="0"/>
    <x v="2"/>
    <x v="10"/>
    <x v="0"/>
    <n v="2014.4"/>
  </r>
  <r>
    <x v="29"/>
    <x v="0"/>
    <x v="2"/>
    <x v="10"/>
    <x v="0"/>
    <n v="9585.6"/>
  </r>
  <r>
    <x v="30"/>
    <x v="0"/>
    <x v="0"/>
    <x v="24"/>
    <x v="0"/>
    <n v="302.5"/>
  </r>
  <r>
    <x v="30"/>
    <x v="0"/>
    <x v="1"/>
    <x v="2"/>
    <x v="0"/>
    <n v="14137.45"/>
  </r>
  <r>
    <x v="30"/>
    <x v="0"/>
    <x v="1"/>
    <x v="3"/>
    <x v="0"/>
    <n v="954166"/>
  </r>
  <r>
    <x v="31"/>
    <x v="0"/>
    <x v="0"/>
    <x v="5"/>
    <x v="0"/>
    <n v="672.3"/>
  </r>
  <r>
    <x v="31"/>
    <x v="0"/>
    <x v="0"/>
    <x v="19"/>
    <x v="0"/>
    <n v="4616.66"/>
  </r>
  <r>
    <x v="32"/>
    <x v="0"/>
    <x v="0"/>
    <x v="5"/>
    <x v="0"/>
    <n v="1020"/>
  </r>
  <r>
    <x v="10"/>
    <x v="0"/>
    <x v="0"/>
    <x v="5"/>
    <x v="0"/>
    <n v="1020"/>
  </r>
  <r>
    <x v="33"/>
    <x v="0"/>
    <x v="0"/>
    <x v="10"/>
    <x v="0"/>
    <n v="583"/>
  </r>
  <r>
    <x v="34"/>
    <x v="0"/>
    <x v="2"/>
    <x v="18"/>
    <x v="0"/>
    <n v="31666.66"/>
  </r>
  <r>
    <x v="35"/>
    <x v="0"/>
    <x v="0"/>
    <x v="25"/>
    <x v="0"/>
    <n v="2501.1"/>
  </r>
  <r>
    <x v="36"/>
    <x v="0"/>
    <x v="0"/>
    <x v="26"/>
    <x v="0"/>
    <n v="500"/>
  </r>
  <r>
    <x v="37"/>
    <x v="0"/>
    <x v="1"/>
    <x v="2"/>
    <x v="0"/>
    <n v="25137.45"/>
  </r>
  <r>
    <x v="37"/>
    <x v="0"/>
    <x v="1"/>
    <x v="3"/>
    <x v="0"/>
    <n v="926166"/>
  </r>
  <r>
    <x v="38"/>
    <x v="0"/>
    <x v="0"/>
    <x v="5"/>
    <x v="0"/>
    <n v="672.3"/>
  </r>
  <r>
    <x v="38"/>
    <x v="0"/>
    <x v="0"/>
    <x v="5"/>
    <x v="0"/>
    <n v="1020"/>
  </r>
  <r>
    <x v="39"/>
    <x v="0"/>
    <x v="0"/>
    <x v="27"/>
    <x v="0"/>
    <n v="4300"/>
  </r>
  <r>
    <x v="40"/>
    <x v="0"/>
    <x v="0"/>
    <x v="28"/>
    <x v="0"/>
    <n v="5500"/>
  </r>
  <r>
    <x v="41"/>
    <x v="0"/>
    <x v="1"/>
    <x v="2"/>
    <x v="0"/>
    <n v="25137.45"/>
  </r>
  <r>
    <x v="41"/>
    <x v="0"/>
    <x v="1"/>
    <x v="3"/>
    <x v="0"/>
    <n v="954166"/>
  </r>
  <r>
    <x v="42"/>
    <x v="0"/>
    <x v="0"/>
    <x v="28"/>
    <x v="0"/>
    <n v="5500"/>
  </r>
  <r>
    <x v="42"/>
    <x v="0"/>
    <x v="0"/>
    <x v="28"/>
    <x v="0"/>
    <n v="550"/>
  </r>
  <r>
    <x v="43"/>
    <x v="0"/>
    <x v="0"/>
    <x v="29"/>
    <x v="0"/>
    <n v="13500"/>
  </r>
  <r>
    <x v="43"/>
    <x v="0"/>
    <x v="0"/>
    <x v="25"/>
    <x v="0"/>
    <n v="2102"/>
  </r>
  <r>
    <x v="2"/>
    <x v="0"/>
    <x v="0"/>
    <x v="30"/>
    <x v="0"/>
    <n v="2400"/>
  </r>
  <r>
    <x v="44"/>
    <x v="0"/>
    <x v="3"/>
    <x v="31"/>
    <x v="0"/>
    <n v="11500"/>
  </r>
  <r>
    <x v="40"/>
    <x v="1"/>
    <x v="4"/>
    <x v="32"/>
    <x v="1"/>
    <n v="360000"/>
  </r>
  <r>
    <x v="26"/>
    <x v="1"/>
    <x v="4"/>
    <x v="32"/>
    <x v="1"/>
    <n v="50000"/>
  </r>
  <r>
    <x v="45"/>
    <x v="1"/>
    <x v="4"/>
    <x v="32"/>
    <x v="1"/>
    <n v="50000"/>
  </r>
  <r>
    <x v="28"/>
    <x v="1"/>
    <x v="4"/>
    <x v="32"/>
    <x v="1"/>
    <n v="50000"/>
  </r>
  <r>
    <x v="0"/>
    <x v="2"/>
    <x v="0"/>
    <x v="33"/>
    <x v="0"/>
    <n v="1607.8"/>
  </r>
  <r>
    <x v="0"/>
    <x v="2"/>
    <x v="0"/>
    <x v="34"/>
    <x v="0"/>
    <n v="3022"/>
  </r>
  <r>
    <x v="0"/>
    <x v="2"/>
    <x v="0"/>
    <x v="8"/>
    <x v="0"/>
    <n v="1555.18"/>
  </r>
  <r>
    <x v="0"/>
    <x v="2"/>
    <x v="0"/>
    <x v="35"/>
    <x v="0"/>
    <n v="287.98"/>
  </r>
  <r>
    <x v="46"/>
    <x v="2"/>
    <x v="0"/>
    <x v="36"/>
    <x v="0"/>
    <n v="10500"/>
  </r>
  <r>
    <x v="47"/>
    <x v="2"/>
    <x v="0"/>
    <x v="37"/>
    <x v="0"/>
    <n v="980"/>
  </r>
  <r>
    <x v="47"/>
    <x v="2"/>
    <x v="0"/>
    <x v="38"/>
    <x v="0"/>
    <n v="80"/>
  </r>
  <r>
    <x v="47"/>
    <x v="2"/>
    <x v="5"/>
    <x v="39"/>
    <x v="0"/>
    <n v="95770.71"/>
  </r>
  <r>
    <x v="4"/>
    <x v="2"/>
    <x v="0"/>
    <x v="40"/>
    <x v="0"/>
    <n v="68000"/>
  </r>
  <r>
    <x v="48"/>
    <x v="2"/>
    <x v="0"/>
    <x v="33"/>
    <x v="0"/>
    <n v="1664.3"/>
  </r>
  <r>
    <x v="49"/>
    <x v="2"/>
    <x v="0"/>
    <x v="41"/>
    <x v="0"/>
    <n v="1132.81"/>
  </r>
  <r>
    <x v="7"/>
    <x v="2"/>
    <x v="0"/>
    <x v="33"/>
    <x v="0"/>
    <n v="104.82"/>
  </r>
  <r>
    <x v="7"/>
    <x v="2"/>
    <x v="0"/>
    <x v="8"/>
    <x v="0"/>
    <n v="5238"/>
  </r>
  <r>
    <x v="50"/>
    <x v="2"/>
    <x v="0"/>
    <x v="42"/>
    <x v="0"/>
    <n v="3292.13"/>
  </r>
  <r>
    <x v="51"/>
    <x v="2"/>
    <x v="0"/>
    <x v="8"/>
    <x v="0"/>
    <n v="570.6"/>
  </r>
  <r>
    <x v="15"/>
    <x v="2"/>
    <x v="0"/>
    <x v="33"/>
    <x v="0"/>
    <n v="1607.8"/>
  </r>
  <r>
    <x v="15"/>
    <x v="2"/>
    <x v="0"/>
    <x v="35"/>
    <x v="0"/>
    <n v="287.98"/>
  </r>
  <r>
    <x v="17"/>
    <x v="2"/>
    <x v="5"/>
    <x v="39"/>
    <x v="0"/>
    <n v="95645.67"/>
  </r>
  <r>
    <x v="52"/>
    <x v="2"/>
    <x v="0"/>
    <x v="16"/>
    <x v="0"/>
    <n v="1000"/>
  </r>
  <r>
    <x v="53"/>
    <x v="2"/>
    <x v="0"/>
    <x v="8"/>
    <x v="0"/>
    <n v="570.6"/>
  </r>
  <r>
    <x v="54"/>
    <x v="2"/>
    <x v="0"/>
    <x v="33"/>
    <x v="0"/>
    <n v="144.15"/>
  </r>
  <r>
    <x v="55"/>
    <x v="2"/>
    <x v="0"/>
    <x v="43"/>
    <x v="0"/>
    <n v="648"/>
  </r>
  <r>
    <x v="23"/>
    <x v="2"/>
    <x v="0"/>
    <x v="33"/>
    <x v="0"/>
    <n v="1607.8"/>
  </r>
  <r>
    <x v="23"/>
    <x v="2"/>
    <x v="0"/>
    <x v="35"/>
    <x v="0"/>
    <n v="287.98"/>
  </r>
  <r>
    <x v="25"/>
    <x v="2"/>
    <x v="0"/>
    <x v="44"/>
    <x v="0"/>
    <n v="1363.45"/>
  </r>
  <r>
    <x v="56"/>
    <x v="2"/>
    <x v="0"/>
    <x v="45"/>
    <x v="0"/>
    <n v="35"/>
  </r>
  <r>
    <x v="56"/>
    <x v="2"/>
    <x v="0"/>
    <x v="46"/>
    <x v="0"/>
    <n v="770"/>
  </r>
  <r>
    <x v="56"/>
    <x v="2"/>
    <x v="0"/>
    <x v="44"/>
    <x v="0"/>
    <n v="198.9"/>
  </r>
  <r>
    <x v="56"/>
    <x v="2"/>
    <x v="0"/>
    <x v="47"/>
    <x v="0"/>
    <n v="662.17"/>
  </r>
  <r>
    <x v="26"/>
    <x v="2"/>
    <x v="0"/>
    <x v="44"/>
    <x v="0"/>
    <n v="9"/>
  </r>
  <r>
    <x v="26"/>
    <x v="2"/>
    <x v="5"/>
    <x v="39"/>
    <x v="0"/>
    <n v="95553.45"/>
  </r>
  <r>
    <x v="27"/>
    <x v="2"/>
    <x v="0"/>
    <x v="27"/>
    <x v="0"/>
    <n v="1320"/>
  </r>
  <r>
    <x v="30"/>
    <x v="2"/>
    <x v="0"/>
    <x v="48"/>
    <x v="0"/>
    <n v="300"/>
  </r>
  <r>
    <x v="57"/>
    <x v="2"/>
    <x v="0"/>
    <x v="16"/>
    <x v="0"/>
    <n v="1000"/>
  </r>
  <r>
    <x v="58"/>
    <x v="2"/>
    <x v="0"/>
    <x v="48"/>
    <x v="0"/>
    <n v="700"/>
  </r>
  <r>
    <x v="59"/>
    <x v="2"/>
    <x v="0"/>
    <x v="49"/>
    <x v="0"/>
    <n v="450"/>
  </r>
  <r>
    <x v="60"/>
    <x v="2"/>
    <x v="0"/>
    <x v="50"/>
    <x v="0"/>
    <n v="299"/>
  </r>
  <r>
    <x v="61"/>
    <x v="2"/>
    <x v="0"/>
    <x v="8"/>
    <x v="0"/>
    <n v="570.6"/>
  </r>
  <r>
    <x v="31"/>
    <x v="2"/>
    <x v="0"/>
    <x v="44"/>
    <x v="0"/>
    <n v="1363.45"/>
  </r>
  <r>
    <x v="31"/>
    <x v="2"/>
    <x v="0"/>
    <x v="47"/>
    <x v="0"/>
    <n v="662.15"/>
  </r>
  <r>
    <x v="31"/>
    <x v="2"/>
    <x v="0"/>
    <x v="35"/>
    <x v="0"/>
    <n v="287.98"/>
  </r>
  <r>
    <x v="32"/>
    <x v="2"/>
    <x v="0"/>
    <x v="33"/>
    <x v="0"/>
    <n v="333.79"/>
  </r>
  <r>
    <x v="33"/>
    <x v="2"/>
    <x v="0"/>
    <x v="51"/>
    <x v="0"/>
    <n v="6838.99"/>
  </r>
  <r>
    <x v="34"/>
    <x v="2"/>
    <x v="0"/>
    <x v="52"/>
    <x v="0"/>
    <n v="2078.1"/>
  </r>
  <r>
    <x v="35"/>
    <x v="2"/>
    <x v="0"/>
    <x v="8"/>
    <x v="0"/>
    <n v="570.6"/>
  </r>
  <r>
    <x v="35"/>
    <x v="2"/>
    <x v="5"/>
    <x v="39"/>
    <x v="0"/>
    <n v="95496.47"/>
  </r>
  <r>
    <x v="62"/>
    <x v="2"/>
    <x v="0"/>
    <x v="53"/>
    <x v="0"/>
    <n v="5464.62"/>
  </r>
  <r>
    <x v="62"/>
    <x v="2"/>
    <x v="0"/>
    <x v="54"/>
    <x v="0"/>
    <n v="1615.31"/>
  </r>
  <r>
    <x v="62"/>
    <x v="2"/>
    <x v="0"/>
    <x v="55"/>
    <x v="0"/>
    <n v="912"/>
  </r>
  <r>
    <x v="38"/>
    <x v="2"/>
    <x v="0"/>
    <x v="47"/>
    <x v="0"/>
    <n v="662.15"/>
  </r>
  <r>
    <x v="39"/>
    <x v="2"/>
    <x v="0"/>
    <x v="56"/>
    <x v="0"/>
    <n v="1120"/>
  </r>
  <r>
    <x v="63"/>
    <x v="2"/>
    <x v="0"/>
    <x v="44"/>
    <x v="0"/>
    <n v="287.47000000000003"/>
  </r>
  <r>
    <x v="63"/>
    <x v="2"/>
    <x v="0"/>
    <x v="55"/>
    <x v="0"/>
    <n v="912"/>
  </r>
  <r>
    <x v="63"/>
    <x v="2"/>
    <x v="5"/>
    <x v="39"/>
    <x v="0"/>
    <n v="101735.2"/>
  </r>
  <r>
    <x v="64"/>
    <x v="2"/>
    <x v="5"/>
    <x v="39"/>
    <x v="0"/>
    <n v="101669.55"/>
  </r>
  <r>
    <x v="65"/>
    <x v="2"/>
    <x v="0"/>
    <x v="53"/>
    <x v="0"/>
    <n v="2300"/>
  </r>
  <r>
    <x v="66"/>
    <x v="2"/>
    <x v="0"/>
    <x v="33"/>
    <x v="0"/>
    <n v="341.69"/>
  </r>
  <r>
    <x v="67"/>
    <x v="2"/>
    <x v="0"/>
    <x v="44"/>
    <x v="0"/>
    <n v="489.8"/>
  </r>
  <r>
    <x v="68"/>
    <x v="2"/>
    <x v="0"/>
    <x v="57"/>
    <x v="0"/>
    <n v="-1565.1"/>
  </r>
  <r>
    <x v="69"/>
    <x v="2"/>
    <x v="0"/>
    <x v="44"/>
    <x v="0"/>
    <n v="321.22000000000003"/>
  </r>
  <r>
    <x v="42"/>
    <x v="2"/>
    <x v="0"/>
    <x v="56"/>
    <x v="0"/>
    <n v="1120"/>
  </r>
  <r>
    <x v="70"/>
    <x v="2"/>
    <x v="0"/>
    <x v="58"/>
    <x v="0"/>
    <n v="550"/>
  </r>
  <r>
    <x v="71"/>
    <x v="2"/>
    <x v="0"/>
    <x v="59"/>
    <x v="0"/>
    <n v="25165"/>
  </r>
  <r>
    <x v="10"/>
    <x v="2"/>
    <x v="0"/>
    <x v="59"/>
    <x v="0"/>
    <n v="25165"/>
  </r>
  <r>
    <x v="72"/>
    <x v="2"/>
    <x v="0"/>
    <x v="60"/>
    <x v="0"/>
    <n v="3000"/>
  </r>
  <r>
    <x v="73"/>
    <x v="2"/>
    <x v="0"/>
    <x v="61"/>
    <x v="0"/>
    <n v="590"/>
  </r>
  <r>
    <x v="74"/>
    <x v="2"/>
    <x v="0"/>
    <x v="62"/>
    <x v="0"/>
    <n v="1377.96"/>
  </r>
  <r>
    <x v="75"/>
    <x v="2"/>
    <x v="0"/>
    <x v="63"/>
    <x v="0"/>
    <n v="483.72"/>
  </r>
  <r>
    <x v="76"/>
    <x v="2"/>
    <x v="0"/>
    <x v="44"/>
    <x v="0"/>
    <n v="183.42"/>
  </r>
  <r>
    <x v="77"/>
    <x v="3"/>
    <x v="6"/>
    <x v="64"/>
    <x v="2"/>
    <n v="326.61"/>
  </r>
  <r>
    <x v="31"/>
    <x v="4"/>
    <x v="7"/>
    <x v="65"/>
    <x v="0"/>
    <n v="350"/>
  </r>
  <r>
    <x v="31"/>
    <x v="4"/>
    <x v="7"/>
    <x v="66"/>
    <x v="0"/>
    <n v="230"/>
  </r>
  <r>
    <x v="39"/>
    <x v="4"/>
    <x v="8"/>
    <x v="67"/>
    <x v="0"/>
    <n v="-19500"/>
  </r>
  <r>
    <x v="78"/>
    <x v="4"/>
    <x v="9"/>
    <x v="68"/>
    <x v="0"/>
    <n v="1250"/>
  </r>
  <r>
    <x v="52"/>
    <x v="4"/>
    <x v="9"/>
    <x v="68"/>
    <x v="0"/>
    <n v="1250"/>
  </r>
  <r>
    <x v="64"/>
    <x v="4"/>
    <x v="8"/>
    <x v="69"/>
    <x v="0"/>
    <n v="-5480"/>
  </r>
  <r>
    <x v="35"/>
    <x v="5"/>
    <x v="2"/>
    <x v="70"/>
    <x v="0"/>
    <n v="6250"/>
  </r>
  <r>
    <x v="79"/>
    <x v="5"/>
    <x v="2"/>
    <x v="70"/>
    <x v="0"/>
    <n v="6250"/>
  </r>
  <r>
    <x v="80"/>
    <x v="5"/>
    <x v="2"/>
    <x v="70"/>
    <x v="0"/>
    <n v="6250"/>
  </r>
  <r>
    <x v="30"/>
    <x v="5"/>
    <x v="2"/>
    <x v="70"/>
    <x v="0"/>
    <n v="6250"/>
  </r>
  <r>
    <x v="31"/>
    <x v="6"/>
    <x v="10"/>
    <x v="71"/>
    <x v="3"/>
    <n v="1950"/>
  </r>
  <r>
    <x v="57"/>
    <x v="6"/>
    <x v="11"/>
    <x v="72"/>
    <x v="0"/>
    <n v="28865.599999999999"/>
  </r>
  <r>
    <x v="57"/>
    <x v="6"/>
    <x v="11"/>
    <x v="73"/>
    <x v="0"/>
    <n v="16755.53"/>
  </r>
  <r>
    <x v="81"/>
    <x v="6"/>
    <x v="9"/>
    <x v="74"/>
    <x v="0"/>
    <n v="2600"/>
  </r>
  <r>
    <x v="31"/>
    <x v="6"/>
    <x v="12"/>
    <x v="73"/>
    <x v="3"/>
    <n v="3000"/>
  </r>
  <r>
    <x v="31"/>
    <x v="6"/>
    <x v="12"/>
    <x v="75"/>
    <x v="3"/>
    <n v="215000"/>
  </r>
  <r>
    <x v="59"/>
    <x v="6"/>
    <x v="13"/>
    <x v="76"/>
    <x v="3"/>
    <n v="-195000"/>
  </r>
  <r>
    <x v="31"/>
    <x v="6"/>
    <x v="14"/>
    <x v="77"/>
    <x v="3"/>
    <n v="754.2"/>
  </r>
  <r>
    <x v="31"/>
    <x v="6"/>
    <x v="15"/>
    <x v="78"/>
    <x v="3"/>
    <n v="900"/>
  </r>
  <r>
    <x v="31"/>
    <x v="7"/>
    <x v="16"/>
    <x v="79"/>
    <x v="3"/>
    <n v="3800"/>
  </r>
  <r>
    <x v="31"/>
    <x v="7"/>
    <x v="16"/>
    <x v="80"/>
    <x v="3"/>
    <n v="6462.5"/>
  </r>
  <r>
    <x v="63"/>
    <x v="7"/>
    <x v="16"/>
    <x v="80"/>
    <x v="3"/>
    <n v="6462.5"/>
  </r>
  <r>
    <x v="10"/>
    <x v="7"/>
    <x v="16"/>
    <x v="80"/>
    <x v="3"/>
    <n v="6462.5"/>
  </r>
  <r>
    <x v="31"/>
    <x v="7"/>
    <x v="16"/>
    <x v="81"/>
    <x v="3"/>
    <n v="2062.5"/>
  </r>
  <r>
    <x v="63"/>
    <x v="7"/>
    <x v="16"/>
    <x v="81"/>
    <x v="3"/>
    <n v="2062.5"/>
  </r>
  <r>
    <x v="10"/>
    <x v="7"/>
    <x v="16"/>
    <x v="81"/>
    <x v="3"/>
    <n v="2062.5"/>
  </r>
  <r>
    <x v="31"/>
    <x v="7"/>
    <x v="16"/>
    <x v="82"/>
    <x v="3"/>
    <n v="6000"/>
  </r>
  <r>
    <x v="82"/>
    <x v="7"/>
    <x v="17"/>
    <x v="83"/>
    <x v="3"/>
    <n v="13500"/>
  </r>
  <r>
    <x v="81"/>
    <x v="7"/>
    <x v="17"/>
    <x v="83"/>
    <x v="3"/>
    <n v="13500"/>
  </r>
  <r>
    <x v="55"/>
    <x v="8"/>
    <x v="18"/>
    <x v="84"/>
    <x v="3"/>
    <n v="58250166.049999997"/>
  </r>
  <r>
    <x v="83"/>
    <x v="8"/>
    <x v="18"/>
    <x v="85"/>
    <x v="3"/>
    <n v="355711.88"/>
  </r>
  <r>
    <x v="12"/>
    <x v="8"/>
    <x v="19"/>
    <x v="86"/>
    <x v="2"/>
    <n v="10570.8"/>
  </r>
  <r>
    <x v="84"/>
    <x v="9"/>
    <x v="20"/>
    <x v="87"/>
    <x v="3"/>
    <n v="2000"/>
  </r>
  <r>
    <x v="85"/>
    <x v="9"/>
    <x v="21"/>
    <x v="76"/>
    <x v="0"/>
    <n v="-80000"/>
  </r>
  <r>
    <x v="85"/>
    <x v="9"/>
    <x v="21"/>
    <x v="88"/>
    <x v="0"/>
    <n v="22.89"/>
  </r>
  <r>
    <x v="85"/>
    <x v="9"/>
    <x v="21"/>
    <x v="89"/>
    <x v="0"/>
    <n v="8000"/>
  </r>
  <r>
    <x v="86"/>
    <x v="9"/>
    <x v="22"/>
    <x v="90"/>
    <x v="2"/>
    <n v="200"/>
  </r>
  <r>
    <x v="86"/>
    <x v="9"/>
    <x v="22"/>
    <x v="91"/>
    <x v="2"/>
    <n v="1020"/>
  </r>
  <r>
    <x v="87"/>
    <x v="9"/>
    <x v="22"/>
    <x v="90"/>
    <x v="2"/>
    <n v="640"/>
  </r>
  <r>
    <x v="87"/>
    <x v="9"/>
    <x v="22"/>
    <x v="92"/>
    <x v="2"/>
    <n v="550"/>
  </r>
  <r>
    <x v="6"/>
    <x v="9"/>
    <x v="22"/>
    <x v="93"/>
    <x v="2"/>
    <n v="474990"/>
  </r>
  <r>
    <x v="8"/>
    <x v="9"/>
    <x v="22"/>
    <x v="91"/>
    <x v="2"/>
    <n v="21599.599999999999"/>
  </r>
  <r>
    <x v="13"/>
    <x v="9"/>
    <x v="22"/>
    <x v="94"/>
    <x v="2"/>
    <n v="22250"/>
  </r>
  <r>
    <x v="15"/>
    <x v="9"/>
    <x v="22"/>
    <x v="94"/>
    <x v="2"/>
    <n v="22250"/>
  </r>
  <r>
    <x v="23"/>
    <x v="9"/>
    <x v="22"/>
    <x v="94"/>
    <x v="2"/>
    <n v="22250"/>
  </r>
  <r>
    <x v="31"/>
    <x v="9"/>
    <x v="22"/>
    <x v="94"/>
    <x v="2"/>
    <n v="22250"/>
  </r>
  <r>
    <x v="16"/>
    <x v="9"/>
    <x v="23"/>
    <x v="95"/>
    <x v="3"/>
    <n v="1070"/>
  </r>
  <r>
    <x v="88"/>
    <x v="9"/>
    <x v="23"/>
    <x v="96"/>
    <x v="3"/>
    <n v="640"/>
  </r>
  <r>
    <x v="88"/>
    <x v="9"/>
    <x v="23"/>
    <x v="97"/>
    <x v="3"/>
    <n v="235"/>
  </r>
  <r>
    <x v="89"/>
    <x v="9"/>
    <x v="24"/>
    <x v="98"/>
    <x v="3"/>
    <n v="15000"/>
  </r>
  <r>
    <x v="32"/>
    <x v="9"/>
    <x v="25"/>
    <x v="99"/>
    <x v="3"/>
    <n v="7100"/>
  </r>
  <r>
    <x v="3"/>
    <x v="9"/>
    <x v="26"/>
    <x v="100"/>
    <x v="0"/>
    <n v="20000"/>
  </r>
  <r>
    <x v="31"/>
    <x v="9"/>
    <x v="26"/>
    <x v="100"/>
    <x v="0"/>
    <n v="1990"/>
  </r>
  <r>
    <x v="38"/>
    <x v="9"/>
    <x v="26"/>
    <x v="100"/>
    <x v="0"/>
    <n v="1990"/>
  </r>
  <r>
    <x v="10"/>
    <x v="9"/>
    <x v="26"/>
    <x v="100"/>
    <x v="0"/>
    <n v="1990"/>
  </r>
  <r>
    <x v="39"/>
    <x v="9"/>
    <x v="27"/>
    <x v="101"/>
    <x v="3"/>
    <n v="3200"/>
  </r>
  <r>
    <x v="39"/>
    <x v="9"/>
    <x v="27"/>
    <x v="102"/>
    <x v="3"/>
    <n v="300"/>
  </r>
  <r>
    <x v="89"/>
    <x v="9"/>
    <x v="27"/>
    <x v="98"/>
    <x v="3"/>
    <n v="13600"/>
  </r>
  <r>
    <x v="48"/>
    <x v="9"/>
    <x v="20"/>
    <x v="103"/>
    <x v="3"/>
    <n v="8000"/>
  </r>
  <r>
    <x v="6"/>
    <x v="9"/>
    <x v="20"/>
    <x v="103"/>
    <x v="3"/>
    <n v="26000"/>
  </r>
  <r>
    <x v="76"/>
    <x v="8"/>
    <x v="19"/>
    <x v="104"/>
    <x v="0"/>
    <n v="4680"/>
  </r>
  <r>
    <x v="76"/>
    <x v="6"/>
    <x v="12"/>
    <x v="105"/>
    <x v="0"/>
    <n v="117000"/>
  </r>
  <r>
    <x v="6"/>
    <x v="9"/>
    <x v="20"/>
    <x v="103"/>
    <x v="3"/>
    <n v="8000"/>
  </r>
  <r>
    <x v="87"/>
    <x v="9"/>
    <x v="28"/>
    <x v="106"/>
    <x v="3"/>
    <n v="2500"/>
  </r>
  <r>
    <x v="87"/>
    <x v="9"/>
    <x v="28"/>
    <x v="106"/>
    <x v="3"/>
    <n v="2500.0100000000002"/>
  </r>
  <r>
    <x v="22"/>
    <x v="9"/>
    <x v="29"/>
    <x v="91"/>
    <x v="3"/>
    <n v="525.83000000000004"/>
  </r>
  <r>
    <x v="29"/>
    <x v="9"/>
    <x v="29"/>
    <x v="107"/>
    <x v="0"/>
    <n v="3980"/>
  </r>
  <r>
    <x v="16"/>
    <x v="9"/>
    <x v="29"/>
    <x v="108"/>
    <x v="3"/>
    <n v="485000"/>
  </r>
  <r>
    <x v="79"/>
    <x v="9"/>
    <x v="29"/>
    <x v="109"/>
    <x v="3"/>
    <n v="500000"/>
  </r>
  <r>
    <x v="22"/>
    <x v="9"/>
    <x v="30"/>
    <x v="110"/>
    <x v="3"/>
    <n v="80000"/>
  </r>
  <r>
    <x v="39"/>
    <x v="9"/>
    <x v="31"/>
    <x v="98"/>
    <x v="3"/>
    <n v="4000"/>
  </r>
  <r>
    <x v="89"/>
    <x v="9"/>
    <x v="31"/>
    <x v="98"/>
    <x v="3"/>
    <n v="10000"/>
  </r>
  <r>
    <x v="90"/>
    <x v="9"/>
    <x v="31"/>
    <x v="98"/>
    <x v="3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x v="0"/>
    <x v="0"/>
    <x v="0"/>
    <x v="0"/>
    <n v="10"/>
  </r>
  <r>
    <x v="0"/>
    <x v="0"/>
    <x v="0"/>
    <x v="0"/>
    <n v="70.599999999999994"/>
  </r>
  <r>
    <x v="1"/>
    <x v="0"/>
    <x v="0"/>
    <x v="0"/>
    <n v="10"/>
  </r>
  <r>
    <x v="1"/>
    <x v="0"/>
    <x v="0"/>
    <x v="0"/>
    <n v="10"/>
  </r>
  <r>
    <x v="2"/>
    <x v="0"/>
    <x v="0"/>
    <x v="0"/>
    <n v="15.94"/>
  </r>
  <r>
    <x v="3"/>
    <x v="0"/>
    <x v="0"/>
    <x v="0"/>
    <n v="1"/>
  </r>
  <r>
    <x v="4"/>
    <x v="0"/>
    <x v="0"/>
    <x v="0"/>
    <n v="7.08"/>
  </r>
  <r>
    <x v="4"/>
    <x v="0"/>
    <x v="0"/>
    <x v="0"/>
    <n v="4.37"/>
  </r>
  <r>
    <x v="5"/>
    <x v="0"/>
    <x v="0"/>
    <x v="0"/>
    <n v="18.91"/>
  </r>
  <r>
    <x v="6"/>
    <x v="0"/>
    <x v="0"/>
    <x v="0"/>
    <n v="1.1499999999999999"/>
  </r>
  <r>
    <x v="7"/>
    <x v="0"/>
    <x v="0"/>
    <x v="0"/>
    <n v="9.7799999999999994"/>
  </r>
  <r>
    <x v="8"/>
    <x v="0"/>
    <x v="0"/>
    <x v="0"/>
    <n v="66.2"/>
  </r>
  <r>
    <x v="9"/>
    <x v="0"/>
    <x v="0"/>
    <x v="0"/>
    <n v="3.55"/>
  </r>
  <r>
    <x v="2"/>
    <x v="0"/>
    <x v="0"/>
    <x v="0"/>
    <n v="13.4"/>
  </r>
  <r>
    <x v="10"/>
    <x v="0"/>
    <x v="0"/>
    <x v="0"/>
    <n v="17.510000000000002"/>
  </r>
  <r>
    <x v="11"/>
    <x v="0"/>
    <x v="0"/>
    <x v="0"/>
    <n v="20"/>
  </r>
  <r>
    <x v="11"/>
    <x v="0"/>
    <x v="0"/>
    <x v="0"/>
    <n v="1.02"/>
  </r>
  <r>
    <x v="12"/>
    <x v="0"/>
    <x v="0"/>
    <x v="0"/>
    <n v="13.6"/>
  </r>
  <r>
    <x v="12"/>
    <x v="0"/>
    <x v="0"/>
    <x v="0"/>
    <n v="13.6"/>
  </r>
  <r>
    <x v="10"/>
    <x v="0"/>
    <x v="0"/>
    <x v="0"/>
    <n v="20"/>
  </r>
  <r>
    <x v="13"/>
    <x v="0"/>
    <x v="1"/>
    <x v="0"/>
    <n v="319"/>
  </r>
  <r>
    <x v="14"/>
    <x v="0"/>
    <x v="1"/>
    <x v="0"/>
    <n v="319"/>
  </r>
  <r>
    <x v="15"/>
    <x v="0"/>
    <x v="1"/>
    <x v="0"/>
    <n v="319"/>
  </r>
  <r>
    <x v="16"/>
    <x v="0"/>
    <x v="1"/>
    <x v="0"/>
    <n v="351"/>
  </r>
  <r>
    <x v="16"/>
    <x v="0"/>
    <x v="1"/>
    <x v="0"/>
    <n v="0.5"/>
  </r>
  <r>
    <x v="17"/>
    <x v="0"/>
    <x v="0"/>
    <x v="0"/>
    <n v="73"/>
  </r>
  <r>
    <x v="17"/>
    <x v="0"/>
    <x v="0"/>
    <x v="0"/>
    <n v="13.6"/>
  </r>
  <r>
    <x v="17"/>
    <x v="0"/>
    <x v="0"/>
    <x v="0"/>
    <n v="10"/>
  </r>
  <r>
    <x v="18"/>
    <x v="0"/>
    <x v="0"/>
    <x v="0"/>
    <n v="15.94"/>
  </r>
  <r>
    <x v="19"/>
    <x v="0"/>
    <x v="0"/>
    <x v="0"/>
    <n v="73"/>
  </r>
  <r>
    <x v="20"/>
    <x v="0"/>
    <x v="0"/>
    <x v="0"/>
    <n v="13.6"/>
  </r>
  <r>
    <x v="20"/>
    <x v="0"/>
    <x v="0"/>
    <x v="0"/>
    <n v="20"/>
  </r>
  <r>
    <x v="21"/>
    <x v="0"/>
    <x v="0"/>
    <x v="0"/>
    <n v="30"/>
  </r>
  <r>
    <x v="22"/>
    <x v="0"/>
    <x v="0"/>
    <x v="0"/>
    <n v="10"/>
  </r>
  <r>
    <x v="23"/>
    <x v="0"/>
    <x v="0"/>
    <x v="0"/>
    <n v="10"/>
  </r>
  <r>
    <x v="24"/>
    <x v="0"/>
    <x v="0"/>
    <x v="0"/>
    <n v="1"/>
  </r>
  <r>
    <x v="25"/>
    <x v="0"/>
    <x v="0"/>
    <x v="0"/>
    <n v="10"/>
  </r>
  <r>
    <x v="26"/>
    <x v="1"/>
    <x v="2"/>
    <x v="1"/>
    <n v="24"/>
  </r>
  <r>
    <x v="7"/>
    <x v="1"/>
    <x v="2"/>
    <x v="1"/>
    <n v="45"/>
  </r>
  <r>
    <x v="27"/>
    <x v="1"/>
    <x v="3"/>
    <x v="2"/>
    <n v="233.25"/>
  </r>
  <r>
    <x v="4"/>
    <x v="1"/>
    <x v="3"/>
    <x v="3"/>
    <n v="442"/>
  </r>
  <r>
    <x v="4"/>
    <x v="1"/>
    <x v="4"/>
    <x v="4"/>
    <n v="115.83"/>
  </r>
  <r>
    <x v="9"/>
    <x v="2"/>
    <x v="5"/>
    <x v="5"/>
    <n v="1769.71"/>
  </r>
  <r>
    <x v="10"/>
    <x v="3"/>
    <x v="6"/>
    <x v="6"/>
    <n v="72079.600000000006"/>
  </r>
  <r>
    <x v="11"/>
    <x v="1"/>
    <x v="4"/>
    <x v="7"/>
    <n v="103.86"/>
  </r>
  <r>
    <x v="4"/>
    <x v="1"/>
    <x v="7"/>
    <x v="8"/>
    <n v="180.02"/>
  </r>
  <r>
    <x v="4"/>
    <x v="1"/>
    <x v="7"/>
    <x v="8"/>
    <n v="90"/>
  </r>
  <r>
    <x v="28"/>
    <x v="4"/>
    <x v="8"/>
    <x v="9"/>
    <n v="1260"/>
  </r>
  <r>
    <x v="29"/>
    <x v="4"/>
    <x v="8"/>
    <x v="9"/>
    <n v="1042.52"/>
  </r>
  <r>
    <x v="30"/>
    <x v="4"/>
    <x v="9"/>
    <x v="10"/>
    <n v="599"/>
  </r>
  <r>
    <x v="24"/>
    <x v="4"/>
    <x v="10"/>
    <x v="11"/>
    <n v="299"/>
  </r>
  <r>
    <x v="27"/>
    <x v="5"/>
    <x v="11"/>
    <x v="12"/>
    <n v="30000"/>
  </r>
  <r>
    <x v="31"/>
    <x v="5"/>
    <x v="11"/>
    <x v="12"/>
    <n v="15516.56"/>
  </r>
  <r>
    <x v="2"/>
    <x v="5"/>
    <x v="11"/>
    <x v="12"/>
    <n v="16397.52"/>
  </r>
  <r>
    <x v="17"/>
    <x v="5"/>
    <x v="11"/>
    <x v="12"/>
    <n v="17841.580000000002"/>
  </r>
  <r>
    <x v="11"/>
    <x v="5"/>
    <x v="12"/>
    <x v="12"/>
    <n v="28900"/>
  </r>
  <r>
    <x v="20"/>
    <x v="5"/>
    <x v="11"/>
    <x v="12"/>
    <n v="3841.58"/>
  </r>
  <r>
    <x v="32"/>
    <x v="5"/>
    <x v="11"/>
    <x v="12"/>
    <n v="14000"/>
  </r>
  <r>
    <x v="32"/>
    <x v="5"/>
    <x v="12"/>
    <x v="12"/>
    <n v="38500"/>
  </r>
  <r>
    <x v="33"/>
    <x v="6"/>
    <x v="13"/>
    <x v="13"/>
    <n v="11000"/>
  </r>
  <r>
    <x v="31"/>
    <x v="6"/>
    <x v="13"/>
    <x v="13"/>
    <n v="11000"/>
  </r>
  <r>
    <x v="2"/>
    <x v="6"/>
    <x v="13"/>
    <x v="13"/>
    <n v="11000"/>
  </r>
  <r>
    <x v="17"/>
    <x v="6"/>
    <x v="13"/>
    <x v="13"/>
    <n v="12000"/>
  </r>
  <r>
    <x v="34"/>
    <x v="6"/>
    <x v="14"/>
    <x v="14"/>
    <n v="2678.2200000000003"/>
  </r>
  <r>
    <x v="35"/>
    <x v="6"/>
    <x v="14"/>
    <x v="14"/>
    <n v="2678.22"/>
  </r>
  <r>
    <x v="36"/>
    <x v="6"/>
    <x v="14"/>
    <x v="14"/>
    <n v="1334.45"/>
  </r>
  <r>
    <x v="36"/>
    <x v="6"/>
    <x v="14"/>
    <x v="14"/>
    <n v="1436.18"/>
  </r>
  <r>
    <x v="5"/>
    <x v="6"/>
    <x v="14"/>
    <x v="14"/>
    <n v="1304.78"/>
  </r>
  <r>
    <x v="5"/>
    <x v="6"/>
    <x v="14"/>
    <x v="14"/>
    <n v="1404.25"/>
  </r>
  <r>
    <x v="37"/>
    <x v="6"/>
    <x v="15"/>
    <x v="15"/>
    <n v="99.9"/>
  </r>
  <r>
    <x v="38"/>
    <x v="6"/>
    <x v="15"/>
    <x v="15"/>
    <n v="189.63"/>
  </r>
  <r>
    <x v="2"/>
    <x v="6"/>
    <x v="15"/>
    <x v="15"/>
    <n v="249.46"/>
  </r>
  <r>
    <x v="17"/>
    <x v="6"/>
    <x v="15"/>
    <x v="15"/>
    <n v="258.8"/>
  </r>
  <r>
    <x v="39"/>
    <x v="6"/>
    <x v="15"/>
    <x v="16"/>
    <n v="70.34"/>
  </r>
  <r>
    <x v="17"/>
    <x v="6"/>
    <x v="15"/>
    <x v="16"/>
    <n v="184.14"/>
  </r>
  <r>
    <x v="40"/>
    <x v="6"/>
    <x v="15"/>
    <x v="16"/>
    <n v="194.32999999999998"/>
  </r>
  <r>
    <x v="36"/>
    <x v="6"/>
    <x v="15"/>
    <x v="16"/>
    <n v="167.95"/>
  </r>
  <r>
    <x v="29"/>
    <x v="6"/>
    <x v="15"/>
    <x v="16"/>
    <n v="58.78"/>
  </r>
  <r>
    <x v="41"/>
    <x v="6"/>
    <x v="15"/>
    <x v="16"/>
    <n v="56.77"/>
  </r>
  <r>
    <x v="37"/>
    <x v="6"/>
    <x v="16"/>
    <x v="17"/>
    <n v="859.93000000000006"/>
  </r>
  <r>
    <x v="38"/>
    <x v="6"/>
    <x v="16"/>
    <x v="17"/>
    <n v="859.93000000000006"/>
  </r>
  <r>
    <x v="2"/>
    <x v="6"/>
    <x v="16"/>
    <x v="17"/>
    <n v="859.93000000000006"/>
  </r>
  <r>
    <x v="17"/>
    <x v="6"/>
    <x v="16"/>
    <x v="17"/>
    <n v="859.93000000000006"/>
  </r>
  <r>
    <x v="33"/>
    <x v="6"/>
    <x v="17"/>
    <x v="18"/>
    <n v="600"/>
  </r>
  <r>
    <x v="31"/>
    <x v="6"/>
    <x v="17"/>
    <x v="18"/>
    <n v="600"/>
  </r>
  <r>
    <x v="2"/>
    <x v="6"/>
    <x v="17"/>
    <x v="18"/>
    <n v="600"/>
  </r>
  <r>
    <x v="17"/>
    <x v="6"/>
    <x v="17"/>
    <x v="18"/>
    <n v="600"/>
  </r>
  <r>
    <x v="26"/>
    <x v="6"/>
    <x v="18"/>
    <x v="19"/>
    <n v="120"/>
  </r>
  <r>
    <x v="42"/>
    <x v="6"/>
    <x v="18"/>
    <x v="20"/>
    <n v="345"/>
  </r>
  <r>
    <x v="43"/>
    <x v="6"/>
    <x v="18"/>
    <x v="20"/>
    <n v="1000"/>
  </r>
  <r>
    <x v="37"/>
    <x v="6"/>
    <x v="18"/>
    <x v="20"/>
    <n v="150"/>
  </r>
  <r>
    <x v="44"/>
    <x v="6"/>
    <x v="18"/>
    <x v="20"/>
    <n v="30"/>
  </r>
  <r>
    <x v="44"/>
    <x v="6"/>
    <x v="18"/>
    <x v="20"/>
    <n v="158"/>
  </r>
  <r>
    <x v="39"/>
    <x v="6"/>
    <x v="18"/>
    <x v="20"/>
    <n v="100"/>
  </r>
  <r>
    <x v="42"/>
    <x v="6"/>
    <x v="18"/>
    <x v="21"/>
    <n v="150"/>
  </r>
  <r>
    <x v="45"/>
    <x v="6"/>
    <x v="18"/>
    <x v="22"/>
    <n v="210"/>
  </r>
  <r>
    <x v="34"/>
    <x v="6"/>
    <x v="18"/>
    <x v="23"/>
    <n v="120"/>
  </r>
  <r>
    <x v="17"/>
    <x v="6"/>
    <x v="19"/>
    <x v="24"/>
    <n v="74.8"/>
  </r>
  <r>
    <x v="46"/>
    <x v="6"/>
    <x v="14"/>
    <x v="14"/>
    <n v="1304.78"/>
  </r>
  <r>
    <x v="46"/>
    <x v="6"/>
    <x v="14"/>
    <x v="14"/>
    <n v="1404.25"/>
  </r>
  <r>
    <x v="46"/>
    <x v="6"/>
    <x v="15"/>
    <x v="16"/>
    <n v="139.47999999999999"/>
  </r>
  <r>
    <x v="46"/>
    <x v="6"/>
    <x v="19"/>
    <x v="24"/>
    <n v="74.819999999999993"/>
  </r>
  <r>
    <x v="20"/>
    <x v="6"/>
    <x v="13"/>
    <x v="13"/>
    <n v="10000"/>
  </r>
  <r>
    <x v="20"/>
    <x v="6"/>
    <x v="13"/>
    <x v="13"/>
    <n v="2000"/>
  </r>
  <r>
    <x v="32"/>
    <x v="6"/>
    <x v="17"/>
    <x v="18"/>
    <n v="1040"/>
  </r>
  <r>
    <x v="47"/>
    <x v="6"/>
    <x v="16"/>
    <x v="17"/>
    <n v="415.26"/>
  </r>
  <r>
    <x v="47"/>
    <x v="6"/>
    <x v="16"/>
    <x v="17"/>
    <n v="444.67"/>
  </r>
  <r>
    <x v="47"/>
    <x v="6"/>
    <x v="15"/>
    <x v="15"/>
    <n v="258.8"/>
  </r>
  <r>
    <x v="48"/>
    <x v="6"/>
    <x v="15"/>
    <x v="16"/>
    <n v="61.41"/>
  </r>
  <r>
    <x v="48"/>
    <x v="6"/>
    <x v="15"/>
    <x v="16"/>
    <n v="39.9"/>
  </r>
  <r>
    <x v="49"/>
    <x v="6"/>
    <x v="15"/>
    <x v="16"/>
    <n v="61.41"/>
  </r>
  <r>
    <x v="11"/>
    <x v="7"/>
    <x v="20"/>
    <x v="25"/>
    <n v="15600"/>
  </r>
  <r>
    <x v="1"/>
    <x v="7"/>
    <x v="20"/>
    <x v="26"/>
    <n v="1400"/>
  </r>
  <r>
    <x v="7"/>
    <x v="7"/>
    <x v="20"/>
    <x v="26"/>
    <n v="2450"/>
  </r>
  <r>
    <x v="30"/>
    <x v="7"/>
    <x v="21"/>
    <x v="27"/>
    <n v="3000"/>
  </r>
  <r>
    <x v="50"/>
    <x v="7"/>
    <x v="21"/>
    <x v="27"/>
    <n v="3000"/>
  </r>
  <r>
    <x v="51"/>
    <x v="7"/>
    <x v="21"/>
    <x v="27"/>
    <n v="3000"/>
  </r>
  <r>
    <x v="4"/>
    <x v="7"/>
    <x v="21"/>
    <x v="27"/>
    <n v="3000"/>
  </r>
  <r>
    <x v="52"/>
    <x v="7"/>
    <x v="21"/>
    <x v="27"/>
    <n v="3000"/>
  </r>
  <r>
    <x v="53"/>
    <x v="7"/>
    <x v="22"/>
    <x v="28"/>
    <n v="1500"/>
  </r>
  <r>
    <x v="54"/>
    <x v="7"/>
    <x v="23"/>
    <x v="29"/>
    <n v="1407.75"/>
  </r>
  <r>
    <x v="55"/>
    <x v="7"/>
    <x v="23"/>
    <x v="29"/>
    <n v="1407"/>
  </r>
  <r>
    <x v="4"/>
    <x v="7"/>
    <x v="23"/>
    <x v="29"/>
    <n v="1407.75"/>
  </r>
  <r>
    <x v="56"/>
    <x v="7"/>
    <x v="23"/>
    <x v="29"/>
    <n v="1407.75"/>
  </r>
  <r>
    <x v="27"/>
    <x v="7"/>
    <x v="24"/>
    <x v="30"/>
    <n v="240"/>
  </r>
  <r>
    <x v="4"/>
    <x v="7"/>
    <x v="24"/>
    <x v="31"/>
    <n v="600"/>
  </r>
  <r>
    <x v="7"/>
    <x v="7"/>
    <x v="24"/>
    <x v="31"/>
    <n v="900"/>
  </r>
  <r>
    <x v="16"/>
    <x v="7"/>
    <x v="25"/>
    <x v="32"/>
    <n v="4223.25"/>
  </r>
  <r>
    <x v="0"/>
    <x v="7"/>
    <x v="25"/>
    <x v="32"/>
    <n v="4223.25"/>
  </r>
  <r>
    <x v="17"/>
    <x v="7"/>
    <x v="25"/>
    <x v="32"/>
    <n v="4223.25"/>
  </r>
  <r>
    <x v="27"/>
    <x v="7"/>
    <x v="26"/>
    <x v="33"/>
    <n v="750"/>
  </r>
  <r>
    <x v="10"/>
    <x v="7"/>
    <x v="27"/>
    <x v="34"/>
    <n v="23400"/>
  </r>
  <r>
    <x v="12"/>
    <x v="7"/>
    <x v="27"/>
    <x v="35"/>
    <n v="10000"/>
  </r>
  <r>
    <x v="10"/>
    <x v="7"/>
    <x v="20"/>
    <x v="36"/>
    <n v="37500"/>
  </r>
  <r>
    <x v="12"/>
    <x v="7"/>
    <x v="20"/>
    <x v="37"/>
    <n v="22433.37"/>
  </r>
  <r>
    <x v="21"/>
    <x v="7"/>
    <x v="23"/>
    <x v="29"/>
    <n v="1407.75"/>
  </r>
  <r>
    <x v="22"/>
    <x v="7"/>
    <x v="27"/>
    <x v="38"/>
    <n v="3000"/>
  </r>
  <r>
    <x v="48"/>
    <x v="7"/>
    <x v="21"/>
    <x v="27"/>
    <n v="3000"/>
  </r>
  <r>
    <x v="23"/>
    <x v="7"/>
    <x v="27"/>
    <x v="35"/>
    <n v="10000"/>
  </r>
  <r>
    <x v="24"/>
    <x v="7"/>
    <x v="27"/>
    <x v="34"/>
    <n v="20"/>
  </r>
  <r>
    <x v="25"/>
    <x v="7"/>
    <x v="24"/>
    <x v="39"/>
    <n v="1100"/>
  </r>
  <r>
    <x v="57"/>
    <x v="8"/>
    <x v="28"/>
    <x v="40"/>
    <n v="47"/>
  </r>
  <r>
    <x v="58"/>
    <x v="8"/>
    <x v="28"/>
    <x v="40"/>
    <n v="5.98"/>
  </r>
  <r>
    <x v="59"/>
    <x v="8"/>
    <x v="28"/>
    <x v="40"/>
    <n v="38.53"/>
  </r>
  <r>
    <x v="60"/>
    <x v="8"/>
    <x v="28"/>
    <x v="40"/>
    <n v="618"/>
  </r>
  <r>
    <x v="61"/>
    <x v="8"/>
    <x v="28"/>
    <x v="40"/>
    <n v="259"/>
  </r>
  <r>
    <x v="42"/>
    <x v="8"/>
    <x v="28"/>
    <x v="40"/>
    <n v="14"/>
  </r>
  <r>
    <x v="61"/>
    <x v="8"/>
    <x v="28"/>
    <x v="40"/>
    <n v="25"/>
  </r>
  <r>
    <x v="62"/>
    <x v="8"/>
    <x v="28"/>
    <x v="40"/>
    <n v="19.8"/>
  </r>
  <r>
    <x v="61"/>
    <x v="8"/>
    <x v="28"/>
    <x v="40"/>
    <n v="34.299999999999997"/>
  </r>
  <r>
    <x v="63"/>
    <x v="8"/>
    <x v="29"/>
    <x v="41"/>
    <n v="55"/>
  </r>
  <r>
    <x v="63"/>
    <x v="8"/>
    <x v="29"/>
    <x v="41"/>
    <n v="25"/>
  </r>
  <r>
    <x v="45"/>
    <x v="8"/>
    <x v="29"/>
    <x v="41"/>
    <n v="145"/>
  </r>
  <r>
    <x v="28"/>
    <x v="8"/>
    <x v="29"/>
    <x v="41"/>
    <n v="25.8"/>
  </r>
  <r>
    <x v="3"/>
    <x v="8"/>
    <x v="29"/>
    <x v="41"/>
    <n v="100"/>
  </r>
  <r>
    <x v="64"/>
    <x v="8"/>
    <x v="29"/>
    <x v="41"/>
    <n v="9.9"/>
  </r>
  <r>
    <x v="64"/>
    <x v="8"/>
    <x v="29"/>
    <x v="41"/>
    <n v="70"/>
  </r>
  <r>
    <x v="65"/>
    <x v="8"/>
    <x v="29"/>
    <x v="41"/>
    <n v="988"/>
  </r>
  <r>
    <x v="66"/>
    <x v="8"/>
    <x v="29"/>
    <x v="41"/>
    <n v="131.81"/>
  </r>
  <r>
    <x v="67"/>
    <x v="8"/>
    <x v="29"/>
    <x v="41"/>
    <n v="17.100000000000001"/>
  </r>
  <r>
    <x v="15"/>
    <x v="8"/>
    <x v="29"/>
    <x v="41"/>
    <n v="25"/>
  </r>
  <r>
    <x v="68"/>
    <x v="8"/>
    <x v="29"/>
    <x v="41"/>
    <n v="392.8"/>
  </r>
  <r>
    <x v="69"/>
    <x v="8"/>
    <x v="29"/>
    <x v="41"/>
    <n v="158.88999999999999"/>
  </r>
  <r>
    <x v="58"/>
    <x v="8"/>
    <x v="29"/>
    <x v="41"/>
    <n v="78.319999999999993"/>
  </r>
  <r>
    <x v="1"/>
    <x v="8"/>
    <x v="29"/>
    <x v="41"/>
    <n v="261.60000000000002"/>
  </r>
  <r>
    <x v="59"/>
    <x v="8"/>
    <x v="29"/>
    <x v="41"/>
    <n v="113.7"/>
  </r>
  <r>
    <x v="70"/>
    <x v="8"/>
    <x v="29"/>
    <x v="41"/>
    <n v="26.6"/>
  </r>
  <r>
    <x v="2"/>
    <x v="8"/>
    <x v="29"/>
    <x v="41"/>
    <n v="194.67"/>
  </r>
  <r>
    <x v="2"/>
    <x v="8"/>
    <x v="29"/>
    <x v="41"/>
    <n v="402.76"/>
  </r>
  <r>
    <x v="71"/>
    <x v="8"/>
    <x v="29"/>
    <x v="41"/>
    <n v="883.3"/>
  </r>
  <r>
    <x v="72"/>
    <x v="8"/>
    <x v="29"/>
    <x v="41"/>
    <n v="3429.02"/>
  </r>
  <r>
    <x v="70"/>
    <x v="8"/>
    <x v="29"/>
    <x v="41"/>
    <n v="30"/>
  </r>
  <r>
    <x v="6"/>
    <x v="8"/>
    <x v="29"/>
    <x v="41"/>
    <n v="116.49"/>
  </r>
  <r>
    <x v="67"/>
    <x v="8"/>
    <x v="29"/>
    <x v="41"/>
    <n v="7.99"/>
  </r>
  <r>
    <x v="10"/>
    <x v="8"/>
    <x v="29"/>
    <x v="41"/>
    <n v="19.989999999999998"/>
  </r>
  <r>
    <x v="62"/>
    <x v="8"/>
    <x v="29"/>
    <x v="41"/>
    <n v="35"/>
  </r>
  <r>
    <x v="15"/>
    <x v="8"/>
    <x v="29"/>
    <x v="41"/>
    <n v="132.6"/>
  </r>
  <r>
    <x v="17"/>
    <x v="8"/>
    <x v="29"/>
    <x v="41"/>
    <n v="358.9"/>
  </r>
  <r>
    <x v="10"/>
    <x v="8"/>
    <x v="29"/>
    <x v="41"/>
    <n v="67.599999999999994"/>
  </r>
  <r>
    <x v="20"/>
    <x v="8"/>
    <x v="29"/>
    <x v="41"/>
    <n v="38.5"/>
  </r>
  <r>
    <x v="49"/>
    <x v="8"/>
    <x v="29"/>
    <x v="42"/>
    <n v="230.99"/>
  </r>
  <r>
    <x v="28"/>
    <x v="3"/>
    <x v="30"/>
    <x v="43"/>
    <n v="250.91"/>
  </r>
  <r>
    <x v="28"/>
    <x v="3"/>
    <x v="31"/>
    <x v="44"/>
    <n v="1014.75"/>
  </r>
  <r>
    <x v="12"/>
    <x v="3"/>
    <x v="31"/>
    <x v="44"/>
    <n v="187.54"/>
  </r>
  <r>
    <x v="57"/>
    <x v="3"/>
    <x v="32"/>
    <x v="44"/>
    <n v="27.97"/>
  </r>
  <r>
    <x v="28"/>
    <x v="3"/>
    <x v="32"/>
    <x v="44"/>
    <n v="33.270000000000003"/>
  </r>
  <r>
    <x v="73"/>
    <x v="3"/>
    <x v="31"/>
    <x v="44"/>
    <n v="9124.27"/>
  </r>
  <r>
    <x v="74"/>
    <x v="3"/>
    <x v="33"/>
    <x v="45"/>
    <n v="526.85"/>
  </r>
  <r>
    <x v="75"/>
    <x v="2"/>
    <x v="34"/>
    <x v="46"/>
    <n v="12"/>
  </r>
  <r>
    <x v="67"/>
    <x v="2"/>
    <x v="34"/>
    <x v="46"/>
    <n v="43.5"/>
  </r>
  <r>
    <x v="43"/>
    <x v="2"/>
    <x v="35"/>
    <x v="47"/>
    <n v="4802.8599999999997"/>
  </r>
  <r>
    <x v="70"/>
    <x v="2"/>
    <x v="35"/>
    <x v="47"/>
    <n v="1321.29"/>
  </r>
  <r>
    <x v="51"/>
    <x v="2"/>
    <x v="36"/>
    <x v="48"/>
    <n v="2387.17"/>
  </r>
  <r>
    <x v="76"/>
    <x v="2"/>
    <x v="36"/>
    <x v="48"/>
    <n v="4426.82"/>
  </r>
  <r>
    <x v="77"/>
    <x v="2"/>
    <x v="37"/>
    <x v="8"/>
    <n v="166.59"/>
  </r>
  <r>
    <x v="3"/>
    <x v="2"/>
    <x v="38"/>
    <x v="46"/>
    <n v="953.42"/>
  </r>
  <r>
    <x v="78"/>
    <x v="2"/>
    <x v="39"/>
    <x v="8"/>
    <n v="379.68"/>
  </r>
  <r>
    <x v="35"/>
    <x v="2"/>
    <x v="40"/>
    <x v="49"/>
    <n v="4888.28"/>
  </r>
  <r>
    <x v="27"/>
    <x v="2"/>
    <x v="38"/>
    <x v="46"/>
    <n v="516.65"/>
  </r>
  <r>
    <x v="79"/>
    <x v="2"/>
    <x v="41"/>
    <x v="47"/>
    <n v="6005.05"/>
  </r>
  <r>
    <x v="72"/>
    <x v="2"/>
    <x v="41"/>
    <x v="47"/>
    <n v="2913.88"/>
  </r>
  <r>
    <x v="67"/>
    <x v="2"/>
    <x v="42"/>
    <x v="46"/>
    <n v="144"/>
  </r>
  <r>
    <x v="75"/>
    <x v="2"/>
    <x v="43"/>
    <x v="46"/>
    <n v="11.8"/>
  </r>
  <r>
    <x v="75"/>
    <x v="2"/>
    <x v="44"/>
    <x v="46"/>
    <n v="224"/>
  </r>
  <r>
    <x v="75"/>
    <x v="2"/>
    <x v="44"/>
    <x v="46"/>
    <n v="5"/>
  </r>
  <r>
    <x v="75"/>
    <x v="2"/>
    <x v="45"/>
    <x v="46"/>
    <n v="73.7"/>
  </r>
  <r>
    <x v="75"/>
    <x v="2"/>
    <x v="46"/>
    <x v="46"/>
    <n v="12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x v="0"/>
    <x v="0"/>
    <x v="0"/>
    <x v="0"/>
    <x v="0"/>
    <x v="0"/>
    <n v="3719.02"/>
  </r>
  <r>
    <x v="1"/>
    <x v="0"/>
    <x v="0"/>
    <x v="0"/>
    <x v="0"/>
    <x v="0"/>
    <n v="3096.41"/>
  </r>
  <r>
    <x v="2"/>
    <x v="0"/>
    <x v="0"/>
    <x v="0"/>
    <x v="0"/>
    <x v="0"/>
    <n v="3123.35"/>
  </r>
  <r>
    <x v="3"/>
    <x v="0"/>
    <x v="0"/>
    <x v="0"/>
    <x v="0"/>
    <x v="0"/>
    <n v="3921.07"/>
  </r>
  <r>
    <x v="4"/>
    <x v="0"/>
    <x v="0"/>
    <x v="0"/>
    <x v="0"/>
    <x v="0"/>
    <n v="3165.7"/>
  </r>
  <r>
    <x v="5"/>
    <x v="0"/>
    <x v="0"/>
    <x v="0"/>
    <x v="0"/>
    <x v="0"/>
    <n v="3681.5"/>
  </r>
  <r>
    <x v="0"/>
    <x v="0"/>
    <x v="0"/>
    <x v="1"/>
    <x v="0"/>
    <x v="0"/>
    <n v="7454.86"/>
  </r>
  <r>
    <x v="1"/>
    <x v="0"/>
    <x v="0"/>
    <x v="1"/>
    <x v="0"/>
    <x v="0"/>
    <n v="7372.84"/>
  </r>
  <r>
    <x v="2"/>
    <x v="0"/>
    <x v="0"/>
    <x v="1"/>
    <x v="0"/>
    <x v="0"/>
    <n v="7569.74"/>
  </r>
  <r>
    <x v="3"/>
    <x v="0"/>
    <x v="0"/>
    <x v="1"/>
    <x v="0"/>
    <x v="0"/>
    <n v="8403.94"/>
  </r>
  <r>
    <x v="6"/>
    <x v="0"/>
    <x v="0"/>
    <x v="1"/>
    <x v="0"/>
    <x v="0"/>
    <n v="9616.9"/>
  </r>
  <r>
    <x v="5"/>
    <x v="0"/>
    <x v="0"/>
    <x v="1"/>
    <x v="0"/>
    <x v="0"/>
    <n v="7756.04"/>
  </r>
  <r>
    <x v="7"/>
    <x v="0"/>
    <x v="1"/>
    <x v="2"/>
    <x v="0"/>
    <x v="0"/>
    <n v="992.57"/>
  </r>
  <r>
    <x v="8"/>
    <x v="0"/>
    <x v="1"/>
    <x v="2"/>
    <x v="0"/>
    <x v="0"/>
    <n v="104.5"/>
  </r>
  <r>
    <x v="3"/>
    <x v="0"/>
    <x v="1"/>
    <x v="2"/>
    <x v="0"/>
    <x v="0"/>
    <n v="4299.4399999999996"/>
  </r>
  <r>
    <x v="3"/>
    <x v="0"/>
    <x v="1"/>
    <x v="2"/>
    <x v="0"/>
    <x v="0"/>
    <n v="2800.09"/>
  </r>
  <r>
    <x v="9"/>
    <x v="0"/>
    <x v="1"/>
    <x v="2"/>
    <x v="0"/>
    <x v="0"/>
    <n v="901.16"/>
  </r>
  <r>
    <x v="6"/>
    <x v="0"/>
    <x v="1"/>
    <x v="2"/>
    <x v="0"/>
    <x v="0"/>
    <n v="930.72"/>
  </r>
  <r>
    <x v="10"/>
    <x v="0"/>
    <x v="1"/>
    <x v="3"/>
    <x v="0"/>
    <x v="0"/>
    <n v="4744.43"/>
  </r>
  <r>
    <x v="11"/>
    <x v="0"/>
    <x v="1"/>
    <x v="3"/>
    <x v="0"/>
    <x v="0"/>
    <n v="1717.56"/>
  </r>
  <r>
    <x v="3"/>
    <x v="0"/>
    <x v="1"/>
    <x v="3"/>
    <x v="0"/>
    <x v="0"/>
    <n v="1594.32"/>
  </r>
  <r>
    <x v="12"/>
    <x v="0"/>
    <x v="1"/>
    <x v="3"/>
    <x v="0"/>
    <x v="0"/>
    <n v="1573.02"/>
  </r>
  <r>
    <x v="13"/>
    <x v="0"/>
    <x v="1"/>
    <x v="3"/>
    <x v="0"/>
    <x v="0"/>
    <n v="2514.9"/>
  </r>
  <r>
    <x v="14"/>
    <x v="0"/>
    <x v="1"/>
    <x v="4"/>
    <x v="0"/>
    <x v="0"/>
    <n v="10.63"/>
  </r>
  <r>
    <x v="14"/>
    <x v="0"/>
    <x v="1"/>
    <x v="4"/>
    <x v="0"/>
    <x v="0"/>
    <n v="285.89"/>
  </r>
  <r>
    <x v="15"/>
    <x v="0"/>
    <x v="1"/>
    <x v="4"/>
    <x v="0"/>
    <x v="0"/>
    <n v="420.89"/>
  </r>
  <r>
    <x v="16"/>
    <x v="0"/>
    <x v="1"/>
    <x v="4"/>
    <x v="0"/>
    <x v="0"/>
    <n v="699.9"/>
  </r>
  <r>
    <x v="3"/>
    <x v="0"/>
    <x v="1"/>
    <x v="4"/>
    <x v="0"/>
    <x v="0"/>
    <n v="699.9"/>
  </r>
  <r>
    <x v="17"/>
    <x v="0"/>
    <x v="1"/>
    <x v="4"/>
    <x v="0"/>
    <x v="0"/>
    <n v="736.8"/>
  </r>
  <r>
    <x v="18"/>
    <x v="0"/>
    <x v="1"/>
    <x v="4"/>
    <x v="0"/>
    <x v="0"/>
    <n v="735.56"/>
  </r>
  <r>
    <x v="19"/>
    <x v="0"/>
    <x v="2"/>
    <x v="5"/>
    <x v="0"/>
    <x v="0"/>
    <n v="250"/>
  </r>
  <r>
    <x v="20"/>
    <x v="0"/>
    <x v="2"/>
    <x v="6"/>
    <x v="0"/>
    <x v="0"/>
    <n v="570"/>
  </r>
  <r>
    <x v="21"/>
    <x v="0"/>
    <x v="2"/>
    <x v="7"/>
    <x v="0"/>
    <x v="0"/>
    <n v="500"/>
  </r>
  <r>
    <x v="8"/>
    <x v="0"/>
    <x v="2"/>
    <x v="7"/>
    <x v="0"/>
    <x v="0"/>
    <n v="1340"/>
  </r>
  <r>
    <x v="10"/>
    <x v="0"/>
    <x v="2"/>
    <x v="7"/>
    <x v="0"/>
    <x v="0"/>
    <n v="500"/>
  </r>
  <r>
    <x v="22"/>
    <x v="0"/>
    <x v="2"/>
    <x v="7"/>
    <x v="0"/>
    <x v="0"/>
    <n v="3600"/>
  </r>
  <r>
    <x v="3"/>
    <x v="0"/>
    <x v="2"/>
    <x v="7"/>
    <x v="0"/>
    <x v="0"/>
    <n v="3600"/>
  </r>
  <r>
    <x v="23"/>
    <x v="0"/>
    <x v="2"/>
    <x v="7"/>
    <x v="0"/>
    <x v="0"/>
    <n v="3600"/>
  </r>
  <r>
    <x v="24"/>
    <x v="0"/>
    <x v="2"/>
    <x v="7"/>
    <x v="0"/>
    <x v="0"/>
    <n v="3600"/>
  </r>
  <r>
    <x v="25"/>
    <x v="0"/>
    <x v="2"/>
    <x v="8"/>
    <x v="0"/>
    <x v="0"/>
    <n v="2000"/>
  </r>
  <r>
    <x v="25"/>
    <x v="0"/>
    <x v="2"/>
    <x v="8"/>
    <x v="0"/>
    <x v="0"/>
    <n v="2000"/>
  </r>
  <r>
    <x v="26"/>
    <x v="0"/>
    <x v="2"/>
    <x v="8"/>
    <x v="0"/>
    <x v="0"/>
    <n v="4425"/>
  </r>
  <r>
    <x v="26"/>
    <x v="0"/>
    <x v="2"/>
    <x v="8"/>
    <x v="0"/>
    <x v="0"/>
    <n v="4425"/>
  </r>
  <r>
    <x v="27"/>
    <x v="0"/>
    <x v="2"/>
    <x v="9"/>
    <x v="0"/>
    <x v="0"/>
    <n v="2000"/>
  </r>
  <r>
    <x v="28"/>
    <x v="0"/>
    <x v="2"/>
    <x v="9"/>
    <x v="0"/>
    <x v="0"/>
    <n v="2000"/>
  </r>
  <r>
    <x v="29"/>
    <x v="0"/>
    <x v="2"/>
    <x v="9"/>
    <x v="0"/>
    <x v="0"/>
    <n v="2000"/>
  </r>
  <r>
    <x v="3"/>
    <x v="0"/>
    <x v="2"/>
    <x v="9"/>
    <x v="0"/>
    <x v="0"/>
    <n v="2000"/>
  </r>
  <r>
    <x v="4"/>
    <x v="0"/>
    <x v="2"/>
    <x v="9"/>
    <x v="0"/>
    <x v="0"/>
    <n v="2000"/>
  </r>
  <r>
    <x v="30"/>
    <x v="0"/>
    <x v="2"/>
    <x v="9"/>
    <x v="0"/>
    <x v="0"/>
    <n v="2100"/>
  </r>
  <r>
    <x v="31"/>
    <x v="0"/>
    <x v="2"/>
    <x v="9"/>
    <x v="0"/>
    <x v="0"/>
    <n v="2100"/>
  </r>
  <r>
    <x v="3"/>
    <x v="0"/>
    <x v="2"/>
    <x v="9"/>
    <x v="0"/>
    <x v="0"/>
    <n v="2100"/>
  </r>
  <r>
    <x v="32"/>
    <x v="0"/>
    <x v="2"/>
    <x v="9"/>
    <x v="0"/>
    <x v="0"/>
    <n v="2100"/>
  </r>
  <r>
    <x v="33"/>
    <x v="0"/>
    <x v="2"/>
    <x v="9"/>
    <x v="0"/>
    <x v="0"/>
    <n v="8000"/>
  </r>
  <r>
    <x v="30"/>
    <x v="0"/>
    <x v="2"/>
    <x v="9"/>
    <x v="0"/>
    <x v="0"/>
    <n v="8000"/>
  </r>
  <r>
    <x v="3"/>
    <x v="0"/>
    <x v="2"/>
    <x v="9"/>
    <x v="0"/>
    <x v="0"/>
    <n v="8000"/>
  </r>
  <r>
    <x v="32"/>
    <x v="0"/>
    <x v="2"/>
    <x v="9"/>
    <x v="0"/>
    <x v="0"/>
    <n v="7600"/>
  </r>
  <r>
    <x v="0"/>
    <x v="0"/>
    <x v="3"/>
    <x v="10"/>
    <x v="0"/>
    <x v="0"/>
    <n v="3504.33"/>
  </r>
  <r>
    <x v="34"/>
    <x v="0"/>
    <x v="3"/>
    <x v="10"/>
    <x v="0"/>
    <x v="0"/>
    <n v="3525.29"/>
  </r>
  <r>
    <x v="35"/>
    <x v="0"/>
    <x v="3"/>
    <x v="10"/>
    <x v="0"/>
    <x v="0"/>
    <n v="3525.29"/>
  </r>
  <r>
    <x v="3"/>
    <x v="0"/>
    <x v="3"/>
    <x v="10"/>
    <x v="0"/>
    <x v="0"/>
    <n v="3560.33"/>
  </r>
  <r>
    <x v="36"/>
    <x v="0"/>
    <x v="3"/>
    <x v="10"/>
    <x v="0"/>
    <x v="0"/>
    <n v="3504.27"/>
  </r>
  <r>
    <x v="37"/>
    <x v="0"/>
    <x v="3"/>
    <x v="10"/>
    <x v="0"/>
    <x v="0"/>
    <n v="3504.27"/>
  </r>
  <r>
    <x v="38"/>
    <x v="0"/>
    <x v="4"/>
    <x v="11"/>
    <x v="0"/>
    <x v="0"/>
    <n v="500"/>
  </r>
  <r>
    <x v="3"/>
    <x v="0"/>
    <x v="4"/>
    <x v="12"/>
    <x v="0"/>
    <x v="0"/>
    <n v="1742"/>
  </r>
  <r>
    <x v="39"/>
    <x v="0"/>
    <x v="4"/>
    <x v="13"/>
    <x v="0"/>
    <x v="0"/>
    <n v="300"/>
  </r>
  <r>
    <x v="3"/>
    <x v="0"/>
    <x v="4"/>
    <x v="14"/>
    <x v="0"/>
    <x v="0"/>
    <n v="2093"/>
  </r>
  <r>
    <x v="40"/>
    <x v="0"/>
    <x v="4"/>
    <x v="15"/>
    <x v="0"/>
    <x v="0"/>
    <n v="3719.5"/>
  </r>
  <r>
    <x v="41"/>
    <x v="0"/>
    <x v="4"/>
    <x v="16"/>
    <x v="0"/>
    <x v="0"/>
    <n v="200"/>
  </r>
  <r>
    <x v="42"/>
    <x v="0"/>
    <x v="4"/>
    <x v="17"/>
    <x v="0"/>
    <x v="0"/>
    <n v="1064"/>
  </r>
  <r>
    <x v="32"/>
    <x v="0"/>
    <x v="4"/>
    <x v="18"/>
    <x v="0"/>
    <x v="0"/>
    <n v="70"/>
  </r>
  <r>
    <x v="36"/>
    <x v="0"/>
    <x v="4"/>
    <x v="19"/>
    <x v="0"/>
    <x v="0"/>
    <n v="550"/>
  </r>
  <r>
    <x v="25"/>
    <x v="0"/>
    <x v="5"/>
    <x v="20"/>
    <x v="0"/>
    <x v="0"/>
    <n v="1000"/>
  </r>
  <r>
    <x v="3"/>
    <x v="0"/>
    <x v="5"/>
    <x v="21"/>
    <x v="0"/>
    <x v="0"/>
    <n v="2000"/>
  </r>
  <r>
    <x v="43"/>
    <x v="0"/>
    <x v="5"/>
    <x v="21"/>
    <x v="0"/>
    <x v="0"/>
    <n v="235.62"/>
  </r>
  <r>
    <x v="43"/>
    <x v="0"/>
    <x v="5"/>
    <x v="21"/>
    <x v="0"/>
    <x v="0"/>
    <n v="1667.25"/>
  </r>
  <r>
    <x v="41"/>
    <x v="0"/>
    <x v="5"/>
    <x v="21"/>
    <x v="0"/>
    <x v="0"/>
    <n v="912"/>
  </r>
  <r>
    <x v="44"/>
    <x v="0"/>
    <x v="5"/>
    <x v="21"/>
    <x v="0"/>
    <x v="0"/>
    <n v="527.13"/>
  </r>
  <r>
    <x v="45"/>
    <x v="0"/>
    <x v="5"/>
    <x v="21"/>
    <x v="0"/>
    <x v="0"/>
    <n v="468.3"/>
  </r>
  <r>
    <x v="46"/>
    <x v="0"/>
    <x v="5"/>
    <x v="21"/>
    <x v="0"/>
    <x v="0"/>
    <n v="2321.06"/>
  </r>
  <r>
    <x v="47"/>
    <x v="0"/>
    <x v="5"/>
    <x v="21"/>
    <x v="0"/>
    <x v="0"/>
    <n v="495.81"/>
  </r>
  <r>
    <x v="33"/>
    <x v="0"/>
    <x v="5"/>
    <x v="21"/>
    <x v="0"/>
    <x v="0"/>
    <n v="60.23"/>
  </r>
  <r>
    <x v="48"/>
    <x v="0"/>
    <x v="5"/>
    <x v="21"/>
    <x v="0"/>
    <x v="0"/>
    <n v="1141.8800000000001"/>
  </r>
  <r>
    <x v="49"/>
    <x v="0"/>
    <x v="5"/>
    <x v="21"/>
    <x v="0"/>
    <x v="0"/>
    <n v="1417.23"/>
  </r>
  <r>
    <x v="50"/>
    <x v="0"/>
    <x v="5"/>
    <x v="21"/>
    <x v="0"/>
    <x v="0"/>
    <n v="1461.59"/>
  </r>
  <r>
    <x v="3"/>
    <x v="0"/>
    <x v="5"/>
    <x v="21"/>
    <x v="0"/>
    <x v="0"/>
    <n v="464.36"/>
  </r>
  <r>
    <x v="3"/>
    <x v="0"/>
    <x v="5"/>
    <x v="21"/>
    <x v="0"/>
    <x v="0"/>
    <n v="1500"/>
  </r>
  <r>
    <x v="3"/>
    <x v="0"/>
    <x v="5"/>
    <x v="21"/>
    <x v="0"/>
    <x v="0"/>
    <n v="265.73"/>
  </r>
  <r>
    <x v="3"/>
    <x v="0"/>
    <x v="5"/>
    <x v="21"/>
    <x v="0"/>
    <x v="0"/>
    <n v="2056.5100000000002"/>
  </r>
  <r>
    <x v="36"/>
    <x v="0"/>
    <x v="5"/>
    <x v="21"/>
    <x v="0"/>
    <x v="0"/>
    <n v="124.22"/>
  </r>
  <r>
    <x v="36"/>
    <x v="0"/>
    <x v="5"/>
    <x v="21"/>
    <x v="0"/>
    <x v="0"/>
    <n v="252.2"/>
  </r>
  <r>
    <x v="51"/>
    <x v="0"/>
    <x v="5"/>
    <x v="21"/>
    <x v="0"/>
    <x v="0"/>
    <n v="1186.6300000000001"/>
  </r>
  <r>
    <x v="51"/>
    <x v="0"/>
    <x v="5"/>
    <x v="21"/>
    <x v="0"/>
    <x v="0"/>
    <n v="603.65"/>
  </r>
  <r>
    <x v="20"/>
    <x v="0"/>
    <x v="5"/>
    <x v="21"/>
    <x v="0"/>
    <x v="0"/>
    <n v="41.44"/>
  </r>
  <r>
    <x v="20"/>
    <x v="0"/>
    <x v="5"/>
    <x v="21"/>
    <x v="0"/>
    <x v="0"/>
    <n v="561.44000000000005"/>
  </r>
  <r>
    <x v="27"/>
    <x v="0"/>
    <x v="5"/>
    <x v="21"/>
    <x v="0"/>
    <x v="0"/>
    <n v="100.16"/>
  </r>
  <r>
    <x v="27"/>
    <x v="0"/>
    <x v="5"/>
    <x v="21"/>
    <x v="0"/>
    <x v="0"/>
    <n v="359.6"/>
  </r>
  <r>
    <x v="19"/>
    <x v="0"/>
    <x v="5"/>
    <x v="21"/>
    <x v="0"/>
    <x v="0"/>
    <n v="59.97"/>
  </r>
  <r>
    <x v="52"/>
    <x v="0"/>
    <x v="5"/>
    <x v="21"/>
    <x v="0"/>
    <x v="0"/>
    <n v="1301.8900000000001"/>
  </r>
  <r>
    <x v="52"/>
    <x v="0"/>
    <x v="5"/>
    <x v="21"/>
    <x v="0"/>
    <x v="0"/>
    <n v="52.71"/>
  </r>
  <r>
    <x v="53"/>
    <x v="0"/>
    <x v="5"/>
    <x v="21"/>
    <x v="0"/>
    <x v="0"/>
    <n v="108.05"/>
  </r>
  <r>
    <x v="54"/>
    <x v="0"/>
    <x v="5"/>
    <x v="21"/>
    <x v="0"/>
    <x v="0"/>
    <n v="250"/>
  </r>
  <r>
    <x v="55"/>
    <x v="0"/>
    <x v="5"/>
    <x v="21"/>
    <x v="0"/>
    <x v="0"/>
    <n v="1197.25"/>
  </r>
  <r>
    <x v="5"/>
    <x v="0"/>
    <x v="5"/>
    <x v="21"/>
    <x v="0"/>
    <x v="0"/>
    <n v="437.34"/>
  </r>
  <r>
    <x v="5"/>
    <x v="0"/>
    <x v="5"/>
    <x v="21"/>
    <x v="0"/>
    <x v="0"/>
    <n v="255"/>
  </r>
  <r>
    <x v="25"/>
    <x v="0"/>
    <x v="5"/>
    <x v="22"/>
    <x v="0"/>
    <x v="0"/>
    <n v="285"/>
  </r>
  <r>
    <x v="3"/>
    <x v="0"/>
    <x v="5"/>
    <x v="23"/>
    <x v="0"/>
    <x v="1"/>
    <n v="280"/>
  </r>
  <r>
    <x v="51"/>
    <x v="0"/>
    <x v="5"/>
    <x v="24"/>
    <x v="0"/>
    <x v="1"/>
    <n v="506.39"/>
  </r>
  <r>
    <x v="23"/>
    <x v="0"/>
    <x v="5"/>
    <x v="25"/>
    <x v="0"/>
    <x v="1"/>
    <n v="408.13"/>
  </r>
  <r>
    <x v="23"/>
    <x v="0"/>
    <x v="5"/>
    <x v="26"/>
    <x v="0"/>
    <x v="1"/>
    <n v="346.15"/>
  </r>
  <r>
    <x v="56"/>
    <x v="0"/>
    <x v="5"/>
    <x v="27"/>
    <x v="0"/>
    <x v="0"/>
    <n v="105.28"/>
  </r>
  <r>
    <x v="57"/>
    <x v="0"/>
    <x v="5"/>
    <x v="27"/>
    <x v="0"/>
    <x v="1"/>
    <n v="918.04"/>
  </r>
  <r>
    <x v="58"/>
    <x v="0"/>
    <x v="5"/>
    <x v="27"/>
    <x v="0"/>
    <x v="1"/>
    <n v="580.83000000000004"/>
  </r>
  <r>
    <x v="3"/>
    <x v="0"/>
    <x v="5"/>
    <x v="27"/>
    <x v="0"/>
    <x v="1"/>
    <n v="749.29"/>
  </r>
  <r>
    <x v="3"/>
    <x v="0"/>
    <x v="5"/>
    <x v="27"/>
    <x v="0"/>
    <x v="1"/>
    <n v="491.25"/>
  </r>
  <r>
    <x v="3"/>
    <x v="0"/>
    <x v="5"/>
    <x v="27"/>
    <x v="0"/>
    <x v="1"/>
    <n v="682.04"/>
  </r>
  <r>
    <x v="59"/>
    <x v="0"/>
    <x v="5"/>
    <x v="27"/>
    <x v="0"/>
    <x v="1"/>
    <n v="1404.17"/>
  </r>
  <r>
    <x v="60"/>
    <x v="0"/>
    <x v="6"/>
    <x v="28"/>
    <x v="0"/>
    <x v="1"/>
    <n v="242.4"/>
  </r>
  <r>
    <x v="61"/>
    <x v="0"/>
    <x v="6"/>
    <x v="28"/>
    <x v="0"/>
    <x v="1"/>
    <n v="242.4"/>
  </r>
  <r>
    <x v="62"/>
    <x v="0"/>
    <x v="6"/>
    <x v="28"/>
    <x v="0"/>
    <x v="1"/>
    <n v="242.4"/>
  </r>
  <r>
    <x v="3"/>
    <x v="0"/>
    <x v="6"/>
    <x v="28"/>
    <x v="0"/>
    <x v="1"/>
    <n v="242.4"/>
  </r>
  <r>
    <x v="36"/>
    <x v="0"/>
    <x v="6"/>
    <x v="28"/>
    <x v="0"/>
    <x v="1"/>
    <n v="242.4"/>
  </r>
  <r>
    <x v="63"/>
    <x v="0"/>
    <x v="6"/>
    <x v="28"/>
    <x v="0"/>
    <x v="1"/>
    <n v="242.4"/>
  </r>
  <r>
    <x v="21"/>
    <x v="1"/>
    <x v="0"/>
    <x v="1"/>
    <x v="0"/>
    <x v="0"/>
    <n v="5422.67"/>
  </r>
  <r>
    <x v="10"/>
    <x v="1"/>
    <x v="0"/>
    <x v="1"/>
    <x v="0"/>
    <x v="0"/>
    <n v="5480.17"/>
  </r>
  <r>
    <x v="11"/>
    <x v="1"/>
    <x v="0"/>
    <x v="1"/>
    <x v="0"/>
    <x v="0"/>
    <n v="5385.55"/>
  </r>
  <r>
    <x v="3"/>
    <x v="1"/>
    <x v="0"/>
    <x v="1"/>
    <x v="0"/>
    <x v="0"/>
    <n v="7134.05"/>
  </r>
  <r>
    <x v="12"/>
    <x v="1"/>
    <x v="0"/>
    <x v="1"/>
    <x v="0"/>
    <x v="0"/>
    <n v="7136.16"/>
  </r>
  <r>
    <x v="13"/>
    <x v="1"/>
    <x v="0"/>
    <x v="1"/>
    <x v="0"/>
    <x v="0"/>
    <n v="7213.57"/>
  </r>
  <r>
    <x v="17"/>
    <x v="1"/>
    <x v="1"/>
    <x v="29"/>
    <x v="0"/>
    <x v="0"/>
    <n v="905.92"/>
  </r>
  <r>
    <x v="64"/>
    <x v="1"/>
    <x v="1"/>
    <x v="29"/>
    <x v="0"/>
    <x v="0"/>
    <n v="581.32000000000005"/>
  </r>
  <r>
    <x v="65"/>
    <x v="1"/>
    <x v="1"/>
    <x v="29"/>
    <x v="0"/>
    <x v="0"/>
    <n v="57.98"/>
  </r>
  <r>
    <x v="15"/>
    <x v="1"/>
    <x v="1"/>
    <x v="29"/>
    <x v="0"/>
    <x v="0"/>
    <n v="898.81"/>
  </r>
  <r>
    <x v="16"/>
    <x v="1"/>
    <x v="1"/>
    <x v="29"/>
    <x v="0"/>
    <x v="0"/>
    <n v="666.71"/>
  </r>
  <r>
    <x v="3"/>
    <x v="1"/>
    <x v="1"/>
    <x v="29"/>
    <x v="0"/>
    <x v="0"/>
    <n v="617.57000000000005"/>
  </r>
  <r>
    <x v="18"/>
    <x v="1"/>
    <x v="1"/>
    <x v="29"/>
    <x v="0"/>
    <x v="0"/>
    <n v="912.38"/>
  </r>
  <r>
    <x v="66"/>
    <x v="1"/>
    <x v="1"/>
    <x v="30"/>
    <x v="0"/>
    <x v="0"/>
    <n v="928.26"/>
  </r>
  <r>
    <x v="67"/>
    <x v="1"/>
    <x v="1"/>
    <x v="3"/>
    <x v="0"/>
    <x v="0"/>
    <n v="750.31"/>
  </r>
  <r>
    <x v="68"/>
    <x v="1"/>
    <x v="1"/>
    <x v="3"/>
    <x v="0"/>
    <x v="0"/>
    <n v="1126.23"/>
  </r>
  <r>
    <x v="28"/>
    <x v="1"/>
    <x v="1"/>
    <x v="3"/>
    <x v="0"/>
    <x v="0"/>
    <n v="760.75"/>
  </r>
  <r>
    <x v="29"/>
    <x v="1"/>
    <x v="1"/>
    <x v="3"/>
    <x v="0"/>
    <x v="0"/>
    <n v="862.61"/>
  </r>
  <r>
    <x v="3"/>
    <x v="1"/>
    <x v="1"/>
    <x v="3"/>
    <x v="0"/>
    <x v="0"/>
    <n v="794.99"/>
  </r>
  <r>
    <x v="20"/>
    <x v="1"/>
    <x v="1"/>
    <x v="3"/>
    <x v="0"/>
    <x v="0"/>
    <n v="894.74"/>
  </r>
  <r>
    <x v="64"/>
    <x v="1"/>
    <x v="2"/>
    <x v="31"/>
    <x v="0"/>
    <x v="0"/>
    <n v="250"/>
  </r>
  <r>
    <x v="60"/>
    <x v="1"/>
    <x v="2"/>
    <x v="31"/>
    <x v="0"/>
    <x v="0"/>
    <n v="250"/>
  </r>
  <r>
    <x v="43"/>
    <x v="1"/>
    <x v="2"/>
    <x v="31"/>
    <x v="0"/>
    <x v="0"/>
    <n v="250"/>
  </r>
  <r>
    <x v="65"/>
    <x v="1"/>
    <x v="2"/>
    <x v="31"/>
    <x v="0"/>
    <x v="0"/>
    <n v="250"/>
  </r>
  <r>
    <x v="69"/>
    <x v="1"/>
    <x v="2"/>
    <x v="31"/>
    <x v="0"/>
    <x v="0"/>
    <n v="250"/>
  </r>
  <r>
    <x v="0"/>
    <x v="1"/>
    <x v="2"/>
    <x v="31"/>
    <x v="0"/>
    <x v="0"/>
    <n v="250"/>
  </r>
  <r>
    <x v="41"/>
    <x v="1"/>
    <x v="2"/>
    <x v="31"/>
    <x v="0"/>
    <x v="0"/>
    <n v="250"/>
  </r>
  <r>
    <x v="68"/>
    <x v="1"/>
    <x v="2"/>
    <x v="31"/>
    <x v="0"/>
    <x v="0"/>
    <n v="250"/>
  </r>
  <r>
    <x v="44"/>
    <x v="1"/>
    <x v="2"/>
    <x v="31"/>
    <x v="0"/>
    <x v="0"/>
    <n v="250"/>
  </r>
  <r>
    <x v="70"/>
    <x v="1"/>
    <x v="2"/>
    <x v="31"/>
    <x v="0"/>
    <x v="0"/>
    <n v="250"/>
  </r>
  <r>
    <x v="8"/>
    <x v="1"/>
    <x v="2"/>
    <x v="31"/>
    <x v="0"/>
    <x v="0"/>
    <n v="250"/>
  </r>
  <r>
    <x v="45"/>
    <x v="1"/>
    <x v="2"/>
    <x v="31"/>
    <x v="0"/>
    <x v="0"/>
    <n v="250"/>
  </r>
  <r>
    <x v="10"/>
    <x v="1"/>
    <x v="2"/>
    <x v="31"/>
    <x v="0"/>
    <x v="0"/>
    <n v="250"/>
  </r>
  <r>
    <x v="71"/>
    <x v="1"/>
    <x v="2"/>
    <x v="31"/>
    <x v="0"/>
    <x v="0"/>
    <n v="250"/>
  </r>
  <r>
    <x v="15"/>
    <x v="1"/>
    <x v="2"/>
    <x v="31"/>
    <x v="0"/>
    <x v="0"/>
    <n v="250"/>
  </r>
  <r>
    <x v="47"/>
    <x v="1"/>
    <x v="2"/>
    <x v="31"/>
    <x v="0"/>
    <x v="0"/>
    <n v="250"/>
  </r>
  <r>
    <x v="31"/>
    <x v="1"/>
    <x v="2"/>
    <x v="31"/>
    <x v="0"/>
    <x v="0"/>
    <n v="250"/>
  </r>
  <r>
    <x v="72"/>
    <x v="1"/>
    <x v="2"/>
    <x v="31"/>
    <x v="0"/>
    <x v="0"/>
    <n v="250"/>
  </r>
  <r>
    <x v="73"/>
    <x v="1"/>
    <x v="2"/>
    <x v="31"/>
    <x v="0"/>
    <x v="0"/>
    <n v="250"/>
  </r>
  <r>
    <x v="74"/>
    <x v="1"/>
    <x v="2"/>
    <x v="31"/>
    <x v="0"/>
    <x v="0"/>
    <n v="250"/>
  </r>
  <r>
    <x v="28"/>
    <x v="1"/>
    <x v="2"/>
    <x v="31"/>
    <x v="0"/>
    <x v="0"/>
    <n v="250"/>
  </r>
  <r>
    <x v="66"/>
    <x v="1"/>
    <x v="2"/>
    <x v="31"/>
    <x v="0"/>
    <x v="0"/>
    <n v="250"/>
  </r>
  <r>
    <x v="75"/>
    <x v="1"/>
    <x v="2"/>
    <x v="31"/>
    <x v="0"/>
    <x v="0"/>
    <n v="250"/>
  </r>
  <r>
    <x v="11"/>
    <x v="1"/>
    <x v="2"/>
    <x v="31"/>
    <x v="0"/>
    <x v="0"/>
    <n v="250"/>
  </r>
  <r>
    <x v="38"/>
    <x v="1"/>
    <x v="2"/>
    <x v="31"/>
    <x v="0"/>
    <x v="0"/>
    <n v="250"/>
  </r>
  <r>
    <x v="16"/>
    <x v="1"/>
    <x v="2"/>
    <x v="31"/>
    <x v="0"/>
    <x v="0"/>
    <n v="250"/>
  </r>
  <r>
    <x v="49"/>
    <x v="1"/>
    <x v="2"/>
    <x v="31"/>
    <x v="0"/>
    <x v="0"/>
    <n v="250"/>
  </r>
  <r>
    <x v="30"/>
    <x v="1"/>
    <x v="2"/>
    <x v="31"/>
    <x v="0"/>
    <x v="0"/>
    <n v="250"/>
  </r>
  <r>
    <x v="57"/>
    <x v="1"/>
    <x v="2"/>
    <x v="31"/>
    <x v="0"/>
    <x v="0"/>
    <n v="250"/>
  </r>
  <r>
    <x v="22"/>
    <x v="1"/>
    <x v="2"/>
    <x v="31"/>
    <x v="0"/>
    <x v="0"/>
    <n v="250"/>
  </r>
  <r>
    <x v="76"/>
    <x v="1"/>
    <x v="2"/>
    <x v="31"/>
    <x v="0"/>
    <x v="0"/>
    <n v="250"/>
  </r>
  <r>
    <x v="77"/>
    <x v="1"/>
    <x v="2"/>
    <x v="31"/>
    <x v="0"/>
    <x v="0"/>
    <n v="250"/>
  </r>
  <r>
    <x v="29"/>
    <x v="1"/>
    <x v="2"/>
    <x v="31"/>
    <x v="0"/>
    <x v="0"/>
    <n v="250"/>
  </r>
  <r>
    <x v="78"/>
    <x v="1"/>
    <x v="2"/>
    <x v="31"/>
    <x v="0"/>
    <x v="0"/>
    <n v="250"/>
  </r>
  <r>
    <x v="79"/>
    <x v="1"/>
    <x v="2"/>
    <x v="31"/>
    <x v="0"/>
    <x v="0"/>
    <n v="250"/>
  </r>
  <r>
    <x v="80"/>
    <x v="1"/>
    <x v="2"/>
    <x v="31"/>
    <x v="0"/>
    <x v="0"/>
    <n v="250"/>
  </r>
  <r>
    <x v="81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3"/>
    <x v="1"/>
    <x v="2"/>
    <x v="31"/>
    <x v="0"/>
    <x v="0"/>
    <n v="250"/>
  </r>
  <r>
    <x v="17"/>
    <x v="1"/>
    <x v="2"/>
    <x v="31"/>
    <x v="0"/>
    <x v="0"/>
    <n v="250"/>
  </r>
  <r>
    <x v="82"/>
    <x v="1"/>
    <x v="2"/>
    <x v="31"/>
    <x v="0"/>
    <x v="0"/>
    <n v="250"/>
  </r>
  <r>
    <x v="83"/>
    <x v="1"/>
    <x v="2"/>
    <x v="31"/>
    <x v="0"/>
    <x v="0"/>
    <n v="1000"/>
  </r>
  <r>
    <x v="6"/>
    <x v="1"/>
    <x v="2"/>
    <x v="31"/>
    <x v="0"/>
    <x v="0"/>
    <n v="750"/>
  </r>
  <r>
    <x v="84"/>
    <x v="1"/>
    <x v="2"/>
    <x v="31"/>
    <x v="0"/>
    <x v="0"/>
    <n v="750"/>
  </r>
  <r>
    <x v="18"/>
    <x v="1"/>
    <x v="2"/>
    <x v="31"/>
    <x v="0"/>
    <x v="0"/>
    <n v="750"/>
  </r>
  <r>
    <x v="85"/>
    <x v="1"/>
    <x v="2"/>
    <x v="31"/>
    <x v="0"/>
    <x v="0"/>
    <n v="500"/>
  </r>
  <r>
    <x v="67"/>
    <x v="1"/>
    <x v="2"/>
    <x v="31"/>
    <x v="0"/>
    <x v="0"/>
    <n v="750"/>
  </r>
  <r>
    <x v="86"/>
    <x v="1"/>
    <x v="2"/>
    <x v="31"/>
    <x v="0"/>
    <x v="0"/>
    <n v="750"/>
  </r>
  <r>
    <x v="34"/>
    <x v="1"/>
    <x v="3"/>
    <x v="32"/>
    <x v="0"/>
    <x v="0"/>
    <n v="3729.96"/>
  </r>
  <r>
    <x v="22"/>
    <x v="1"/>
    <x v="3"/>
    <x v="32"/>
    <x v="0"/>
    <x v="0"/>
    <n v="3729.96"/>
  </r>
  <r>
    <x v="3"/>
    <x v="1"/>
    <x v="3"/>
    <x v="32"/>
    <x v="0"/>
    <x v="0"/>
    <n v="3729.96"/>
  </r>
  <r>
    <x v="36"/>
    <x v="1"/>
    <x v="3"/>
    <x v="32"/>
    <x v="0"/>
    <x v="0"/>
    <n v="3729.96"/>
  </r>
  <r>
    <x v="54"/>
    <x v="1"/>
    <x v="3"/>
    <x v="32"/>
    <x v="0"/>
    <x v="0"/>
    <n v="3729.96"/>
  </r>
  <r>
    <x v="33"/>
    <x v="1"/>
    <x v="4"/>
    <x v="33"/>
    <x v="0"/>
    <x v="0"/>
    <n v="980"/>
  </r>
  <r>
    <x v="87"/>
    <x v="1"/>
    <x v="4"/>
    <x v="33"/>
    <x v="0"/>
    <x v="0"/>
    <n v="700"/>
  </r>
  <r>
    <x v="50"/>
    <x v="1"/>
    <x v="4"/>
    <x v="34"/>
    <x v="0"/>
    <x v="0"/>
    <n v="200"/>
  </r>
  <r>
    <x v="6"/>
    <x v="1"/>
    <x v="4"/>
    <x v="35"/>
    <x v="0"/>
    <x v="0"/>
    <n v="380"/>
  </r>
  <r>
    <x v="88"/>
    <x v="1"/>
    <x v="4"/>
    <x v="36"/>
    <x v="0"/>
    <x v="0"/>
    <n v="1000"/>
  </r>
  <r>
    <x v="28"/>
    <x v="1"/>
    <x v="4"/>
    <x v="37"/>
    <x v="0"/>
    <x v="0"/>
    <n v="1000"/>
  </r>
  <r>
    <x v="66"/>
    <x v="1"/>
    <x v="4"/>
    <x v="37"/>
    <x v="0"/>
    <x v="0"/>
    <n v="1350"/>
  </r>
  <r>
    <x v="3"/>
    <x v="1"/>
    <x v="5"/>
    <x v="38"/>
    <x v="0"/>
    <x v="1"/>
    <n v="33.020000000000003"/>
  </r>
  <r>
    <x v="82"/>
    <x v="1"/>
    <x v="5"/>
    <x v="39"/>
    <x v="0"/>
    <x v="1"/>
    <n v="157.47"/>
  </r>
  <r>
    <x v="60"/>
    <x v="1"/>
    <x v="5"/>
    <x v="40"/>
    <x v="1"/>
    <x v="1"/>
    <n v="11.04"/>
  </r>
  <r>
    <x v="3"/>
    <x v="1"/>
    <x v="5"/>
    <x v="41"/>
    <x v="0"/>
    <x v="1"/>
    <n v="10"/>
  </r>
  <r>
    <x v="3"/>
    <x v="1"/>
    <x v="5"/>
    <x v="42"/>
    <x v="0"/>
    <x v="1"/>
    <n v="10"/>
  </r>
  <r>
    <x v="3"/>
    <x v="1"/>
    <x v="5"/>
    <x v="43"/>
    <x v="0"/>
    <x v="1"/>
    <n v="44.93"/>
  </r>
  <r>
    <x v="64"/>
    <x v="1"/>
    <x v="5"/>
    <x v="44"/>
    <x v="0"/>
    <x v="1"/>
    <n v="997.89"/>
  </r>
  <r>
    <x v="57"/>
    <x v="1"/>
    <x v="5"/>
    <x v="45"/>
    <x v="0"/>
    <x v="1"/>
    <n v="52.6"/>
  </r>
  <r>
    <x v="88"/>
    <x v="1"/>
    <x v="5"/>
    <x v="46"/>
    <x v="0"/>
    <x v="1"/>
    <n v="73.36"/>
  </r>
  <r>
    <x v="64"/>
    <x v="1"/>
    <x v="5"/>
    <x v="24"/>
    <x v="0"/>
    <x v="1"/>
    <n v="447.93"/>
  </r>
  <r>
    <x v="43"/>
    <x v="1"/>
    <x v="5"/>
    <x v="24"/>
    <x v="0"/>
    <x v="1"/>
    <n v="182.23"/>
  </r>
  <r>
    <x v="36"/>
    <x v="1"/>
    <x v="5"/>
    <x v="24"/>
    <x v="0"/>
    <x v="1"/>
    <n v="924.44"/>
  </r>
  <r>
    <x v="21"/>
    <x v="1"/>
    <x v="5"/>
    <x v="47"/>
    <x v="0"/>
    <x v="0"/>
    <n v="1580"/>
  </r>
  <r>
    <x v="3"/>
    <x v="1"/>
    <x v="5"/>
    <x v="48"/>
    <x v="0"/>
    <x v="1"/>
    <n v="80.400000000000006"/>
  </r>
  <r>
    <x v="41"/>
    <x v="1"/>
    <x v="5"/>
    <x v="25"/>
    <x v="0"/>
    <x v="1"/>
    <n v="53.23"/>
  </r>
  <r>
    <x v="15"/>
    <x v="1"/>
    <x v="5"/>
    <x v="25"/>
    <x v="0"/>
    <x v="1"/>
    <n v="33.9"/>
  </r>
  <r>
    <x v="74"/>
    <x v="1"/>
    <x v="5"/>
    <x v="25"/>
    <x v="0"/>
    <x v="1"/>
    <n v="193.99"/>
  </r>
  <r>
    <x v="74"/>
    <x v="1"/>
    <x v="5"/>
    <x v="25"/>
    <x v="0"/>
    <x v="1"/>
    <n v="491.86"/>
  </r>
  <r>
    <x v="89"/>
    <x v="1"/>
    <x v="5"/>
    <x v="25"/>
    <x v="0"/>
    <x v="1"/>
    <n v="52.21"/>
  </r>
  <r>
    <x v="89"/>
    <x v="1"/>
    <x v="5"/>
    <x v="25"/>
    <x v="0"/>
    <x v="1"/>
    <n v="229.64"/>
  </r>
  <r>
    <x v="90"/>
    <x v="1"/>
    <x v="5"/>
    <x v="25"/>
    <x v="0"/>
    <x v="1"/>
    <n v="101.31"/>
  </r>
  <r>
    <x v="91"/>
    <x v="1"/>
    <x v="5"/>
    <x v="25"/>
    <x v="0"/>
    <x v="1"/>
    <n v="511.07"/>
  </r>
  <r>
    <x v="3"/>
    <x v="1"/>
    <x v="5"/>
    <x v="25"/>
    <x v="0"/>
    <x v="1"/>
    <n v="162.32"/>
  </r>
  <r>
    <x v="3"/>
    <x v="1"/>
    <x v="5"/>
    <x v="25"/>
    <x v="0"/>
    <x v="1"/>
    <n v="493.7"/>
  </r>
  <r>
    <x v="3"/>
    <x v="1"/>
    <x v="5"/>
    <x v="25"/>
    <x v="0"/>
    <x v="1"/>
    <n v="87.42"/>
  </r>
  <r>
    <x v="3"/>
    <x v="1"/>
    <x v="5"/>
    <x v="25"/>
    <x v="0"/>
    <x v="1"/>
    <n v="391.05"/>
  </r>
  <r>
    <x v="3"/>
    <x v="1"/>
    <x v="5"/>
    <x v="25"/>
    <x v="0"/>
    <x v="1"/>
    <n v="160.66"/>
  </r>
  <r>
    <x v="3"/>
    <x v="1"/>
    <x v="5"/>
    <x v="25"/>
    <x v="0"/>
    <x v="1"/>
    <n v="106.78"/>
  </r>
  <r>
    <x v="3"/>
    <x v="1"/>
    <x v="5"/>
    <x v="25"/>
    <x v="0"/>
    <x v="1"/>
    <n v="252.61"/>
  </r>
  <r>
    <x v="82"/>
    <x v="1"/>
    <x v="5"/>
    <x v="25"/>
    <x v="0"/>
    <x v="1"/>
    <n v="129.22999999999999"/>
  </r>
  <r>
    <x v="9"/>
    <x v="1"/>
    <x v="5"/>
    <x v="25"/>
    <x v="0"/>
    <x v="1"/>
    <n v="173.79"/>
  </r>
  <r>
    <x v="92"/>
    <x v="1"/>
    <x v="5"/>
    <x v="25"/>
    <x v="0"/>
    <x v="1"/>
    <n v="118.9"/>
  </r>
  <r>
    <x v="93"/>
    <x v="1"/>
    <x v="5"/>
    <x v="25"/>
    <x v="0"/>
    <x v="1"/>
    <n v="726.58"/>
  </r>
  <r>
    <x v="93"/>
    <x v="1"/>
    <x v="5"/>
    <x v="25"/>
    <x v="0"/>
    <x v="1"/>
    <n v="102.69"/>
  </r>
  <r>
    <x v="94"/>
    <x v="1"/>
    <x v="5"/>
    <x v="25"/>
    <x v="0"/>
    <x v="1"/>
    <n v="458.42"/>
  </r>
  <r>
    <x v="95"/>
    <x v="1"/>
    <x v="5"/>
    <x v="25"/>
    <x v="0"/>
    <x v="1"/>
    <n v="48.22"/>
  </r>
  <r>
    <x v="96"/>
    <x v="1"/>
    <x v="5"/>
    <x v="25"/>
    <x v="0"/>
    <x v="1"/>
    <n v="170.18"/>
  </r>
  <r>
    <x v="96"/>
    <x v="1"/>
    <x v="5"/>
    <x v="25"/>
    <x v="0"/>
    <x v="1"/>
    <n v="68"/>
  </r>
  <r>
    <x v="97"/>
    <x v="1"/>
    <x v="5"/>
    <x v="25"/>
    <x v="0"/>
    <x v="1"/>
    <n v="256.39999999999998"/>
  </r>
  <r>
    <x v="3"/>
    <x v="1"/>
    <x v="5"/>
    <x v="26"/>
    <x v="0"/>
    <x v="1"/>
    <n v="830.55"/>
  </r>
  <r>
    <x v="3"/>
    <x v="1"/>
    <x v="5"/>
    <x v="27"/>
    <x v="0"/>
    <x v="1"/>
    <n v="38.72"/>
  </r>
  <r>
    <x v="3"/>
    <x v="1"/>
    <x v="5"/>
    <x v="27"/>
    <x v="0"/>
    <x v="1"/>
    <n v="237.94"/>
  </r>
  <r>
    <x v="49"/>
    <x v="1"/>
    <x v="5"/>
    <x v="49"/>
    <x v="0"/>
    <x v="1"/>
    <n v="114.6"/>
  </r>
  <r>
    <x v="3"/>
    <x v="1"/>
    <x v="5"/>
    <x v="49"/>
    <x v="0"/>
    <x v="1"/>
    <n v="146.06"/>
  </r>
  <r>
    <x v="3"/>
    <x v="1"/>
    <x v="5"/>
    <x v="49"/>
    <x v="0"/>
    <x v="1"/>
    <n v="354.6"/>
  </r>
  <r>
    <x v="12"/>
    <x v="1"/>
    <x v="5"/>
    <x v="49"/>
    <x v="0"/>
    <x v="1"/>
    <n v="63.11"/>
  </r>
  <r>
    <x v="98"/>
    <x v="1"/>
    <x v="5"/>
    <x v="49"/>
    <x v="0"/>
    <x v="1"/>
    <n v="271.07"/>
  </r>
  <r>
    <x v="99"/>
    <x v="1"/>
    <x v="5"/>
    <x v="49"/>
    <x v="0"/>
    <x v="1"/>
    <n v="50.73"/>
  </r>
  <r>
    <x v="24"/>
    <x v="1"/>
    <x v="5"/>
    <x v="49"/>
    <x v="0"/>
    <x v="1"/>
    <n v="509.67"/>
  </r>
  <r>
    <x v="5"/>
    <x v="1"/>
    <x v="5"/>
    <x v="49"/>
    <x v="0"/>
    <x v="1"/>
    <n v="661.58"/>
  </r>
  <r>
    <x v="100"/>
    <x v="1"/>
    <x v="6"/>
    <x v="50"/>
    <x v="0"/>
    <x v="1"/>
    <n v="125.13"/>
  </r>
  <r>
    <x v="47"/>
    <x v="1"/>
    <x v="6"/>
    <x v="50"/>
    <x v="0"/>
    <x v="1"/>
    <n v="125.13"/>
  </r>
  <r>
    <x v="49"/>
    <x v="1"/>
    <x v="6"/>
    <x v="50"/>
    <x v="0"/>
    <x v="1"/>
    <n v="125.13"/>
  </r>
  <r>
    <x v="3"/>
    <x v="1"/>
    <x v="6"/>
    <x v="50"/>
    <x v="0"/>
    <x v="1"/>
    <n v="125.13"/>
  </r>
  <r>
    <x v="82"/>
    <x v="1"/>
    <x v="6"/>
    <x v="50"/>
    <x v="0"/>
    <x v="1"/>
    <n v="125.13"/>
  </r>
  <r>
    <x v="7"/>
    <x v="1"/>
    <x v="6"/>
    <x v="50"/>
    <x v="0"/>
    <x v="1"/>
    <n v="125.13"/>
  </r>
  <r>
    <x v="21"/>
    <x v="2"/>
    <x v="0"/>
    <x v="51"/>
    <x v="0"/>
    <x v="0"/>
    <n v="3737.65"/>
  </r>
  <r>
    <x v="10"/>
    <x v="2"/>
    <x v="0"/>
    <x v="51"/>
    <x v="0"/>
    <x v="0"/>
    <n v="3737.65"/>
  </r>
  <r>
    <x v="11"/>
    <x v="2"/>
    <x v="0"/>
    <x v="51"/>
    <x v="0"/>
    <x v="0"/>
    <n v="3737.65"/>
  </r>
  <r>
    <x v="21"/>
    <x v="2"/>
    <x v="0"/>
    <x v="1"/>
    <x v="0"/>
    <x v="0"/>
    <n v="2132.29"/>
  </r>
  <r>
    <x v="10"/>
    <x v="2"/>
    <x v="0"/>
    <x v="1"/>
    <x v="0"/>
    <x v="0"/>
    <n v="1594.12"/>
  </r>
  <r>
    <x v="38"/>
    <x v="2"/>
    <x v="0"/>
    <x v="1"/>
    <x v="0"/>
    <x v="0"/>
    <n v="1433.71"/>
  </r>
  <r>
    <x v="68"/>
    <x v="2"/>
    <x v="1"/>
    <x v="52"/>
    <x v="0"/>
    <x v="0"/>
    <n v="153.22"/>
  </r>
  <r>
    <x v="74"/>
    <x v="2"/>
    <x v="1"/>
    <x v="52"/>
    <x v="0"/>
    <x v="0"/>
    <n v="117.35"/>
  </r>
  <r>
    <x v="50"/>
    <x v="2"/>
    <x v="1"/>
    <x v="52"/>
    <x v="0"/>
    <x v="0"/>
    <n v="155.62"/>
  </r>
  <r>
    <x v="3"/>
    <x v="2"/>
    <x v="1"/>
    <x v="52"/>
    <x v="0"/>
    <x v="0"/>
    <n v="169.78"/>
  </r>
  <r>
    <x v="69"/>
    <x v="2"/>
    <x v="1"/>
    <x v="3"/>
    <x v="0"/>
    <x v="0"/>
    <n v="818.76"/>
  </r>
  <r>
    <x v="72"/>
    <x v="2"/>
    <x v="1"/>
    <x v="3"/>
    <x v="0"/>
    <x v="0"/>
    <n v="702.62"/>
  </r>
  <r>
    <x v="57"/>
    <x v="2"/>
    <x v="1"/>
    <x v="3"/>
    <x v="0"/>
    <x v="0"/>
    <n v="602.15"/>
  </r>
  <r>
    <x v="3"/>
    <x v="2"/>
    <x v="1"/>
    <x v="3"/>
    <x v="0"/>
    <x v="0"/>
    <n v="691.06"/>
  </r>
  <r>
    <x v="36"/>
    <x v="2"/>
    <x v="1"/>
    <x v="3"/>
    <x v="0"/>
    <x v="0"/>
    <n v="625.21"/>
  </r>
  <r>
    <x v="65"/>
    <x v="2"/>
    <x v="1"/>
    <x v="53"/>
    <x v="0"/>
    <x v="0"/>
    <n v="5.99"/>
  </r>
  <r>
    <x v="30"/>
    <x v="2"/>
    <x v="1"/>
    <x v="53"/>
    <x v="0"/>
    <x v="0"/>
    <n v="12.83"/>
  </r>
  <r>
    <x v="65"/>
    <x v="2"/>
    <x v="1"/>
    <x v="4"/>
    <x v="0"/>
    <x v="0"/>
    <n v="353.91"/>
  </r>
  <r>
    <x v="31"/>
    <x v="2"/>
    <x v="1"/>
    <x v="4"/>
    <x v="0"/>
    <x v="0"/>
    <n v="346.55"/>
  </r>
  <r>
    <x v="76"/>
    <x v="2"/>
    <x v="1"/>
    <x v="4"/>
    <x v="0"/>
    <x v="0"/>
    <n v="346.55"/>
  </r>
  <r>
    <x v="3"/>
    <x v="2"/>
    <x v="1"/>
    <x v="4"/>
    <x v="0"/>
    <x v="0"/>
    <n v="353.91"/>
  </r>
  <r>
    <x v="71"/>
    <x v="2"/>
    <x v="2"/>
    <x v="54"/>
    <x v="0"/>
    <x v="0"/>
    <n v="320.7"/>
  </r>
  <r>
    <x v="47"/>
    <x v="2"/>
    <x v="2"/>
    <x v="54"/>
    <x v="0"/>
    <x v="0"/>
    <n v="100"/>
  </r>
  <r>
    <x v="74"/>
    <x v="2"/>
    <x v="2"/>
    <x v="54"/>
    <x v="0"/>
    <x v="0"/>
    <n v="330.7"/>
  </r>
  <r>
    <x v="62"/>
    <x v="2"/>
    <x v="2"/>
    <x v="54"/>
    <x v="0"/>
    <x v="0"/>
    <n v="300"/>
  </r>
  <r>
    <x v="29"/>
    <x v="2"/>
    <x v="2"/>
    <x v="54"/>
    <x v="0"/>
    <x v="0"/>
    <n v="328"/>
  </r>
  <r>
    <x v="3"/>
    <x v="2"/>
    <x v="2"/>
    <x v="55"/>
    <x v="0"/>
    <x v="0"/>
    <n v="800"/>
  </r>
  <r>
    <x v="65"/>
    <x v="2"/>
    <x v="2"/>
    <x v="7"/>
    <x v="0"/>
    <x v="0"/>
    <n v="1000"/>
  </r>
  <r>
    <x v="31"/>
    <x v="2"/>
    <x v="2"/>
    <x v="7"/>
    <x v="0"/>
    <x v="0"/>
    <n v="1000"/>
  </r>
  <r>
    <x v="30"/>
    <x v="2"/>
    <x v="2"/>
    <x v="7"/>
    <x v="0"/>
    <x v="0"/>
    <n v="1000"/>
  </r>
  <r>
    <x v="3"/>
    <x v="2"/>
    <x v="3"/>
    <x v="56"/>
    <x v="0"/>
    <x v="0"/>
    <n v="827.89"/>
  </r>
  <r>
    <x v="57"/>
    <x v="2"/>
    <x v="3"/>
    <x v="57"/>
    <x v="0"/>
    <x v="0"/>
    <n v="773.59"/>
  </r>
  <r>
    <x v="101"/>
    <x v="2"/>
    <x v="4"/>
    <x v="58"/>
    <x v="0"/>
    <x v="0"/>
    <n v="300"/>
  </r>
  <r>
    <x v="101"/>
    <x v="2"/>
    <x v="4"/>
    <x v="59"/>
    <x v="0"/>
    <x v="0"/>
    <n v="313"/>
  </r>
  <r>
    <x v="35"/>
    <x v="2"/>
    <x v="4"/>
    <x v="60"/>
    <x v="0"/>
    <x v="0"/>
    <n v="500"/>
  </r>
  <r>
    <x v="3"/>
    <x v="2"/>
    <x v="4"/>
    <x v="60"/>
    <x v="0"/>
    <x v="0"/>
    <n v="500"/>
  </r>
  <r>
    <x v="62"/>
    <x v="2"/>
    <x v="4"/>
    <x v="61"/>
    <x v="0"/>
    <x v="0"/>
    <n v="250"/>
  </r>
  <r>
    <x v="60"/>
    <x v="2"/>
    <x v="5"/>
    <x v="62"/>
    <x v="0"/>
    <x v="1"/>
    <n v="32.4"/>
  </r>
  <r>
    <x v="2"/>
    <x v="2"/>
    <x v="5"/>
    <x v="62"/>
    <x v="0"/>
    <x v="1"/>
    <n v="77.8"/>
  </r>
  <r>
    <x v="16"/>
    <x v="2"/>
    <x v="5"/>
    <x v="62"/>
    <x v="0"/>
    <x v="1"/>
    <n v="168.57"/>
  </r>
  <r>
    <x v="62"/>
    <x v="2"/>
    <x v="5"/>
    <x v="62"/>
    <x v="0"/>
    <x v="1"/>
    <n v="3.39"/>
  </r>
  <r>
    <x v="77"/>
    <x v="2"/>
    <x v="5"/>
    <x v="62"/>
    <x v="0"/>
    <x v="1"/>
    <n v="139.33000000000001"/>
  </r>
  <r>
    <x v="50"/>
    <x v="2"/>
    <x v="5"/>
    <x v="62"/>
    <x v="0"/>
    <x v="1"/>
    <n v="97.9"/>
  </r>
  <r>
    <x v="41"/>
    <x v="2"/>
    <x v="6"/>
    <x v="63"/>
    <x v="0"/>
    <x v="2"/>
    <n v="82.81"/>
  </r>
  <r>
    <x v="31"/>
    <x v="2"/>
    <x v="6"/>
    <x v="63"/>
    <x v="0"/>
    <x v="2"/>
    <n v="82.81"/>
  </r>
  <r>
    <x v="30"/>
    <x v="2"/>
    <x v="6"/>
    <x v="63"/>
    <x v="0"/>
    <x v="2"/>
    <n v="82.81"/>
  </r>
  <r>
    <x v="102"/>
    <x v="2"/>
    <x v="6"/>
    <x v="63"/>
    <x v="0"/>
    <x v="2"/>
    <n v="82.81"/>
  </r>
  <r>
    <x v="17"/>
    <x v="2"/>
    <x v="6"/>
    <x v="63"/>
    <x v="0"/>
    <x v="2"/>
    <n v="82.81"/>
  </r>
  <r>
    <x v="64"/>
    <x v="3"/>
    <x v="0"/>
    <x v="1"/>
    <x v="0"/>
    <x v="0"/>
    <n v="936.43"/>
  </r>
  <r>
    <x v="15"/>
    <x v="3"/>
    <x v="0"/>
    <x v="1"/>
    <x v="0"/>
    <x v="0"/>
    <n v="927.43"/>
  </r>
  <r>
    <x v="16"/>
    <x v="3"/>
    <x v="0"/>
    <x v="1"/>
    <x v="0"/>
    <x v="0"/>
    <n v="941.16"/>
  </r>
  <r>
    <x v="3"/>
    <x v="3"/>
    <x v="0"/>
    <x v="1"/>
    <x v="0"/>
    <x v="0"/>
    <n v="941.45"/>
  </r>
  <r>
    <x v="17"/>
    <x v="3"/>
    <x v="0"/>
    <x v="1"/>
    <x v="0"/>
    <x v="0"/>
    <n v="943.56"/>
  </r>
  <r>
    <x v="18"/>
    <x v="3"/>
    <x v="0"/>
    <x v="1"/>
    <x v="0"/>
    <x v="0"/>
    <n v="939.23"/>
  </r>
  <r>
    <x v="0"/>
    <x v="3"/>
    <x v="7"/>
    <x v="64"/>
    <x v="0"/>
    <x v="0"/>
    <n v="3085.73"/>
  </r>
  <r>
    <x v="34"/>
    <x v="3"/>
    <x v="7"/>
    <x v="64"/>
    <x v="0"/>
    <x v="0"/>
    <n v="3084.79"/>
  </r>
  <r>
    <x v="22"/>
    <x v="3"/>
    <x v="7"/>
    <x v="64"/>
    <x v="0"/>
    <x v="0"/>
    <n v="3083.86"/>
  </r>
  <r>
    <x v="3"/>
    <x v="3"/>
    <x v="7"/>
    <x v="64"/>
    <x v="0"/>
    <x v="0"/>
    <n v="3082.94"/>
  </r>
  <r>
    <x v="23"/>
    <x v="3"/>
    <x v="7"/>
    <x v="64"/>
    <x v="0"/>
    <x v="0"/>
    <n v="3082"/>
  </r>
  <r>
    <x v="24"/>
    <x v="3"/>
    <x v="7"/>
    <x v="64"/>
    <x v="0"/>
    <x v="0"/>
    <n v="3081.07"/>
  </r>
  <r>
    <x v="47"/>
    <x v="3"/>
    <x v="3"/>
    <x v="65"/>
    <x v="0"/>
    <x v="0"/>
    <n v="305.3"/>
  </r>
  <r>
    <x v="49"/>
    <x v="3"/>
    <x v="3"/>
    <x v="65"/>
    <x v="0"/>
    <x v="0"/>
    <n v="305.3"/>
  </r>
  <r>
    <x v="3"/>
    <x v="3"/>
    <x v="3"/>
    <x v="65"/>
    <x v="0"/>
    <x v="0"/>
    <n v="305.3"/>
  </r>
  <r>
    <x v="17"/>
    <x v="3"/>
    <x v="3"/>
    <x v="65"/>
    <x v="0"/>
    <x v="0"/>
    <n v="305.3"/>
  </r>
  <r>
    <x v="7"/>
    <x v="3"/>
    <x v="3"/>
    <x v="65"/>
    <x v="0"/>
    <x v="0"/>
    <n v="305.3"/>
  </r>
  <r>
    <x v="68"/>
    <x v="4"/>
    <x v="0"/>
    <x v="1"/>
    <x v="0"/>
    <x v="0"/>
    <n v="1977.89"/>
  </r>
  <r>
    <x v="71"/>
    <x v="4"/>
    <x v="0"/>
    <x v="1"/>
    <x v="0"/>
    <x v="0"/>
    <n v="1884.89"/>
  </r>
  <r>
    <x v="38"/>
    <x v="4"/>
    <x v="0"/>
    <x v="1"/>
    <x v="0"/>
    <x v="0"/>
    <n v="1863.22"/>
  </r>
  <r>
    <x v="3"/>
    <x v="4"/>
    <x v="0"/>
    <x v="1"/>
    <x v="0"/>
    <x v="0"/>
    <n v="1897.07"/>
  </r>
  <r>
    <x v="3"/>
    <x v="4"/>
    <x v="0"/>
    <x v="1"/>
    <x v="0"/>
    <x v="0"/>
    <n v="500.03"/>
  </r>
  <r>
    <x v="18"/>
    <x v="4"/>
    <x v="0"/>
    <x v="1"/>
    <x v="0"/>
    <x v="0"/>
    <n v="520.78"/>
  </r>
  <r>
    <x v="24"/>
    <x v="4"/>
    <x v="1"/>
    <x v="66"/>
    <x v="0"/>
    <x v="0"/>
    <n v="0"/>
  </r>
  <r>
    <x v="70"/>
    <x v="4"/>
    <x v="1"/>
    <x v="3"/>
    <x v="0"/>
    <x v="0"/>
    <n v="310.91000000000003"/>
  </r>
  <r>
    <x v="30"/>
    <x v="4"/>
    <x v="1"/>
    <x v="3"/>
    <x v="0"/>
    <x v="0"/>
    <n v="90.89"/>
  </r>
  <r>
    <x v="29"/>
    <x v="4"/>
    <x v="1"/>
    <x v="3"/>
    <x v="0"/>
    <x v="0"/>
    <n v="89.88"/>
  </r>
  <r>
    <x v="3"/>
    <x v="4"/>
    <x v="1"/>
    <x v="3"/>
    <x v="0"/>
    <x v="0"/>
    <n v="94.71"/>
  </r>
  <r>
    <x v="6"/>
    <x v="4"/>
    <x v="1"/>
    <x v="3"/>
    <x v="0"/>
    <x v="0"/>
    <n v="102.5"/>
  </r>
  <r>
    <x v="72"/>
    <x v="4"/>
    <x v="3"/>
    <x v="67"/>
    <x v="0"/>
    <x v="0"/>
    <n v="464.37"/>
  </r>
  <r>
    <x v="57"/>
    <x v="4"/>
    <x v="3"/>
    <x v="67"/>
    <x v="0"/>
    <x v="0"/>
    <n v="464.37"/>
  </r>
  <r>
    <x v="3"/>
    <x v="4"/>
    <x v="3"/>
    <x v="67"/>
    <x v="0"/>
    <x v="0"/>
    <n v="464.37"/>
  </r>
  <r>
    <x v="103"/>
    <x v="4"/>
    <x v="3"/>
    <x v="67"/>
    <x v="0"/>
    <x v="0"/>
    <n v="0"/>
  </r>
  <r>
    <x v="62"/>
    <x v="4"/>
    <x v="4"/>
    <x v="11"/>
    <x v="0"/>
    <x v="0"/>
    <n v="650"/>
  </r>
  <r>
    <x v="29"/>
    <x v="4"/>
    <x v="4"/>
    <x v="68"/>
    <x v="0"/>
    <x v="0"/>
    <n v="400"/>
  </r>
  <r>
    <x v="3"/>
    <x v="4"/>
    <x v="4"/>
    <x v="69"/>
    <x v="0"/>
    <x v="0"/>
    <n v="553.4"/>
  </r>
  <r>
    <x v="3"/>
    <x v="4"/>
    <x v="5"/>
    <x v="70"/>
    <x v="0"/>
    <x v="0"/>
    <n v="230.7"/>
  </r>
  <r>
    <x v="65"/>
    <x v="5"/>
    <x v="8"/>
    <x v="71"/>
    <x v="2"/>
    <x v="0"/>
    <n v="7850"/>
  </r>
  <r>
    <x v="31"/>
    <x v="5"/>
    <x v="8"/>
    <x v="71"/>
    <x v="2"/>
    <x v="0"/>
    <n v="7850"/>
  </r>
  <r>
    <x v="22"/>
    <x v="5"/>
    <x v="8"/>
    <x v="71"/>
    <x v="2"/>
    <x v="0"/>
    <n v="11734.52"/>
  </r>
  <r>
    <x v="3"/>
    <x v="5"/>
    <x v="8"/>
    <x v="71"/>
    <x v="2"/>
    <x v="0"/>
    <n v="11734.52"/>
  </r>
  <r>
    <x v="98"/>
    <x v="5"/>
    <x v="8"/>
    <x v="71"/>
    <x v="2"/>
    <x v="0"/>
    <n v="11734.52"/>
  </r>
  <r>
    <x v="37"/>
    <x v="5"/>
    <x v="8"/>
    <x v="71"/>
    <x v="2"/>
    <x v="0"/>
    <n v="11734.52"/>
  </r>
  <r>
    <x v="64"/>
    <x v="5"/>
    <x v="8"/>
    <x v="72"/>
    <x v="3"/>
    <x v="0"/>
    <n v="4524.8900000000003"/>
  </r>
  <r>
    <x v="15"/>
    <x v="5"/>
    <x v="8"/>
    <x v="72"/>
    <x v="3"/>
    <x v="0"/>
    <n v="2329.54"/>
  </r>
  <r>
    <x v="16"/>
    <x v="5"/>
    <x v="8"/>
    <x v="72"/>
    <x v="3"/>
    <x v="0"/>
    <n v="2329.54"/>
  </r>
  <r>
    <x v="3"/>
    <x v="5"/>
    <x v="8"/>
    <x v="72"/>
    <x v="3"/>
    <x v="0"/>
    <n v="2329.54"/>
  </r>
  <r>
    <x v="17"/>
    <x v="5"/>
    <x v="8"/>
    <x v="72"/>
    <x v="3"/>
    <x v="0"/>
    <n v="2329.5500000000002"/>
  </r>
  <r>
    <x v="18"/>
    <x v="5"/>
    <x v="8"/>
    <x v="72"/>
    <x v="3"/>
    <x v="0"/>
    <n v="2329.5500000000002"/>
  </r>
  <r>
    <x v="0"/>
    <x v="5"/>
    <x v="9"/>
    <x v="73"/>
    <x v="3"/>
    <x v="0"/>
    <n v="2750"/>
  </r>
  <r>
    <x v="39"/>
    <x v="5"/>
    <x v="9"/>
    <x v="73"/>
    <x v="3"/>
    <x v="0"/>
    <n v="2750"/>
  </r>
  <r>
    <x v="34"/>
    <x v="5"/>
    <x v="9"/>
    <x v="73"/>
    <x v="3"/>
    <x v="0"/>
    <n v="2750"/>
  </r>
  <r>
    <x v="48"/>
    <x v="5"/>
    <x v="9"/>
    <x v="73"/>
    <x v="3"/>
    <x v="0"/>
    <n v="2750"/>
  </r>
  <r>
    <x v="35"/>
    <x v="5"/>
    <x v="9"/>
    <x v="73"/>
    <x v="3"/>
    <x v="0"/>
    <n v="2750"/>
  </r>
  <r>
    <x v="81"/>
    <x v="5"/>
    <x v="9"/>
    <x v="73"/>
    <x v="3"/>
    <x v="0"/>
    <n v="2750"/>
  </r>
  <r>
    <x v="3"/>
    <x v="5"/>
    <x v="9"/>
    <x v="73"/>
    <x v="3"/>
    <x v="0"/>
    <n v="2750"/>
  </r>
  <r>
    <x v="3"/>
    <x v="5"/>
    <x v="9"/>
    <x v="73"/>
    <x v="3"/>
    <x v="0"/>
    <n v="2750"/>
  </r>
  <r>
    <x v="23"/>
    <x v="5"/>
    <x v="9"/>
    <x v="73"/>
    <x v="3"/>
    <x v="0"/>
    <n v="2750"/>
  </r>
  <r>
    <x v="19"/>
    <x v="5"/>
    <x v="9"/>
    <x v="73"/>
    <x v="3"/>
    <x v="0"/>
    <n v="2750"/>
  </r>
  <r>
    <x v="24"/>
    <x v="5"/>
    <x v="9"/>
    <x v="73"/>
    <x v="3"/>
    <x v="0"/>
    <n v="2750"/>
  </r>
  <r>
    <x v="104"/>
    <x v="5"/>
    <x v="9"/>
    <x v="73"/>
    <x v="3"/>
    <x v="0"/>
    <n v="2750"/>
  </r>
  <r>
    <x v="0"/>
    <x v="5"/>
    <x v="9"/>
    <x v="74"/>
    <x v="2"/>
    <x v="0"/>
    <n v="2750"/>
  </r>
  <r>
    <x v="39"/>
    <x v="5"/>
    <x v="9"/>
    <x v="74"/>
    <x v="2"/>
    <x v="0"/>
    <n v="2750"/>
  </r>
  <r>
    <x v="34"/>
    <x v="5"/>
    <x v="9"/>
    <x v="74"/>
    <x v="2"/>
    <x v="0"/>
    <n v="2750"/>
  </r>
  <r>
    <x v="56"/>
    <x v="5"/>
    <x v="9"/>
    <x v="74"/>
    <x v="2"/>
    <x v="0"/>
    <n v="2750"/>
  </r>
  <r>
    <x v="35"/>
    <x v="5"/>
    <x v="9"/>
    <x v="74"/>
    <x v="2"/>
    <x v="0"/>
    <n v="2750"/>
  </r>
  <r>
    <x v="81"/>
    <x v="5"/>
    <x v="9"/>
    <x v="74"/>
    <x v="2"/>
    <x v="0"/>
    <n v="2750"/>
  </r>
  <r>
    <x v="3"/>
    <x v="5"/>
    <x v="9"/>
    <x v="74"/>
    <x v="2"/>
    <x v="0"/>
    <n v="2750"/>
  </r>
  <r>
    <x v="3"/>
    <x v="5"/>
    <x v="9"/>
    <x v="74"/>
    <x v="2"/>
    <x v="0"/>
    <n v="2750"/>
  </r>
  <r>
    <x v="23"/>
    <x v="5"/>
    <x v="9"/>
    <x v="74"/>
    <x v="2"/>
    <x v="0"/>
    <n v="2750"/>
  </r>
  <r>
    <x v="19"/>
    <x v="5"/>
    <x v="9"/>
    <x v="74"/>
    <x v="2"/>
    <x v="0"/>
    <n v="2750"/>
  </r>
  <r>
    <x v="24"/>
    <x v="5"/>
    <x v="9"/>
    <x v="74"/>
    <x v="2"/>
    <x v="0"/>
    <n v="2750"/>
  </r>
  <r>
    <x v="104"/>
    <x v="5"/>
    <x v="9"/>
    <x v="74"/>
    <x v="2"/>
    <x v="0"/>
    <n v="2750"/>
  </r>
  <r>
    <x v="65"/>
    <x v="5"/>
    <x v="10"/>
    <x v="75"/>
    <x v="3"/>
    <x v="0"/>
    <n v="115"/>
  </r>
  <r>
    <x v="65"/>
    <x v="5"/>
    <x v="10"/>
    <x v="75"/>
    <x v="2"/>
    <x v="0"/>
    <n v="115"/>
  </r>
  <r>
    <x v="47"/>
    <x v="5"/>
    <x v="10"/>
    <x v="75"/>
    <x v="3"/>
    <x v="0"/>
    <n v="86.25"/>
  </r>
  <r>
    <x v="47"/>
    <x v="5"/>
    <x v="10"/>
    <x v="75"/>
    <x v="2"/>
    <x v="0"/>
    <n v="86.25"/>
  </r>
  <r>
    <x v="49"/>
    <x v="5"/>
    <x v="10"/>
    <x v="75"/>
    <x v="3"/>
    <x v="0"/>
    <n v="86.25"/>
  </r>
  <r>
    <x v="49"/>
    <x v="5"/>
    <x v="10"/>
    <x v="75"/>
    <x v="2"/>
    <x v="0"/>
    <n v="86.25"/>
  </r>
  <r>
    <x v="3"/>
    <x v="5"/>
    <x v="10"/>
    <x v="75"/>
    <x v="3"/>
    <x v="0"/>
    <n v="123.75"/>
  </r>
  <r>
    <x v="3"/>
    <x v="5"/>
    <x v="10"/>
    <x v="75"/>
    <x v="2"/>
    <x v="0"/>
    <n v="123.75"/>
  </r>
  <r>
    <x v="3"/>
    <x v="5"/>
    <x v="10"/>
    <x v="75"/>
    <x v="3"/>
    <x v="0"/>
    <n v="840.16"/>
  </r>
  <r>
    <x v="3"/>
    <x v="5"/>
    <x v="10"/>
    <x v="75"/>
    <x v="2"/>
    <x v="0"/>
    <n v="840.16"/>
  </r>
  <r>
    <x v="3"/>
    <x v="5"/>
    <x v="10"/>
    <x v="75"/>
    <x v="3"/>
    <x v="0"/>
    <n v="67"/>
  </r>
  <r>
    <x v="3"/>
    <x v="5"/>
    <x v="10"/>
    <x v="75"/>
    <x v="2"/>
    <x v="0"/>
    <n v="67"/>
  </r>
  <r>
    <x v="36"/>
    <x v="5"/>
    <x v="10"/>
    <x v="75"/>
    <x v="2"/>
    <x v="0"/>
    <n v="113.1"/>
  </r>
  <r>
    <x v="36"/>
    <x v="5"/>
    <x v="10"/>
    <x v="75"/>
    <x v="3"/>
    <x v="0"/>
    <n v="113.1"/>
  </r>
  <r>
    <x v="53"/>
    <x v="5"/>
    <x v="10"/>
    <x v="75"/>
    <x v="3"/>
    <x v="0"/>
    <n v="299.75"/>
  </r>
  <r>
    <x v="53"/>
    <x v="5"/>
    <x v="10"/>
    <x v="75"/>
    <x v="2"/>
    <x v="0"/>
    <n v="299.75"/>
  </r>
  <r>
    <x v="54"/>
    <x v="5"/>
    <x v="10"/>
    <x v="75"/>
    <x v="2"/>
    <x v="0"/>
    <n v="92.5"/>
  </r>
  <r>
    <x v="54"/>
    <x v="5"/>
    <x v="10"/>
    <x v="75"/>
    <x v="3"/>
    <x v="0"/>
    <n v="92.5"/>
  </r>
  <r>
    <x v="65"/>
    <x v="5"/>
    <x v="11"/>
    <x v="76"/>
    <x v="3"/>
    <x v="0"/>
    <n v="1977"/>
  </r>
  <r>
    <x v="65"/>
    <x v="5"/>
    <x v="11"/>
    <x v="76"/>
    <x v="2"/>
    <x v="0"/>
    <n v="1977"/>
  </r>
  <r>
    <x v="47"/>
    <x v="5"/>
    <x v="11"/>
    <x v="76"/>
    <x v="3"/>
    <x v="0"/>
    <n v="1977"/>
  </r>
  <r>
    <x v="47"/>
    <x v="5"/>
    <x v="11"/>
    <x v="76"/>
    <x v="2"/>
    <x v="0"/>
    <n v="1977"/>
  </r>
  <r>
    <x v="49"/>
    <x v="5"/>
    <x v="11"/>
    <x v="76"/>
    <x v="3"/>
    <x v="0"/>
    <n v="1977"/>
  </r>
  <r>
    <x v="49"/>
    <x v="5"/>
    <x v="11"/>
    <x v="76"/>
    <x v="2"/>
    <x v="0"/>
    <n v="1977"/>
  </r>
  <r>
    <x v="3"/>
    <x v="5"/>
    <x v="11"/>
    <x v="76"/>
    <x v="2"/>
    <x v="0"/>
    <n v="1977"/>
  </r>
  <r>
    <x v="3"/>
    <x v="5"/>
    <x v="11"/>
    <x v="76"/>
    <x v="3"/>
    <x v="0"/>
    <n v="1977"/>
  </r>
  <r>
    <x v="36"/>
    <x v="5"/>
    <x v="11"/>
    <x v="76"/>
    <x v="2"/>
    <x v="0"/>
    <n v="1977"/>
  </r>
  <r>
    <x v="36"/>
    <x v="5"/>
    <x v="11"/>
    <x v="76"/>
    <x v="3"/>
    <x v="0"/>
    <n v="1977"/>
  </r>
  <r>
    <x v="53"/>
    <x v="5"/>
    <x v="11"/>
    <x v="76"/>
    <x v="2"/>
    <x v="0"/>
    <n v="1977"/>
  </r>
  <r>
    <x v="53"/>
    <x v="5"/>
    <x v="11"/>
    <x v="76"/>
    <x v="3"/>
    <x v="0"/>
    <n v="1977"/>
  </r>
  <r>
    <x v="47"/>
    <x v="5"/>
    <x v="11"/>
    <x v="77"/>
    <x v="3"/>
    <x v="0"/>
    <n v="1387.93"/>
  </r>
  <r>
    <x v="47"/>
    <x v="5"/>
    <x v="11"/>
    <x v="77"/>
    <x v="2"/>
    <x v="0"/>
    <n v="1387.93"/>
  </r>
  <r>
    <x v="49"/>
    <x v="5"/>
    <x v="11"/>
    <x v="77"/>
    <x v="3"/>
    <x v="0"/>
    <n v="1387.93"/>
  </r>
  <r>
    <x v="49"/>
    <x v="5"/>
    <x v="11"/>
    <x v="77"/>
    <x v="2"/>
    <x v="0"/>
    <n v="1387.93"/>
  </r>
  <r>
    <x v="3"/>
    <x v="5"/>
    <x v="11"/>
    <x v="77"/>
    <x v="3"/>
    <x v="0"/>
    <n v="1387.93"/>
  </r>
  <r>
    <x v="3"/>
    <x v="5"/>
    <x v="11"/>
    <x v="77"/>
    <x v="2"/>
    <x v="0"/>
    <n v="1387.93"/>
  </r>
  <r>
    <x v="17"/>
    <x v="5"/>
    <x v="11"/>
    <x v="77"/>
    <x v="3"/>
    <x v="0"/>
    <n v="1387.93"/>
  </r>
  <r>
    <x v="17"/>
    <x v="5"/>
    <x v="11"/>
    <x v="77"/>
    <x v="2"/>
    <x v="0"/>
    <n v="1387.93"/>
  </r>
  <r>
    <x v="7"/>
    <x v="5"/>
    <x v="11"/>
    <x v="78"/>
    <x v="3"/>
    <x v="0"/>
    <n v="1387.93"/>
  </r>
  <r>
    <x v="7"/>
    <x v="5"/>
    <x v="11"/>
    <x v="78"/>
    <x v="2"/>
    <x v="0"/>
    <n v="1387.93"/>
  </r>
  <r>
    <x v="92"/>
    <x v="5"/>
    <x v="12"/>
    <x v="79"/>
    <x v="3"/>
    <x v="0"/>
    <n v="514"/>
  </r>
  <r>
    <x v="20"/>
    <x v="5"/>
    <x v="12"/>
    <x v="80"/>
    <x v="3"/>
    <x v="0"/>
    <n v="7000"/>
  </r>
  <r>
    <x v="92"/>
    <x v="5"/>
    <x v="12"/>
    <x v="81"/>
    <x v="3"/>
    <x v="0"/>
    <n v="1435"/>
  </r>
  <r>
    <x v="3"/>
    <x v="5"/>
    <x v="13"/>
    <x v="82"/>
    <x v="2"/>
    <x v="0"/>
    <n v="150"/>
  </r>
  <r>
    <x v="3"/>
    <x v="5"/>
    <x v="13"/>
    <x v="82"/>
    <x v="2"/>
    <x v="0"/>
    <n v="80"/>
  </r>
  <r>
    <x v="51"/>
    <x v="5"/>
    <x v="13"/>
    <x v="82"/>
    <x v="2"/>
    <x v="0"/>
    <n v="650"/>
  </r>
  <r>
    <x v="19"/>
    <x v="5"/>
    <x v="13"/>
    <x v="82"/>
    <x v="2"/>
    <x v="0"/>
    <n v="100"/>
  </r>
  <r>
    <x v="55"/>
    <x v="5"/>
    <x v="13"/>
    <x v="82"/>
    <x v="2"/>
    <x v="0"/>
    <n v="475"/>
  </r>
  <r>
    <x v="49"/>
    <x v="5"/>
    <x v="14"/>
    <x v="83"/>
    <x v="2"/>
    <x v="0"/>
    <n v="25"/>
  </r>
  <r>
    <x v="76"/>
    <x v="5"/>
    <x v="14"/>
    <x v="83"/>
    <x v="2"/>
    <x v="0"/>
    <n v="50"/>
  </r>
  <r>
    <x v="11"/>
    <x v="5"/>
    <x v="14"/>
    <x v="84"/>
    <x v="3"/>
    <x v="0"/>
    <n v="127.8"/>
  </r>
  <r>
    <x v="50"/>
    <x v="5"/>
    <x v="14"/>
    <x v="85"/>
    <x v="0"/>
    <x v="0"/>
    <n v="620"/>
  </r>
  <r>
    <x v="60"/>
    <x v="5"/>
    <x v="14"/>
    <x v="86"/>
    <x v="2"/>
    <x v="0"/>
    <n v="500"/>
  </r>
  <r>
    <x v="31"/>
    <x v="5"/>
    <x v="14"/>
    <x v="86"/>
    <x v="2"/>
    <x v="0"/>
    <n v="208.88"/>
  </r>
  <r>
    <x v="38"/>
    <x v="5"/>
    <x v="14"/>
    <x v="86"/>
    <x v="2"/>
    <x v="0"/>
    <n v="250"/>
  </r>
  <r>
    <x v="105"/>
    <x v="5"/>
    <x v="14"/>
    <x v="86"/>
    <x v="2"/>
    <x v="0"/>
    <n v="300"/>
  </r>
  <r>
    <x v="101"/>
    <x v="5"/>
    <x v="14"/>
    <x v="86"/>
    <x v="2"/>
    <x v="0"/>
    <n v="100"/>
  </r>
  <r>
    <x v="80"/>
    <x v="5"/>
    <x v="14"/>
    <x v="86"/>
    <x v="0"/>
    <x v="0"/>
    <n v="265.77999999999997"/>
  </r>
  <r>
    <x v="3"/>
    <x v="5"/>
    <x v="14"/>
    <x v="86"/>
    <x v="2"/>
    <x v="0"/>
    <n v="250"/>
  </r>
  <r>
    <x v="3"/>
    <x v="5"/>
    <x v="14"/>
    <x v="86"/>
    <x v="2"/>
    <x v="0"/>
    <n v="110"/>
  </r>
  <r>
    <x v="3"/>
    <x v="5"/>
    <x v="14"/>
    <x v="86"/>
    <x v="2"/>
    <x v="0"/>
    <n v="60"/>
  </r>
  <r>
    <x v="3"/>
    <x v="5"/>
    <x v="14"/>
    <x v="86"/>
    <x v="2"/>
    <x v="0"/>
    <n v="30"/>
  </r>
  <r>
    <x v="3"/>
    <x v="5"/>
    <x v="14"/>
    <x v="86"/>
    <x v="2"/>
    <x v="0"/>
    <n v="603.86"/>
  </r>
  <r>
    <x v="6"/>
    <x v="5"/>
    <x v="14"/>
    <x v="86"/>
    <x v="2"/>
    <x v="0"/>
    <n v="280.53999999999996"/>
  </r>
  <r>
    <x v="93"/>
    <x v="5"/>
    <x v="14"/>
    <x v="86"/>
    <x v="2"/>
    <x v="0"/>
    <n v="142.50000000000003"/>
  </r>
  <r>
    <x v="55"/>
    <x v="5"/>
    <x v="14"/>
    <x v="86"/>
    <x v="2"/>
    <x v="0"/>
    <n v="90.34"/>
  </r>
  <r>
    <x v="55"/>
    <x v="5"/>
    <x v="14"/>
    <x v="86"/>
    <x v="2"/>
    <x v="0"/>
    <n v="975.56"/>
  </r>
  <r>
    <x v="30"/>
    <x v="5"/>
    <x v="14"/>
    <x v="87"/>
    <x v="2"/>
    <x v="0"/>
    <n v="51.98"/>
  </r>
  <r>
    <x v="30"/>
    <x v="5"/>
    <x v="14"/>
    <x v="87"/>
    <x v="2"/>
    <x v="0"/>
    <n v="70.949999999999989"/>
  </r>
  <r>
    <x v="76"/>
    <x v="5"/>
    <x v="14"/>
    <x v="87"/>
    <x v="2"/>
    <x v="0"/>
    <n v="67.94"/>
  </r>
  <r>
    <x v="86"/>
    <x v="6"/>
    <x v="15"/>
    <x v="88"/>
    <x v="0"/>
    <x v="1"/>
    <n v="116.8"/>
  </r>
  <r>
    <x v="106"/>
    <x v="6"/>
    <x v="15"/>
    <x v="89"/>
    <x v="1"/>
    <x v="1"/>
    <n v="116.86"/>
  </r>
  <r>
    <x v="3"/>
    <x v="6"/>
    <x v="15"/>
    <x v="89"/>
    <x v="1"/>
    <x v="1"/>
    <n v="117.06"/>
  </r>
  <r>
    <x v="3"/>
    <x v="6"/>
    <x v="15"/>
    <x v="89"/>
    <x v="2"/>
    <x v="1"/>
    <n v="1174.78"/>
  </r>
  <r>
    <x v="20"/>
    <x v="6"/>
    <x v="15"/>
    <x v="89"/>
    <x v="1"/>
    <x v="1"/>
    <n v="116.61"/>
  </r>
  <r>
    <x v="82"/>
    <x v="6"/>
    <x v="15"/>
    <x v="90"/>
    <x v="1"/>
    <x v="1"/>
    <n v="106.24"/>
  </r>
  <r>
    <x v="63"/>
    <x v="6"/>
    <x v="15"/>
    <x v="90"/>
    <x v="0"/>
    <x v="1"/>
    <n v="106.36"/>
  </r>
  <r>
    <x v="7"/>
    <x v="6"/>
    <x v="16"/>
    <x v="91"/>
    <x v="0"/>
    <x v="0"/>
    <n v="200"/>
  </r>
  <r>
    <x v="107"/>
    <x v="6"/>
    <x v="17"/>
    <x v="92"/>
    <x v="1"/>
    <x v="3"/>
    <n v="150"/>
  </r>
  <r>
    <x v="108"/>
    <x v="6"/>
    <x v="18"/>
    <x v="93"/>
    <x v="0"/>
    <x v="0"/>
    <n v="17.88"/>
  </r>
  <r>
    <x v="33"/>
    <x v="6"/>
    <x v="18"/>
    <x v="94"/>
    <x v="4"/>
    <x v="0"/>
    <n v="22.61"/>
  </r>
  <r>
    <x v="0"/>
    <x v="6"/>
    <x v="18"/>
    <x v="95"/>
    <x v="4"/>
    <x v="0"/>
    <n v="267.60000000000002"/>
  </r>
  <r>
    <x v="41"/>
    <x v="6"/>
    <x v="18"/>
    <x v="96"/>
    <x v="1"/>
    <x v="0"/>
    <n v="45.78"/>
  </r>
  <r>
    <x v="109"/>
    <x v="6"/>
    <x v="19"/>
    <x v="97"/>
    <x v="4"/>
    <x v="0"/>
    <n v="116.25"/>
  </r>
  <r>
    <x v="26"/>
    <x v="6"/>
    <x v="20"/>
    <x v="98"/>
    <x v="0"/>
    <x v="0"/>
    <n v="4000"/>
  </r>
  <r>
    <x v="88"/>
    <x v="6"/>
    <x v="21"/>
    <x v="99"/>
    <x v="0"/>
    <x v="1"/>
    <n v="114"/>
  </r>
  <r>
    <x v="3"/>
    <x v="6"/>
    <x v="21"/>
    <x v="99"/>
    <x v="1"/>
    <x v="1"/>
    <n v="57"/>
  </r>
  <r>
    <x v="83"/>
    <x v="6"/>
    <x v="21"/>
    <x v="99"/>
    <x v="4"/>
    <x v="1"/>
    <n v="78"/>
  </r>
  <r>
    <x v="27"/>
    <x v="6"/>
    <x v="21"/>
    <x v="99"/>
    <x v="1"/>
    <x v="0"/>
    <n v="144"/>
  </r>
  <r>
    <x v="86"/>
    <x v="6"/>
    <x v="21"/>
    <x v="99"/>
    <x v="4"/>
    <x v="1"/>
    <n v="176"/>
  </r>
  <r>
    <x v="13"/>
    <x v="6"/>
    <x v="21"/>
    <x v="100"/>
    <x v="1"/>
    <x v="0"/>
    <n v="650"/>
  </r>
  <r>
    <x v="3"/>
    <x v="6"/>
    <x v="22"/>
    <x v="101"/>
    <x v="0"/>
    <x v="0"/>
    <n v="53.14"/>
  </r>
  <r>
    <x v="3"/>
    <x v="6"/>
    <x v="22"/>
    <x v="102"/>
    <x v="0"/>
    <x v="0"/>
    <n v="82.19"/>
  </r>
  <r>
    <x v="3"/>
    <x v="6"/>
    <x v="22"/>
    <x v="103"/>
    <x v="1"/>
    <x v="0"/>
    <n v="53.14"/>
  </r>
  <r>
    <x v="3"/>
    <x v="6"/>
    <x v="22"/>
    <x v="104"/>
    <x v="0"/>
    <x v="0"/>
    <n v="82.19"/>
  </r>
  <r>
    <x v="110"/>
    <x v="6"/>
    <x v="23"/>
    <x v="105"/>
    <x v="1"/>
    <x v="4"/>
    <n v="931.16"/>
  </r>
  <r>
    <x v="91"/>
    <x v="6"/>
    <x v="23"/>
    <x v="105"/>
    <x v="1"/>
    <x v="4"/>
    <n v="931.16"/>
  </r>
  <r>
    <x v="21"/>
    <x v="6"/>
    <x v="24"/>
    <x v="106"/>
    <x v="0"/>
    <x v="0"/>
    <n v="68.58"/>
  </r>
  <r>
    <x v="10"/>
    <x v="6"/>
    <x v="24"/>
    <x v="106"/>
    <x v="0"/>
    <x v="0"/>
    <n v="21.81"/>
  </r>
  <r>
    <x v="11"/>
    <x v="6"/>
    <x v="24"/>
    <x v="106"/>
    <x v="0"/>
    <x v="0"/>
    <n v="58.24"/>
  </r>
  <r>
    <x v="64"/>
    <x v="6"/>
    <x v="25"/>
    <x v="107"/>
    <x v="0"/>
    <x v="0"/>
    <n v="661"/>
  </r>
  <r>
    <x v="15"/>
    <x v="6"/>
    <x v="25"/>
    <x v="107"/>
    <x v="0"/>
    <x v="0"/>
    <n v="1289"/>
  </r>
  <r>
    <x v="16"/>
    <x v="6"/>
    <x v="25"/>
    <x v="107"/>
    <x v="0"/>
    <x v="0"/>
    <n v="1289"/>
  </r>
  <r>
    <x v="1"/>
    <x v="6"/>
    <x v="26"/>
    <x v="108"/>
    <x v="0"/>
    <x v="1"/>
    <n v="3"/>
  </r>
  <r>
    <x v="73"/>
    <x v="6"/>
    <x v="26"/>
    <x v="108"/>
    <x v="0"/>
    <x v="1"/>
    <n v="31.95"/>
  </r>
  <r>
    <x v="111"/>
    <x v="6"/>
    <x v="26"/>
    <x v="108"/>
    <x v="0"/>
    <x v="1"/>
    <n v="22.79"/>
  </r>
  <r>
    <x v="111"/>
    <x v="6"/>
    <x v="26"/>
    <x v="108"/>
    <x v="0"/>
    <x v="1"/>
    <n v="32.700000000000003"/>
  </r>
  <r>
    <x v="111"/>
    <x v="6"/>
    <x v="26"/>
    <x v="108"/>
    <x v="0"/>
    <x v="1"/>
    <n v="64.2"/>
  </r>
  <r>
    <x v="40"/>
    <x v="6"/>
    <x v="26"/>
    <x v="108"/>
    <x v="0"/>
    <x v="1"/>
    <n v="38.5"/>
  </r>
  <r>
    <x v="40"/>
    <x v="6"/>
    <x v="26"/>
    <x v="108"/>
    <x v="0"/>
    <x v="1"/>
    <n v="54.2"/>
  </r>
  <r>
    <x v="91"/>
    <x v="6"/>
    <x v="26"/>
    <x v="108"/>
    <x v="1"/>
    <x v="1"/>
    <n v="5.04"/>
  </r>
  <r>
    <x v="91"/>
    <x v="6"/>
    <x v="26"/>
    <x v="108"/>
    <x v="0"/>
    <x v="1"/>
    <n v="72.8"/>
  </r>
  <r>
    <x v="57"/>
    <x v="6"/>
    <x v="26"/>
    <x v="108"/>
    <x v="1"/>
    <x v="1"/>
    <n v="29.75"/>
  </r>
  <r>
    <x v="112"/>
    <x v="6"/>
    <x v="26"/>
    <x v="108"/>
    <x v="1"/>
    <x v="1"/>
    <n v="53.8"/>
  </r>
  <r>
    <x v="112"/>
    <x v="6"/>
    <x v="26"/>
    <x v="108"/>
    <x v="1"/>
    <x v="1"/>
    <n v="64.95"/>
  </r>
  <r>
    <x v="3"/>
    <x v="6"/>
    <x v="26"/>
    <x v="108"/>
    <x v="1"/>
    <x v="1"/>
    <n v="18.95"/>
  </r>
  <r>
    <x v="3"/>
    <x v="6"/>
    <x v="26"/>
    <x v="108"/>
    <x v="1"/>
    <x v="1"/>
    <n v="5.15"/>
  </r>
  <r>
    <x v="3"/>
    <x v="6"/>
    <x v="26"/>
    <x v="108"/>
    <x v="1"/>
    <x v="1"/>
    <n v="30.95"/>
  </r>
  <r>
    <x v="17"/>
    <x v="6"/>
    <x v="26"/>
    <x v="108"/>
    <x v="1"/>
    <x v="1"/>
    <n v="2.5"/>
  </r>
  <r>
    <x v="92"/>
    <x v="6"/>
    <x v="26"/>
    <x v="109"/>
    <x v="1"/>
    <x v="1"/>
    <n v="30"/>
  </r>
  <r>
    <x v="40"/>
    <x v="6"/>
    <x v="26"/>
    <x v="110"/>
    <x v="0"/>
    <x v="1"/>
    <n v="69.3"/>
  </r>
  <r>
    <x v="100"/>
    <x v="6"/>
    <x v="26"/>
    <x v="111"/>
    <x v="1"/>
    <x v="1"/>
    <n v="41.55"/>
  </r>
  <r>
    <x v="113"/>
    <x v="6"/>
    <x v="26"/>
    <x v="112"/>
    <x v="0"/>
    <x v="1"/>
    <n v="30"/>
  </r>
  <r>
    <x v="40"/>
    <x v="6"/>
    <x v="26"/>
    <x v="113"/>
    <x v="0"/>
    <x v="1"/>
    <n v="90"/>
  </r>
  <r>
    <x v="76"/>
    <x v="6"/>
    <x v="26"/>
    <x v="114"/>
    <x v="1"/>
    <x v="1"/>
    <n v="35"/>
  </r>
  <r>
    <x v="57"/>
    <x v="6"/>
    <x v="26"/>
    <x v="115"/>
    <x v="1"/>
    <x v="1"/>
    <n v="17.05"/>
  </r>
  <r>
    <x v="73"/>
    <x v="6"/>
    <x v="26"/>
    <x v="116"/>
    <x v="0"/>
    <x v="1"/>
    <n v="12"/>
  </r>
  <r>
    <x v="10"/>
    <x v="6"/>
    <x v="26"/>
    <x v="117"/>
    <x v="2"/>
    <x v="1"/>
    <n v="252.15"/>
  </r>
  <r>
    <x v="76"/>
    <x v="6"/>
    <x v="26"/>
    <x v="118"/>
    <x v="1"/>
    <x v="1"/>
    <n v="33.85"/>
  </r>
  <r>
    <x v="31"/>
    <x v="6"/>
    <x v="26"/>
    <x v="119"/>
    <x v="0"/>
    <x v="0"/>
    <n v="266.48"/>
  </r>
  <r>
    <x v="40"/>
    <x v="6"/>
    <x v="26"/>
    <x v="120"/>
    <x v="0"/>
    <x v="1"/>
    <n v="14.3"/>
  </r>
  <r>
    <x v="34"/>
    <x v="6"/>
    <x v="26"/>
    <x v="121"/>
    <x v="0"/>
    <x v="1"/>
    <n v="88"/>
  </r>
  <r>
    <x v="6"/>
    <x v="6"/>
    <x v="26"/>
    <x v="122"/>
    <x v="1"/>
    <x v="1"/>
    <n v="14.5"/>
  </r>
  <r>
    <x v="6"/>
    <x v="6"/>
    <x v="26"/>
    <x v="122"/>
    <x v="1"/>
    <x v="1"/>
    <n v="14"/>
  </r>
  <r>
    <x v="57"/>
    <x v="6"/>
    <x v="26"/>
    <x v="123"/>
    <x v="1"/>
    <x v="1"/>
    <n v="35.25"/>
  </r>
  <r>
    <x v="83"/>
    <x v="6"/>
    <x v="26"/>
    <x v="124"/>
    <x v="1"/>
    <x v="1"/>
    <n v="98.95"/>
  </r>
  <r>
    <x v="111"/>
    <x v="6"/>
    <x v="26"/>
    <x v="125"/>
    <x v="0"/>
    <x v="1"/>
    <n v="11.5"/>
  </r>
  <r>
    <x v="57"/>
    <x v="6"/>
    <x v="26"/>
    <x v="126"/>
    <x v="1"/>
    <x v="1"/>
    <n v="2.5499999999999998"/>
  </r>
  <r>
    <x v="92"/>
    <x v="6"/>
    <x v="26"/>
    <x v="127"/>
    <x v="1"/>
    <x v="1"/>
    <n v="28"/>
  </r>
  <r>
    <x v="68"/>
    <x v="6"/>
    <x v="26"/>
    <x v="128"/>
    <x v="0"/>
    <x v="1"/>
    <n v="5"/>
  </r>
  <r>
    <x v="68"/>
    <x v="6"/>
    <x v="26"/>
    <x v="128"/>
    <x v="0"/>
    <x v="1"/>
    <n v="312"/>
  </r>
  <r>
    <x v="78"/>
    <x v="6"/>
    <x v="26"/>
    <x v="128"/>
    <x v="0"/>
    <x v="1"/>
    <n v="343"/>
  </r>
  <r>
    <x v="106"/>
    <x v="6"/>
    <x v="26"/>
    <x v="128"/>
    <x v="0"/>
    <x v="1"/>
    <n v="5"/>
  </r>
  <r>
    <x v="20"/>
    <x v="6"/>
    <x v="26"/>
    <x v="128"/>
    <x v="0"/>
    <x v="1"/>
    <n v="270"/>
  </r>
  <r>
    <x v="20"/>
    <x v="6"/>
    <x v="26"/>
    <x v="128"/>
    <x v="0"/>
    <x v="1"/>
    <n v="25"/>
  </r>
  <r>
    <x v="113"/>
    <x v="6"/>
    <x v="26"/>
    <x v="129"/>
    <x v="0"/>
    <x v="1"/>
    <n v="34.799999999999997"/>
  </r>
  <r>
    <x v="73"/>
    <x v="6"/>
    <x v="26"/>
    <x v="130"/>
    <x v="0"/>
    <x v="1"/>
    <n v="65"/>
  </r>
  <r>
    <x v="1"/>
    <x v="6"/>
    <x v="26"/>
    <x v="131"/>
    <x v="0"/>
    <x v="1"/>
    <n v="3"/>
  </r>
  <r>
    <x v="111"/>
    <x v="6"/>
    <x v="26"/>
    <x v="131"/>
    <x v="1"/>
    <x v="1"/>
    <n v="13.25"/>
  </r>
  <r>
    <x v="40"/>
    <x v="6"/>
    <x v="26"/>
    <x v="131"/>
    <x v="0"/>
    <x v="1"/>
    <n v="16.45"/>
  </r>
  <r>
    <x v="76"/>
    <x v="6"/>
    <x v="26"/>
    <x v="131"/>
    <x v="1"/>
    <x v="1"/>
    <n v="7.55"/>
  </r>
  <r>
    <x v="3"/>
    <x v="6"/>
    <x v="26"/>
    <x v="131"/>
    <x v="1"/>
    <x v="1"/>
    <n v="50"/>
  </r>
  <r>
    <x v="3"/>
    <x v="6"/>
    <x v="26"/>
    <x v="131"/>
    <x v="1"/>
    <x v="1"/>
    <n v="25.45"/>
  </r>
  <r>
    <x v="114"/>
    <x v="6"/>
    <x v="26"/>
    <x v="131"/>
    <x v="0"/>
    <x v="3"/>
    <n v="250"/>
  </r>
  <r>
    <x v="46"/>
    <x v="6"/>
    <x v="26"/>
    <x v="131"/>
    <x v="0"/>
    <x v="3"/>
    <n v="25"/>
  </r>
  <r>
    <x v="31"/>
    <x v="6"/>
    <x v="26"/>
    <x v="131"/>
    <x v="0"/>
    <x v="3"/>
    <n v="45.05"/>
  </r>
  <r>
    <x v="33"/>
    <x v="6"/>
    <x v="26"/>
    <x v="131"/>
    <x v="0"/>
    <x v="3"/>
    <n v="40"/>
  </r>
  <r>
    <x v="34"/>
    <x v="6"/>
    <x v="26"/>
    <x v="131"/>
    <x v="0"/>
    <x v="1"/>
    <n v="88"/>
  </r>
  <r>
    <x v="73"/>
    <x v="6"/>
    <x v="26"/>
    <x v="131"/>
    <x v="0"/>
    <x v="1"/>
    <n v="75"/>
  </r>
  <r>
    <x v="75"/>
    <x v="6"/>
    <x v="26"/>
    <x v="131"/>
    <x v="1"/>
    <x v="1"/>
    <n v="51.35"/>
  </r>
  <r>
    <x v="3"/>
    <x v="6"/>
    <x v="26"/>
    <x v="131"/>
    <x v="1"/>
    <x v="1"/>
    <n v="18.45"/>
  </r>
  <r>
    <x v="81"/>
    <x v="6"/>
    <x v="26"/>
    <x v="131"/>
    <x v="0"/>
    <x v="1"/>
    <n v="19"/>
  </r>
  <r>
    <x v="17"/>
    <x v="6"/>
    <x v="26"/>
    <x v="131"/>
    <x v="1"/>
    <x v="1"/>
    <n v="42"/>
  </r>
  <r>
    <x v="1"/>
    <x v="6"/>
    <x v="26"/>
    <x v="131"/>
    <x v="0"/>
    <x v="1"/>
    <n v="39.299999999999997"/>
  </r>
  <r>
    <x v="99"/>
    <x v="6"/>
    <x v="26"/>
    <x v="131"/>
    <x v="1"/>
    <x v="1"/>
    <n v="24"/>
  </r>
  <r>
    <x v="54"/>
    <x v="6"/>
    <x v="26"/>
    <x v="132"/>
    <x v="0"/>
    <x v="1"/>
    <n v="240"/>
  </r>
  <r>
    <x v="55"/>
    <x v="6"/>
    <x v="26"/>
    <x v="132"/>
    <x v="1"/>
    <x v="1"/>
    <n v="25"/>
  </r>
  <r>
    <x v="100"/>
    <x v="6"/>
    <x v="26"/>
    <x v="133"/>
    <x v="1"/>
    <x v="1"/>
    <n v="20.94"/>
  </r>
  <r>
    <x v="100"/>
    <x v="6"/>
    <x v="26"/>
    <x v="133"/>
    <x v="1"/>
    <x v="1"/>
    <n v="42.25"/>
  </r>
  <r>
    <x v="115"/>
    <x v="6"/>
    <x v="26"/>
    <x v="133"/>
    <x v="1"/>
    <x v="1"/>
    <n v="18.38"/>
  </r>
  <r>
    <x v="116"/>
    <x v="6"/>
    <x v="26"/>
    <x v="133"/>
    <x v="1"/>
    <x v="1"/>
    <n v="63.55"/>
  </r>
  <r>
    <x v="0"/>
    <x v="6"/>
    <x v="26"/>
    <x v="133"/>
    <x v="1"/>
    <x v="1"/>
    <n v="10.94"/>
  </r>
  <r>
    <x v="0"/>
    <x v="6"/>
    <x v="26"/>
    <x v="133"/>
    <x v="1"/>
    <x v="1"/>
    <n v="11.95"/>
  </r>
  <r>
    <x v="0"/>
    <x v="6"/>
    <x v="26"/>
    <x v="133"/>
    <x v="1"/>
    <x v="1"/>
    <n v="25.08"/>
  </r>
  <r>
    <x v="108"/>
    <x v="6"/>
    <x v="26"/>
    <x v="133"/>
    <x v="1"/>
    <x v="1"/>
    <n v="3"/>
  </r>
  <r>
    <x v="108"/>
    <x v="6"/>
    <x v="26"/>
    <x v="133"/>
    <x v="1"/>
    <x v="1"/>
    <n v="5"/>
  </r>
  <r>
    <x v="108"/>
    <x v="6"/>
    <x v="26"/>
    <x v="133"/>
    <x v="1"/>
    <x v="1"/>
    <n v="13.98"/>
  </r>
  <r>
    <x v="41"/>
    <x v="6"/>
    <x v="26"/>
    <x v="133"/>
    <x v="1"/>
    <x v="1"/>
    <n v="36.54"/>
  </r>
  <r>
    <x v="41"/>
    <x v="6"/>
    <x v="26"/>
    <x v="133"/>
    <x v="1"/>
    <x v="1"/>
    <n v="39.380000000000003"/>
  </r>
  <r>
    <x v="68"/>
    <x v="6"/>
    <x v="26"/>
    <x v="133"/>
    <x v="1"/>
    <x v="1"/>
    <n v="17.73"/>
  </r>
  <r>
    <x v="71"/>
    <x v="6"/>
    <x v="26"/>
    <x v="133"/>
    <x v="1"/>
    <x v="1"/>
    <n v="24.98"/>
  </r>
  <r>
    <x v="46"/>
    <x v="6"/>
    <x v="26"/>
    <x v="133"/>
    <x v="1"/>
    <x v="1"/>
    <n v="22.48"/>
  </r>
  <r>
    <x v="47"/>
    <x v="6"/>
    <x v="26"/>
    <x v="133"/>
    <x v="1"/>
    <x v="1"/>
    <n v="61.72"/>
  </r>
  <r>
    <x v="33"/>
    <x v="6"/>
    <x v="26"/>
    <x v="133"/>
    <x v="1"/>
    <x v="1"/>
    <n v="47.8"/>
  </r>
  <r>
    <x v="34"/>
    <x v="6"/>
    <x v="26"/>
    <x v="133"/>
    <x v="0"/>
    <x v="1"/>
    <n v="34.67"/>
  </r>
  <r>
    <x v="34"/>
    <x v="6"/>
    <x v="26"/>
    <x v="133"/>
    <x v="0"/>
    <x v="1"/>
    <n v="85.26"/>
  </r>
  <r>
    <x v="111"/>
    <x v="6"/>
    <x v="26"/>
    <x v="133"/>
    <x v="0"/>
    <x v="1"/>
    <n v="43.51"/>
  </r>
  <r>
    <x v="40"/>
    <x v="6"/>
    <x v="26"/>
    <x v="133"/>
    <x v="0"/>
    <x v="1"/>
    <n v="126.69"/>
  </r>
  <r>
    <x v="88"/>
    <x v="6"/>
    <x v="26"/>
    <x v="133"/>
    <x v="1"/>
    <x v="1"/>
    <n v="1"/>
  </r>
  <r>
    <x v="88"/>
    <x v="6"/>
    <x v="26"/>
    <x v="133"/>
    <x v="1"/>
    <x v="1"/>
    <n v="14.98"/>
  </r>
  <r>
    <x v="88"/>
    <x v="6"/>
    <x v="26"/>
    <x v="133"/>
    <x v="1"/>
    <x v="1"/>
    <n v="19.39"/>
  </r>
  <r>
    <x v="75"/>
    <x v="6"/>
    <x v="26"/>
    <x v="133"/>
    <x v="1"/>
    <x v="1"/>
    <n v="20.25"/>
  </r>
  <r>
    <x v="11"/>
    <x v="6"/>
    <x v="26"/>
    <x v="133"/>
    <x v="0"/>
    <x v="1"/>
    <n v="19.899999999999999"/>
  </r>
  <r>
    <x v="57"/>
    <x v="6"/>
    <x v="26"/>
    <x v="133"/>
    <x v="1"/>
    <x v="1"/>
    <n v="1"/>
  </r>
  <r>
    <x v="57"/>
    <x v="6"/>
    <x v="26"/>
    <x v="133"/>
    <x v="1"/>
    <x v="1"/>
    <n v="13.25"/>
  </r>
  <r>
    <x v="57"/>
    <x v="6"/>
    <x v="26"/>
    <x v="133"/>
    <x v="1"/>
    <x v="1"/>
    <n v="17.43"/>
  </r>
  <r>
    <x v="57"/>
    <x v="6"/>
    <x v="26"/>
    <x v="133"/>
    <x v="1"/>
    <x v="1"/>
    <n v="37.96"/>
  </r>
  <r>
    <x v="77"/>
    <x v="6"/>
    <x v="26"/>
    <x v="133"/>
    <x v="1"/>
    <x v="1"/>
    <n v="23.17"/>
  </r>
  <r>
    <x v="77"/>
    <x v="6"/>
    <x v="26"/>
    <x v="133"/>
    <x v="1"/>
    <x v="1"/>
    <n v="59.66"/>
  </r>
  <r>
    <x v="81"/>
    <x v="6"/>
    <x v="26"/>
    <x v="133"/>
    <x v="1"/>
    <x v="1"/>
    <n v="38.020000000000003"/>
  </r>
  <r>
    <x v="3"/>
    <x v="6"/>
    <x v="26"/>
    <x v="133"/>
    <x v="1"/>
    <x v="1"/>
    <n v="27.9"/>
  </r>
  <r>
    <x v="3"/>
    <x v="6"/>
    <x v="26"/>
    <x v="133"/>
    <x v="1"/>
    <x v="1"/>
    <n v="19.899999999999999"/>
  </r>
  <r>
    <x v="3"/>
    <x v="6"/>
    <x v="26"/>
    <x v="133"/>
    <x v="1"/>
    <x v="1"/>
    <n v="18.440000000000001"/>
  </r>
  <r>
    <x v="3"/>
    <x v="6"/>
    <x v="26"/>
    <x v="133"/>
    <x v="1"/>
    <x v="1"/>
    <n v="3"/>
  </r>
  <r>
    <x v="3"/>
    <x v="6"/>
    <x v="26"/>
    <x v="133"/>
    <x v="1"/>
    <x v="1"/>
    <n v="7.15"/>
  </r>
  <r>
    <x v="3"/>
    <x v="6"/>
    <x v="26"/>
    <x v="133"/>
    <x v="1"/>
    <x v="1"/>
    <n v="1"/>
  </r>
  <r>
    <x v="3"/>
    <x v="6"/>
    <x v="26"/>
    <x v="133"/>
    <x v="1"/>
    <x v="1"/>
    <n v="7.66"/>
  </r>
  <r>
    <x v="3"/>
    <x v="6"/>
    <x v="26"/>
    <x v="133"/>
    <x v="1"/>
    <x v="1"/>
    <n v="5"/>
  </r>
  <r>
    <x v="3"/>
    <x v="6"/>
    <x v="26"/>
    <x v="133"/>
    <x v="1"/>
    <x v="1"/>
    <n v="33.25"/>
  </r>
  <r>
    <x v="3"/>
    <x v="6"/>
    <x v="26"/>
    <x v="133"/>
    <x v="1"/>
    <x v="1"/>
    <n v="3"/>
  </r>
  <r>
    <x v="3"/>
    <x v="6"/>
    <x v="26"/>
    <x v="133"/>
    <x v="1"/>
    <x v="1"/>
    <n v="30.26"/>
  </r>
  <r>
    <x v="3"/>
    <x v="6"/>
    <x v="26"/>
    <x v="133"/>
    <x v="2"/>
    <x v="0"/>
    <n v="28.97"/>
  </r>
  <r>
    <x v="117"/>
    <x v="6"/>
    <x v="26"/>
    <x v="133"/>
    <x v="1"/>
    <x v="1"/>
    <n v="19.899999999999999"/>
  </r>
  <r>
    <x v="52"/>
    <x v="6"/>
    <x v="26"/>
    <x v="133"/>
    <x v="0"/>
    <x v="1"/>
    <n v="19.899999999999999"/>
  </r>
  <r>
    <x v="67"/>
    <x v="6"/>
    <x v="26"/>
    <x v="133"/>
    <x v="1"/>
    <x v="1"/>
    <n v="53.32"/>
  </r>
  <r>
    <x v="55"/>
    <x v="6"/>
    <x v="26"/>
    <x v="133"/>
    <x v="1"/>
    <x v="1"/>
    <n v="3"/>
  </r>
  <r>
    <x v="55"/>
    <x v="6"/>
    <x v="26"/>
    <x v="133"/>
    <x v="1"/>
    <x v="1"/>
    <n v="9.01"/>
  </r>
  <r>
    <x v="55"/>
    <x v="6"/>
    <x v="26"/>
    <x v="133"/>
    <x v="1"/>
    <x v="1"/>
    <n v="5"/>
  </r>
  <r>
    <x v="55"/>
    <x v="6"/>
    <x v="26"/>
    <x v="133"/>
    <x v="1"/>
    <x v="1"/>
    <n v="10.14"/>
  </r>
  <r>
    <x v="55"/>
    <x v="6"/>
    <x v="26"/>
    <x v="133"/>
    <x v="1"/>
    <x v="1"/>
    <n v="5"/>
  </r>
  <r>
    <x v="40"/>
    <x v="6"/>
    <x v="26"/>
    <x v="134"/>
    <x v="0"/>
    <x v="1"/>
    <n v="15.3"/>
  </r>
  <r>
    <x v="118"/>
    <x v="6"/>
    <x v="26"/>
    <x v="135"/>
    <x v="1"/>
    <x v="1"/>
    <n v="14.87"/>
  </r>
  <r>
    <x v="76"/>
    <x v="6"/>
    <x v="26"/>
    <x v="135"/>
    <x v="1"/>
    <x v="1"/>
    <n v="20.350000000000001"/>
  </r>
  <r>
    <x v="119"/>
    <x v="6"/>
    <x v="26"/>
    <x v="135"/>
    <x v="1"/>
    <x v="1"/>
    <n v="12.02"/>
  </r>
  <r>
    <x v="3"/>
    <x v="6"/>
    <x v="26"/>
    <x v="135"/>
    <x v="1"/>
    <x v="1"/>
    <n v="8.4499999999999993"/>
  </r>
  <r>
    <x v="3"/>
    <x v="6"/>
    <x v="26"/>
    <x v="135"/>
    <x v="1"/>
    <x v="1"/>
    <n v="7.66"/>
  </r>
  <r>
    <x v="3"/>
    <x v="6"/>
    <x v="26"/>
    <x v="135"/>
    <x v="1"/>
    <x v="1"/>
    <n v="13.21"/>
  </r>
  <r>
    <x v="3"/>
    <x v="6"/>
    <x v="27"/>
    <x v="136"/>
    <x v="0"/>
    <x v="0"/>
    <n v="-171.07"/>
  </r>
  <r>
    <x v="3"/>
    <x v="6"/>
    <x v="27"/>
    <x v="137"/>
    <x v="0"/>
    <x v="0"/>
    <n v="-2000"/>
  </r>
  <r>
    <x v="15"/>
    <x v="6"/>
    <x v="28"/>
    <x v="138"/>
    <x v="1"/>
    <x v="3"/>
    <n v="6.1"/>
  </r>
  <r>
    <x v="116"/>
    <x v="6"/>
    <x v="28"/>
    <x v="139"/>
    <x v="0"/>
    <x v="1"/>
    <n v="12"/>
  </r>
  <r>
    <x v="120"/>
    <x v="6"/>
    <x v="28"/>
    <x v="140"/>
    <x v="0"/>
    <x v="3"/>
    <n v="43"/>
  </r>
  <r>
    <x v="107"/>
    <x v="6"/>
    <x v="29"/>
    <x v="141"/>
    <x v="0"/>
    <x v="0"/>
    <n v="5000"/>
  </r>
  <r>
    <x v="87"/>
    <x v="6"/>
    <x v="29"/>
    <x v="142"/>
    <x v="0"/>
    <x v="1"/>
    <n v="15173.69"/>
  </r>
  <r>
    <x v="21"/>
    <x v="6"/>
    <x v="29"/>
    <x v="143"/>
    <x v="0"/>
    <x v="0"/>
    <n v="2332.4299999999998"/>
  </r>
  <r>
    <x v="10"/>
    <x v="6"/>
    <x v="29"/>
    <x v="143"/>
    <x v="0"/>
    <x v="0"/>
    <n v="2332.4299999999998"/>
  </r>
  <r>
    <x v="11"/>
    <x v="6"/>
    <x v="29"/>
    <x v="143"/>
    <x v="0"/>
    <x v="0"/>
    <n v="2332.4299999999998"/>
  </r>
  <r>
    <x v="3"/>
    <x v="6"/>
    <x v="29"/>
    <x v="143"/>
    <x v="0"/>
    <x v="0"/>
    <n v="2599.2600000000002"/>
  </r>
  <r>
    <x v="12"/>
    <x v="6"/>
    <x v="29"/>
    <x v="143"/>
    <x v="0"/>
    <x v="0"/>
    <n v="2599.2600000000002"/>
  </r>
  <r>
    <x v="13"/>
    <x v="6"/>
    <x v="29"/>
    <x v="143"/>
    <x v="0"/>
    <x v="0"/>
    <n v="2599.2600000000002"/>
  </r>
  <r>
    <x v="110"/>
    <x v="6"/>
    <x v="30"/>
    <x v="144"/>
    <x v="1"/>
    <x v="4"/>
    <n v="306.35000000000002"/>
  </r>
  <r>
    <x v="91"/>
    <x v="6"/>
    <x v="30"/>
    <x v="144"/>
    <x v="1"/>
    <x v="4"/>
    <n v="306.35000000000002"/>
  </r>
  <r>
    <x v="106"/>
    <x v="6"/>
    <x v="30"/>
    <x v="144"/>
    <x v="1"/>
    <x v="4"/>
    <n v="306.35000000000002"/>
  </r>
  <r>
    <x v="46"/>
    <x v="6"/>
    <x v="31"/>
    <x v="145"/>
    <x v="0"/>
    <x v="0"/>
    <n v="200"/>
  </r>
  <r>
    <x v="35"/>
    <x v="6"/>
    <x v="32"/>
    <x v="146"/>
    <x v="0"/>
    <x v="0"/>
    <n v="300"/>
  </r>
  <r>
    <x v="21"/>
    <x v="6"/>
    <x v="33"/>
    <x v="147"/>
    <x v="0"/>
    <x v="0"/>
    <n v="73.290000000000006"/>
  </r>
  <r>
    <x v="93"/>
    <x v="6"/>
    <x v="33"/>
    <x v="147"/>
    <x v="0"/>
    <x v="0"/>
    <n v="28.34"/>
  </r>
  <r>
    <x v="104"/>
    <x v="6"/>
    <x v="33"/>
    <x v="147"/>
    <x v="0"/>
    <x v="0"/>
    <n v="27.76"/>
  </r>
  <r>
    <x v="93"/>
    <x v="6"/>
    <x v="34"/>
    <x v="148"/>
    <x v="1"/>
    <x v="1"/>
    <n v="80.69"/>
  </r>
  <r>
    <x v="50"/>
    <x v="6"/>
    <x v="35"/>
    <x v="149"/>
    <x v="0"/>
    <x v="0"/>
    <n v="80"/>
  </r>
  <r>
    <x v="16"/>
    <x v="6"/>
    <x v="35"/>
    <x v="150"/>
    <x v="0"/>
    <x v="0"/>
    <n v="50"/>
  </r>
  <r>
    <x v="10"/>
    <x v="6"/>
    <x v="35"/>
    <x v="151"/>
    <x v="1"/>
    <x v="0"/>
    <n v="180"/>
  </r>
  <r>
    <x v="3"/>
    <x v="6"/>
    <x v="35"/>
    <x v="152"/>
    <x v="4"/>
    <x v="0"/>
    <n v="71"/>
  </r>
  <r>
    <x v="3"/>
    <x v="6"/>
    <x v="35"/>
    <x v="152"/>
    <x v="4"/>
    <x v="0"/>
    <n v="110"/>
  </r>
  <r>
    <x v="36"/>
    <x v="6"/>
    <x v="35"/>
    <x v="153"/>
    <x v="1"/>
    <x v="0"/>
    <n v="50"/>
  </r>
  <r>
    <x v="3"/>
    <x v="6"/>
    <x v="35"/>
    <x v="154"/>
    <x v="1"/>
    <x v="0"/>
    <n v="50"/>
  </r>
  <r>
    <x v="68"/>
    <x v="6"/>
    <x v="35"/>
    <x v="155"/>
    <x v="3"/>
    <x v="0"/>
    <n v="60"/>
  </r>
  <r>
    <x v="6"/>
    <x v="6"/>
    <x v="35"/>
    <x v="156"/>
    <x v="3"/>
    <x v="0"/>
    <n v="60"/>
  </r>
  <r>
    <x v="121"/>
    <x v="6"/>
    <x v="35"/>
    <x v="157"/>
    <x v="0"/>
    <x v="0"/>
    <n v="35"/>
  </r>
  <r>
    <x v="106"/>
    <x v="6"/>
    <x v="35"/>
    <x v="158"/>
    <x v="1"/>
    <x v="0"/>
    <n v="180"/>
  </r>
  <r>
    <x v="31"/>
    <x v="6"/>
    <x v="35"/>
    <x v="159"/>
    <x v="3"/>
    <x v="0"/>
    <n v="65"/>
  </r>
  <r>
    <x v="15"/>
    <x v="6"/>
    <x v="35"/>
    <x v="160"/>
    <x v="0"/>
    <x v="0"/>
    <n v="120"/>
  </r>
  <r>
    <x v="115"/>
    <x v="6"/>
    <x v="36"/>
    <x v="131"/>
    <x v="1"/>
    <x v="0"/>
    <n v="20"/>
  </r>
  <r>
    <x v="115"/>
    <x v="6"/>
    <x v="36"/>
    <x v="161"/>
    <x v="1"/>
    <x v="0"/>
    <n v="250"/>
  </r>
  <r>
    <x v="8"/>
    <x v="6"/>
    <x v="37"/>
    <x v="162"/>
    <x v="4"/>
    <x v="0"/>
    <n v="1128"/>
  </r>
  <r>
    <x v="36"/>
    <x v="6"/>
    <x v="38"/>
    <x v="163"/>
    <x v="4"/>
    <x v="0"/>
    <n v="730"/>
  </r>
  <r>
    <x v="122"/>
    <x v="6"/>
    <x v="39"/>
    <x v="164"/>
    <x v="0"/>
    <x v="0"/>
    <n v="285"/>
  </r>
  <r>
    <x v="123"/>
    <x v="6"/>
    <x v="39"/>
    <x v="165"/>
    <x v="0"/>
    <x v="0"/>
    <n v="600"/>
  </r>
  <r>
    <x v="47"/>
    <x v="6"/>
    <x v="39"/>
    <x v="166"/>
    <x v="0"/>
    <x v="0"/>
    <n v="263"/>
  </r>
  <r>
    <x v="32"/>
    <x v="6"/>
    <x v="39"/>
    <x v="167"/>
    <x v="0"/>
    <x v="0"/>
    <n v="263"/>
  </r>
  <r>
    <x v="116"/>
    <x v="6"/>
    <x v="39"/>
    <x v="168"/>
    <x v="0"/>
    <x v="0"/>
    <n v="160"/>
  </r>
  <r>
    <x v="116"/>
    <x v="6"/>
    <x v="39"/>
    <x v="168"/>
    <x v="0"/>
    <x v="0"/>
    <n v="650"/>
  </r>
  <r>
    <x v="122"/>
    <x v="6"/>
    <x v="39"/>
    <x v="169"/>
    <x v="0"/>
    <x v="0"/>
    <n v="250"/>
  </r>
  <r>
    <x v="124"/>
    <x v="6"/>
    <x v="39"/>
    <x v="170"/>
    <x v="0"/>
    <x v="0"/>
    <n v="210.47"/>
  </r>
  <r>
    <x v="99"/>
    <x v="6"/>
    <x v="39"/>
    <x v="171"/>
    <x v="0"/>
    <x v="0"/>
    <n v="320"/>
  </r>
  <r>
    <x v="43"/>
    <x v="6"/>
    <x v="39"/>
    <x v="172"/>
    <x v="0"/>
    <x v="0"/>
    <n v="135.69999999999999"/>
  </r>
  <r>
    <x v="37"/>
    <x v="6"/>
    <x v="39"/>
    <x v="173"/>
    <x v="0"/>
    <x v="0"/>
    <n v="200"/>
  </r>
  <r>
    <x v="75"/>
    <x v="6"/>
    <x v="39"/>
    <x v="174"/>
    <x v="0"/>
    <x v="0"/>
    <n v="40"/>
  </r>
  <r>
    <x v="125"/>
    <x v="6"/>
    <x v="39"/>
    <x v="175"/>
    <x v="0"/>
    <x v="0"/>
    <n v="400"/>
  </r>
  <r>
    <x v="126"/>
    <x v="6"/>
    <x v="39"/>
    <x v="176"/>
    <x v="0"/>
    <x v="0"/>
    <n v="1000"/>
  </r>
  <r>
    <x v="127"/>
    <x v="6"/>
    <x v="39"/>
    <x v="177"/>
    <x v="0"/>
    <x v="0"/>
    <n v="660"/>
  </r>
  <r>
    <x v="125"/>
    <x v="6"/>
    <x v="39"/>
    <x v="177"/>
    <x v="0"/>
    <x v="0"/>
    <n v="2715"/>
  </r>
  <r>
    <x v="64"/>
    <x v="6"/>
    <x v="39"/>
    <x v="178"/>
    <x v="0"/>
    <x v="0"/>
    <n v="300.08999999999997"/>
  </r>
  <r>
    <x v="64"/>
    <x v="6"/>
    <x v="39"/>
    <x v="178"/>
    <x v="0"/>
    <x v="0"/>
    <n v="357"/>
  </r>
  <r>
    <x v="126"/>
    <x v="6"/>
    <x v="39"/>
    <x v="179"/>
    <x v="0"/>
    <x v="0"/>
    <n v="250"/>
  </r>
  <r>
    <x v="108"/>
    <x v="6"/>
    <x v="39"/>
    <x v="180"/>
    <x v="0"/>
    <x v="0"/>
    <n v="70"/>
  </r>
  <r>
    <x v="90"/>
    <x v="6"/>
    <x v="39"/>
    <x v="181"/>
    <x v="0"/>
    <x v="0"/>
    <n v="500"/>
  </r>
  <r>
    <x v="20"/>
    <x v="6"/>
    <x v="40"/>
    <x v="182"/>
    <x v="0"/>
    <x v="0"/>
    <n v="2000"/>
  </r>
  <r>
    <x v="82"/>
    <x v="6"/>
    <x v="40"/>
    <x v="183"/>
    <x v="0"/>
    <x v="0"/>
    <n v="1000"/>
  </r>
  <r>
    <x v="43"/>
    <x v="6"/>
    <x v="40"/>
    <x v="184"/>
    <x v="0"/>
    <x v="0"/>
    <n v="1302.07"/>
  </r>
  <r>
    <x v="19"/>
    <x v="6"/>
    <x v="40"/>
    <x v="185"/>
    <x v="0"/>
    <x v="0"/>
    <n v="1000"/>
  </r>
  <r>
    <x v="128"/>
    <x v="6"/>
    <x v="41"/>
    <x v="186"/>
    <x v="0"/>
    <x v="0"/>
    <n v="390.38"/>
  </r>
  <r>
    <x v="104"/>
    <x v="6"/>
    <x v="42"/>
    <x v="187"/>
    <x v="3"/>
    <x v="0"/>
    <n v="78"/>
  </r>
  <r>
    <x v="44"/>
    <x v="6"/>
    <x v="43"/>
    <x v="119"/>
    <x v="0"/>
    <x v="0"/>
    <n v="180"/>
  </r>
  <r>
    <x v="15"/>
    <x v="6"/>
    <x v="43"/>
    <x v="119"/>
    <x v="0"/>
    <x v="0"/>
    <n v="500"/>
  </r>
  <r>
    <x v="108"/>
    <x v="6"/>
    <x v="43"/>
    <x v="188"/>
    <x v="0"/>
    <x v="0"/>
    <n v="650"/>
  </r>
  <r>
    <x v="106"/>
    <x v="6"/>
    <x v="44"/>
    <x v="189"/>
    <x v="1"/>
    <x v="0"/>
    <n v="47.65"/>
  </r>
  <r>
    <x v="118"/>
    <x v="6"/>
    <x v="45"/>
    <x v="172"/>
    <x v="0"/>
    <x v="0"/>
    <n v="500"/>
  </r>
  <r>
    <x v="79"/>
    <x v="6"/>
    <x v="45"/>
    <x v="172"/>
    <x v="0"/>
    <x v="0"/>
    <n v="1000"/>
  </r>
  <r>
    <x v="100"/>
    <x v="7"/>
    <x v="46"/>
    <x v="190"/>
    <x v="1"/>
    <x v="0"/>
    <n v="590"/>
  </r>
  <r>
    <x v="129"/>
    <x v="7"/>
    <x v="46"/>
    <x v="190"/>
    <x v="1"/>
    <x v="0"/>
    <n v="870"/>
  </r>
  <r>
    <x v="61"/>
    <x v="7"/>
    <x v="46"/>
    <x v="190"/>
    <x v="2"/>
    <x v="0"/>
    <n v="200"/>
  </r>
  <r>
    <x v="47"/>
    <x v="7"/>
    <x v="46"/>
    <x v="190"/>
    <x v="1"/>
    <x v="0"/>
    <n v="250"/>
  </r>
  <r>
    <x v="47"/>
    <x v="7"/>
    <x v="46"/>
    <x v="190"/>
    <x v="1"/>
    <x v="0"/>
    <n v="250"/>
  </r>
  <r>
    <x v="28"/>
    <x v="7"/>
    <x v="46"/>
    <x v="190"/>
    <x v="1"/>
    <x v="0"/>
    <n v="250"/>
  </r>
  <r>
    <x v="30"/>
    <x v="7"/>
    <x v="46"/>
    <x v="190"/>
    <x v="1"/>
    <x v="0"/>
    <n v="300"/>
  </r>
  <r>
    <x v="3"/>
    <x v="7"/>
    <x v="46"/>
    <x v="190"/>
    <x v="1"/>
    <x v="0"/>
    <n v="500"/>
  </r>
  <r>
    <x v="3"/>
    <x v="7"/>
    <x v="46"/>
    <x v="190"/>
    <x v="1"/>
    <x v="0"/>
    <n v="250"/>
  </r>
  <r>
    <x v="20"/>
    <x v="7"/>
    <x v="46"/>
    <x v="190"/>
    <x v="1"/>
    <x v="0"/>
    <n v="250"/>
  </r>
  <r>
    <x v="20"/>
    <x v="7"/>
    <x v="46"/>
    <x v="190"/>
    <x v="1"/>
    <x v="0"/>
    <n v="263"/>
  </r>
  <r>
    <x v="76"/>
    <x v="7"/>
    <x v="46"/>
    <x v="191"/>
    <x v="2"/>
    <x v="0"/>
    <n v="1187.5"/>
  </r>
  <r>
    <x v="32"/>
    <x v="7"/>
    <x v="46"/>
    <x v="192"/>
    <x v="1"/>
    <x v="0"/>
    <n v="693"/>
  </r>
  <r>
    <x v="10"/>
    <x v="7"/>
    <x v="46"/>
    <x v="193"/>
    <x v="1"/>
    <x v="0"/>
    <n v="1540"/>
  </r>
  <r>
    <x v="38"/>
    <x v="7"/>
    <x v="46"/>
    <x v="193"/>
    <x v="1"/>
    <x v="0"/>
    <n v="1155"/>
  </r>
  <r>
    <x v="6"/>
    <x v="7"/>
    <x v="46"/>
    <x v="194"/>
    <x v="2"/>
    <x v="0"/>
    <n v="480"/>
  </r>
  <r>
    <x v="3"/>
    <x v="7"/>
    <x v="46"/>
    <x v="194"/>
    <x v="2"/>
    <x v="0"/>
    <n v="600"/>
  </r>
  <r>
    <x v="52"/>
    <x v="7"/>
    <x v="46"/>
    <x v="194"/>
    <x v="2"/>
    <x v="0"/>
    <n v="720"/>
  </r>
  <r>
    <x v="74"/>
    <x v="7"/>
    <x v="46"/>
    <x v="195"/>
    <x v="1"/>
    <x v="0"/>
    <n v="63"/>
  </r>
  <r>
    <x v="84"/>
    <x v="7"/>
    <x v="46"/>
    <x v="196"/>
    <x v="1"/>
    <x v="0"/>
    <n v="1215"/>
  </r>
  <r>
    <x v="12"/>
    <x v="7"/>
    <x v="46"/>
    <x v="197"/>
    <x v="2"/>
    <x v="0"/>
    <n v="950"/>
  </r>
  <r>
    <x v="52"/>
    <x v="7"/>
    <x v="46"/>
    <x v="197"/>
    <x v="2"/>
    <x v="0"/>
    <n v="950"/>
  </r>
  <r>
    <x v="6"/>
    <x v="7"/>
    <x v="46"/>
    <x v="198"/>
    <x v="1"/>
    <x v="0"/>
    <n v="679.54"/>
  </r>
  <r>
    <x v="128"/>
    <x v="7"/>
    <x v="46"/>
    <x v="198"/>
    <x v="1"/>
    <x v="0"/>
    <n v="798"/>
  </r>
  <r>
    <x v="126"/>
    <x v="7"/>
    <x v="46"/>
    <x v="199"/>
    <x v="1"/>
    <x v="0"/>
    <n v="666"/>
  </r>
  <r>
    <x v="47"/>
    <x v="7"/>
    <x v="46"/>
    <x v="199"/>
    <x v="2"/>
    <x v="0"/>
    <n v="666"/>
  </r>
  <r>
    <x v="50"/>
    <x v="7"/>
    <x v="46"/>
    <x v="199"/>
    <x v="1"/>
    <x v="0"/>
    <n v="666"/>
  </r>
  <r>
    <x v="3"/>
    <x v="7"/>
    <x v="46"/>
    <x v="199"/>
    <x v="1"/>
    <x v="0"/>
    <n v="666"/>
  </r>
  <r>
    <x v="55"/>
    <x v="7"/>
    <x v="46"/>
    <x v="199"/>
    <x v="1"/>
    <x v="0"/>
    <n v="666"/>
  </r>
  <r>
    <x v="65"/>
    <x v="8"/>
    <x v="47"/>
    <x v="200"/>
    <x v="3"/>
    <x v="0"/>
    <n v="340.97"/>
  </r>
  <r>
    <x v="65"/>
    <x v="8"/>
    <x v="47"/>
    <x v="200"/>
    <x v="2"/>
    <x v="0"/>
    <n v="340.97"/>
  </r>
  <r>
    <x v="47"/>
    <x v="8"/>
    <x v="47"/>
    <x v="200"/>
    <x v="3"/>
    <x v="0"/>
    <n v="224.065"/>
  </r>
  <r>
    <x v="47"/>
    <x v="8"/>
    <x v="47"/>
    <x v="200"/>
    <x v="2"/>
    <x v="0"/>
    <n v="224.065"/>
  </r>
  <r>
    <x v="49"/>
    <x v="8"/>
    <x v="47"/>
    <x v="200"/>
    <x v="3"/>
    <x v="0"/>
    <n v="346.40499999999997"/>
  </r>
  <r>
    <x v="49"/>
    <x v="8"/>
    <x v="47"/>
    <x v="200"/>
    <x v="2"/>
    <x v="0"/>
    <n v="346.40499999999997"/>
  </r>
  <r>
    <x v="3"/>
    <x v="8"/>
    <x v="47"/>
    <x v="200"/>
    <x v="2"/>
    <x v="0"/>
    <n v="272.57"/>
  </r>
  <r>
    <x v="3"/>
    <x v="8"/>
    <x v="47"/>
    <x v="200"/>
    <x v="3"/>
    <x v="0"/>
    <n v="272.57"/>
  </r>
  <r>
    <x v="36"/>
    <x v="8"/>
    <x v="47"/>
    <x v="200"/>
    <x v="2"/>
    <x v="0"/>
    <n v="203.59"/>
  </r>
  <r>
    <x v="36"/>
    <x v="8"/>
    <x v="47"/>
    <x v="200"/>
    <x v="3"/>
    <x v="0"/>
    <n v="203.59"/>
  </r>
  <r>
    <x v="53"/>
    <x v="8"/>
    <x v="47"/>
    <x v="200"/>
    <x v="3"/>
    <x v="0"/>
    <n v="396.23"/>
  </r>
  <r>
    <x v="53"/>
    <x v="8"/>
    <x v="47"/>
    <x v="200"/>
    <x v="2"/>
    <x v="0"/>
    <n v="396.23"/>
  </r>
  <r>
    <x v="65"/>
    <x v="8"/>
    <x v="47"/>
    <x v="201"/>
    <x v="3"/>
    <x v="0"/>
    <n v="632"/>
  </r>
  <r>
    <x v="69"/>
    <x v="8"/>
    <x v="47"/>
    <x v="201"/>
    <x v="1"/>
    <x v="0"/>
    <n v="632"/>
  </r>
  <r>
    <x v="116"/>
    <x v="8"/>
    <x v="47"/>
    <x v="201"/>
    <x v="4"/>
    <x v="0"/>
    <n v="632"/>
  </r>
  <r>
    <x v="0"/>
    <x v="8"/>
    <x v="47"/>
    <x v="201"/>
    <x v="2"/>
    <x v="0"/>
    <n v="632"/>
  </r>
  <r>
    <x v="61"/>
    <x v="8"/>
    <x v="47"/>
    <x v="201"/>
    <x v="1"/>
    <x v="0"/>
    <n v="632"/>
  </r>
  <r>
    <x v="31"/>
    <x v="8"/>
    <x v="47"/>
    <x v="201"/>
    <x v="4"/>
    <x v="0"/>
    <n v="632"/>
  </r>
  <r>
    <x v="31"/>
    <x v="8"/>
    <x v="47"/>
    <x v="201"/>
    <x v="3"/>
    <x v="0"/>
    <n v="632"/>
  </r>
  <r>
    <x v="31"/>
    <x v="8"/>
    <x v="47"/>
    <x v="201"/>
    <x v="2"/>
    <x v="0"/>
    <n v="632"/>
  </r>
  <r>
    <x v="30"/>
    <x v="8"/>
    <x v="47"/>
    <x v="201"/>
    <x v="3"/>
    <x v="0"/>
    <n v="632"/>
  </r>
  <r>
    <x v="30"/>
    <x v="8"/>
    <x v="47"/>
    <x v="201"/>
    <x v="4"/>
    <x v="0"/>
    <n v="632"/>
  </r>
  <r>
    <x v="30"/>
    <x v="8"/>
    <x v="47"/>
    <x v="201"/>
    <x v="1"/>
    <x v="0"/>
    <n v="632"/>
  </r>
  <r>
    <x v="30"/>
    <x v="8"/>
    <x v="47"/>
    <x v="201"/>
    <x v="2"/>
    <x v="0"/>
    <n v="632"/>
  </r>
  <r>
    <x v="3"/>
    <x v="8"/>
    <x v="47"/>
    <x v="201"/>
    <x v="1"/>
    <x v="0"/>
    <n v="632"/>
  </r>
  <r>
    <x v="3"/>
    <x v="8"/>
    <x v="47"/>
    <x v="201"/>
    <x v="4"/>
    <x v="0"/>
    <n v="632"/>
  </r>
  <r>
    <x v="3"/>
    <x v="8"/>
    <x v="47"/>
    <x v="201"/>
    <x v="2"/>
    <x v="0"/>
    <n v="632"/>
  </r>
  <r>
    <x v="3"/>
    <x v="8"/>
    <x v="47"/>
    <x v="201"/>
    <x v="3"/>
    <x v="0"/>
    <n v="632"/>
  </r>
  <r>
    <x v="32"/>
    <x v="8"/>
    <x v="47"/>
    <x v="201"/>
    <x v="1"/>
    <x v="0"/>
    <n v="632"/>
  </r>
  <r>
    <x v="32"/>
    <x v="8"/>
    <x v="47"/>
    <x v="201"/>
    <x v="4"/>
    <x v="0"/>
    <n v="632"/>
  </r>
  <r>
    <x v="32"/>
    <x v="8"/>
    <x v="47"/>
    <x v="201"/>
    <x v="3"/>
    <x v="0"/>
    <n v="632"/>
  </r>
  <r>
    <x v="32"/>
    <x v="8"/>
    <x v="47"/>
    <x v="201"/>
    <x v="2"/>
    <x v="0"/>
    <n v="632"/>
  </r>
  <r>
    <x v="37"/>
    <x v="8"/>
    <x v="47"/>
    <x v="201"/>
    <x v="1"/>
    <x v="0"/>
    <n v="632"/>
  </r>
  <r>
    <x v="37"/>
    <x v="8"/>
    <x v="47"/>
    <x v="201"/>
    <x v="4"/>
    <x v="0"/>
    <n v="632"/>
  </r>
  <r>
    <x v="37"/>
    <x v="8"/>
    <x v="47"/>
    <x v="201"/>
    <x v="2"/>
    <x v="0"/>
    <n v="632"/>
  </r>
  <r>
    <x v="37"/>
    <x v="8"/>
    <x v="47"/>
    <x v="201"/>
    <x v="3"/>
    <x v="0"/>
    <n v="632"/>
  </r>
  <r>
    <x v="66"/>
    <x v="8"/>
    <x v="48"/>
    <x v="202"/>
    <x v="0"/>
    <x v="1"/>
    <n v="228"/>
  </r>
  <r>
    <x v="49"/>
    <x v="8"/>
    <x v="48"/>
    <x v="203"/>
    <x v="4"/>
    <x v="1"/>
    <n v="69"/>
  </r>
  <r>
    <x v="67"/>
    <x v="8"/>
    <x v="48"/>
    <x v="204"/>
    <x v="0"/>
    <x v="1"/>
    <n v="267.98"/>
  </r>
  <r>
    <x v="75"/>
    <x v="8"/>
    <x v="48"/>
    <x v="205"/>
    <x v="1"/>
    <x v="1"/>
    <n v="59.05"/>
  </r>
  <r>
    <x v="129"/>
    <x v="8"/>
    <x v="48"/>
    <x v="206"/>
    <x v="0"/>
    <x v="1"/>
    <n v="20"/>
  </r>
  <r>
    <x v="3"/>
    <x v="8"/>
    <x v="48"/>
    <x v="207"/>
    <x v="0"/>
    <x v="1"/>
    <n v="365.02"/>
  </r>
  <r>
    <x v="3"/>
    <x v="8"/>
    <x v="48"/>
    <x v="207"/>
    <x v="0"/>
    <x v="1"/>
    <n v="81.81"/>
  </r>
  <r>
    <x v="36"/>
    <x v="8"/>
    <x v="48"/>
    <x v="208"/>
    <x v="0"/>
    <x v="1"/>
    <n v="46.41"/>
  </r>
  <r>
    <x v="3"/>
    <x v="8"/>
    <x v="48"/>
    <x v="209"/>
    <x v="1"/>
    <x v="1"/>
    <n v="253.69"/>
  </r>
  <r>
    <x v="3"/>
    <x v="8"/>
    <x v="48"/>
    <x v="210"/>
    <x v="0"/>
    <x v="1"/>
    <n v="190"/>
  </r>
  <r>
    <x v="21"/>
    <x v="8"/>
    <x v="48"/>
    <x v="211"/>
    <x v="0"/>
    <x v="1"/>
    <n v="99.9"/>
  </r>
  <r>
    <x v="127"/>
    <x v="8"/>
    <x v="48"/>
    <x v="211"/>
    <x v="0"/>
    <x v="1"/>
    <n v="44.8"/>
  </r>
  <r>
    <x v="64"/>
    <x v="8"/>
    <x v="48"/>
    <x v="211"/>
    <x v="0"/>
    <x v="1"/>
    <n v="69.900000000000006"/>
  </r>
  <r>
    <x v="100"/>
    <x v="8"/>
    <x v="48"/>
    <x v="211"/>
    <x v="0"/>
    <x v="1"/>
    <n v="19.899999999999999"/>
  </r>
  <r>
    <x v="115"/>
    <x v="8"/>
    <x v="48"/>
    <x v="211"/>
    <x v="0"/>
    <x v="1"/>
    <n v="39.9"/>
  </r>
  <r>
    <x v="14"/>
    <x v="8"/>
    <x v="48"/>
    <x v="211"/>
    <x v="0"/>
    <x v="1"/>
    <n v="99.9"/>
  </r>
  <r>
    <x v="130"/>
    <x v="8"/>
    <x v="48"/>
    <x v="211"/>
    <x v="0"/>
    <x v="1"/>
    <n v="199.9"/>
  </r>
  <r>
    <x v="65"/>
    <x v="8"/>
    <x v="48"/>
    <x v="211"/>
    <x v="0"/>
    <x v="1"/>
    <n v="49.9"/>
  </r>
  <r>
    <x v="116"/>
    <x v="8"/>
    <x v="48"/>
    <x v="211"/>
    <x v="0"/>
    <x v="1"/>
    <n v="66.900000000000006"/>
  </r>
  <r>
    <x v="0"/>
    <x v="8"/>
    <x v="48"/>
    <x v="211"/>
    <x v="0"/>
    <x v="1"/>
    <n v="59.9"/>
  </r>
  <r>
    <x v="41"/>
    <x v="8"/>
    <x v="48"/>
    <x v="211"/>
    <x v="0"/>
    <x v="1"/>
    <n v="11"/>
  </r>
  <r>
    <x v="44"/>
    <x v="8"/>
    <x v="48"/>
    <x v="211"/>
    <x v="0"/>
    <x v="1"/>
    <n v="44.9"/>
  </r>
  <r>
    <x v="128"/>
    <x v="8"/>
    <x v="48"/>
    <x v="211"/>
    <x v="0"/>
    <x v="1"/>
    <n v="27.9"/>
  </r>
  <r>
    <x v="131"/>
    <x v="8"/>
    <x v="48"/>
    <x v="211"/>
    <x v="0"/>
    <x v="1"/>
    <n v="66.900000000000006"/>
  </r>
  <r>
    <x v="121"/>
    <x v="8"/>
    <x v="48"/>
    <x v="211"/>
    <x v="0"/>
    <x v="1"/>
    <n v="66.900000000000006"/>
  </r>
  <r>
    <x v="10"/>
    <x v="8"/>
    <x v="48"/>
    <x v="211"/>
    <x v="0"/>
    <x v="1"/>
    <n v="99.9"/>
  </r>
  <r>
    <x v="71"/>
    <x v="8"/>
    <x v="48"/>
    <x v="211"/>
    <x v="0"/>
    <x v="1"/>
    <n v="44.8"/>
  </r>
  <r>
    <x v="15"/>
    <x v="8"/>
    <x v="48"/>
    <x v="211"/>
    <x v="0"/>
    <x v="1"/>
    <n v="69.900000000000006"/>
  </r>
  <r>
    <x v="132"/>
    <x v="8"/>
    <x v="48"/>
    <x v="211"/>
    <x v="0"/>
    <x v="1"/>
    <n v="19.899999999999999"/>
  </r>
  <r>
    <x v="47"/>
    <x v="8"/>
    <x v="48"/>
    <x v="211"/>
    <x v="0"/>
    <x v="1"/>
    <n v="39.9"/>
  </r>
  <r>
    <x v="31"/>
    <x v="8"/>
    <x v="48"/>
    <x v="211"/>
    <x v="0"/>
    <x v="1"/>
    <n v="99.9"/>
  </r>
  <r>
    <x v="33"/>
    <x v="8"/>
    <x v="48"/>
    <x v="211"/>
    <x v="0"/>
    <x v="1"/>
    <n v="199.9"/>
  </r>
  <r>
    <x v="72"/>
    <x v="8"/>
    <x v="48"/>
    <x v="211"/>
    <x v="0"/>
    <x v="1"/>
    <n v="49.9"/>
  </r>
  <r>
    <x v="113"/>
    <x v="8"/>
    <x v="48"/>
    <x v="211"/>
    <x v="0"/>
    <x v="1"/>
    <n v="66.900000000000006"/>
  </r>
  <r>
    <x v="1"/>
    <x v="8"/>
    <x v="48"/>
    <x v="211"/>
    <x v="0"/>
    <x v="1"/>
    <n v="59.9"/>
  </r>
  <r>
    <x v="90"/>
    <x v="8"/>
    <x v="48"/>
    <x v="211"/>
    <x v="0"/>
    <x v="1"/>
    <n v="44.9"/>
  </r>
  <r>
    <x v="28"/>
    <x v="8"/>
    <x v="48"/>
    <x v="211"/>
    <x v="0"/>
    <x v="1"/>
    <n v="27.9"/>
  </r>
  <r>
    <x v="66"/>
    <x v="8"/>
    <x v="48"/>
    <x v="211"/>
    <x v="0"/>
    <x v="1"/>
    <n v="66.900000000000006"/>
  </r>
  <r>
    <x v="56"/>
    <x v="8"/>
    <x v="48"/>
    <x v="211"/>
    <x v="0"/>
    <x v="1"/>
    <n v="66.900000000000006"/>
  </r>
  <r>
    <x v="11"/>
    <x v="8"/>
    <x v="48"/>
    <x v="211"/>
    <x v="0"/>
    <x v="1"/>
    <n v="99.9"/>
  </r>
  <r>
    <x v="38"/>
    <x v="8"/>
    <x v="48"/>
    <x v="211"/>
    <x v="0"/>
    <x v="1"/>
    <n v="44.8"/>
  </r>
  <r>
    <x v="16"/>
    <x v="8"/>
    <x v="48"/>
    <x v="211"/>
    <x v="0"/>
    <x v="1"/>
    <n v="139.9"/>
  </r>
  <r>
    <x v="133"/>
    <x v="8"/>
    <x v="48"/>
    <x v="211"/>
    <x v="0"/>
    <x v="1"/>
    <n v="19.899999999999999"/>
  </r>
  <r>
    <x v="49"/>
    <x v="8"/>
    <x v="48"/>
    <x v="211"/>
    <x v="4"/>
    <x v="1"/>
    <n v="39.9"/>
  </r>
  <r>
    <x v="30"/>
    <x v="8"/>
    <x v="48"/>
    <x v="211"/>
    <x v="0"/>
    <x v="1"/>
    <n v="99.9"/>
  </r>
  <r>
    <x v="105"/>
    <x v="8"/>
    <x v="48"/>
    <x v="211"/>
    <x v="0"/>
    <x v="1"/>
    <n v="199.9"/>
  </r>
  <r>
    <x v="57"/>
    <x v="8"/>
    <x v="48"/>
    <x v="211"/>
    <x v="0"/>
    <x v="1"/>
    <n v="49.9"/>
  </r>
  <r>
    <x v="134"/>
    <x v="8"/>
    <x v="48"/>
    <x v="211"/>
    <x v="0"/>
    <x v="1"/>
    <n v="66.900000000000006"/>
  </r>
  <r>
    <x v="112"/>
    <x v="8"/>
    <x v="48"/>
    <x v="211"/>
    <x v="0"/>
    <x v="1"/>
    <n v="59.9"/>
  </r>
  <r>
    <x v="58"/>
    <x v="8"/>
    <x v="48"/>
    <x v="211"/>
    <x v="0"/>
    <x v="1"/>
    <n v="44.9"/>
  </r>
  <r>
    <x v="58"/>
    <x v="8"/>
    <x v="48"/>
    <x v="211"/>
    <x v="0"/>
    <x v="1"/>
    <n v="109.9"/>
  </r>
  <r>
    <x v="29"/>
    <x v="8"/>
    <x v="48"/>
    <x v="211"/>
    <x v="0"/>
    <x v="1"/>
    <n v="34.9"/>
  </r>
  <r>
    <x v="78"/>
    <x v="8"/>
    <x v="48"/>
    <x v="211"/>
    <x v="0"/>
    <x v="1"/>
    <n v="66.900000000000006"/>
  </r>
  <r>
    <x v="135"/>
    <x v="8"/>
    <x v="48"/>
    <x v="211"/>
    <x v="0"/>
    <x v="1"/>
    <n v="66.900000000000006"/>
  </r>
  <r>
    <x v="3"/>
    <x v="8"/>
    <x v="48"/>
    <x v="211"/>
    <x v="0"/>
    <x v="1"/>
    <n v="66.900000000000006"/>
  </r>
  <r>
    <x v="3"/>
    <x v="8"/>
    <x v="48"/>
    <x v="211"/>
    <x v="0"/>
    <x v="1"/>
    <n v="59.9"/>
  </r>
  <r>
    <x v="3"/>
    <x v="8"/>
    <x v="48"/>
    <x v="211"/>
    <x v="0"/>
    <x v="1"/>
    <n v="44.9"/>
  </r>
  <r>
    <x v="3"/>
    <x v="8"/>
    <x v="48"/>
    <x v="211"/>
    <x v="0"/>
    <x v="1"/>
    <n v="34.9"/>
  </r>
  <r>
    <x v="3"/>
    <x v="8"/>
    <x v="48"/>
    <x v="211"/>
    <x v="0"/>
    <x v="1"/>
    <n v="66.900000000000006"/>
  </r>
  <r>
    <x v="3"/>
    <x v="8"/>
    <x v="48"/>
    <x v="211"/>
    <x v="0"/>
    <x v="1"/>
    <n v="66.900000000000006"/>
  </r>
  <r>
    <x v="12"/>
    <x v="8"/>
    <x v="48"/>
    <x v="211"/>
    <x v="0"/>
    <x v="1"/>
    <n v="22.9"/>
  </r>
  <r>
    <x v="17"/>
    <x v="8"/>
    <x v="48"/>
    <x v="211"/>
    <x v="0"/>
    <x v="1"/>
    <n v="139.9"/>
  </r>
  <r>
    <x v="124"/>
    <x v="8"/>
    <x v="48"/>
    <x v="211"/>
    <x v="0"/>
    <x v="1"/>
    <n v="39.9"/>
  </r>
  <r>
    <x v="98"/>
    <x v="8"/>
    <x v="48"/>
    <x v="211"/>
    <x v="0"/>
    <x v="1"/>
    <n v="66.900000000000006"/>
  </r>
  <r>
    <x v="9"/>
    <x v="8"/>
    <x v="48"/>
    <x v="211"/>
    <x v="0"/>
    <x v="1"/>
    <n v="49.9"/>
  </r>
  <r>
    <x v="122"/>
    <x v="8"/>
    <x v="48"/>
    <x v="211"/>
    <x v="0"/>
    <x v="1"/>
    <n v="5.5"/>
  </r>
  <r>
    <x v="83"/>
    <x v="8"/>
    <x v="48"/>
    <x v="211"/>
    <x v="0"/>
    <x v="1"/>
    <n v="66.900000000000006"/>
  </r>
  <r>
    <x v="23"/>
    <x v="8"/>
    <x v="48"/>
    <x v="211"/>
    <x v="0"/>
    <x v="1"/>
    <n v="19.899999999999999"/>
  </r>
  <r>
    <x v="23"/>
    <x v="8"/>
    <x v="48"/>
    <x v="211"/>
    <x v="0"/>
    <x v="1"/>
    <n v="59.9"/>
  </r>
  <r>
    <x v="51"/>
    <x v="8"/>
    <x v="48"/>
    <x v="211"/>
    <x v="0"/>
    <x v="1"/>
    <n v="44.9"/>
  </r>
  <r>
    <x v="136"/>
    <x v="8"/>
    <x v="48"/>
    <x v="211"/>
    <x v="0"/>
    <x v="1"/>
    <n v="34.9"/>
  </r>
  <r>
    <x v="137"/>
    <x v="8"/>
    <x v="48"/>
    <x v="211"/>
    <x v="0"/>
    <x v="1"/>
    <n v="66.900000000000006"/>
  </r>
  <r>
    <x v="138"/>
    <x v="8"/>
    <x v="48"/>
    <x v="211"/>
    <x v="0"/>
    <x v="1"/>
    <n v="22.9"/>
  </r>
  <r>
    <x v="42"/>
    <x v="8"/>
    <x v="48"/>
    <x v="211"/>
    <x v="0"/>
    <x v="1"/>
    <n v="139.9"/>
  </r>
  <r>
    <x v="7"/>
    <x v="8"/>
    <x v="48"/>
    <x v="211"/>
    <x v="0"/>
    <x v="1"/>
    <n v="39.9"/>
  </r>
  <r>
    <x v="85"/>
    <x v="8"/>
    <x v="48"/>
    <x v="211"/>
    <x v="0"/>
    <x v="1"/>
    <n v="66.900000000000006"/>
  </r>
  <r>
    <x v="54"/>
    <x v="8"/>
    <x v="48"/>
    <x v="211"/>
    <x v="0"/>
    <x v="1"/>
    <n v="49.9"/>
  </r>
  <r>
    <x v="139"/>
    <x v="8"/>
    <x v="48"/>
    <x v="211"/>
    <x v="0"/>
    <x v="1"/>
    <n v="19.899999999999999"/>
  </r>
  <r>
    <x v="139"/>
    <x v="8"/>
    <x v="48"/>
    <x v="211"/>
    <x v="0"/>
    <x v="1"/>
    <n v="66.900000000000006"/>
  </r>
  <r>
    <x v="24"/>
    <x v="8"/>
    <x v="48"/>
    <x v="211"/>
    <x v="0"/>
    <x v="1"/>
    <n v="59.9"/>
  </r>
  <r>
    <x v="5"/>
    <x v="8"/>
    <x v="48"/>
    <x v="211"/>
    <x v="0"/>
    <x v="1"/>
    <n v="44.9"/>
  </r>
  <r>
    <x v="26"/>
    <x v="8"/>
    <x v="48"/>
    <x v="211"/>
    <x v="0"/>
    <x v="1"/>
    <n v="34.9"/>
  </r>
  <r>
    <x v="95"/>
    <x v="8"/>
    <x v="48"/>
    <x v="211"/>
    <x v="0"/>
    <x v="1"/>
    <n v="66.900000000000006"/>
  </r>
  <r>
    <x v="97"/>
    <x v="8"/>
    <x v="48"/>
    <x v="211"/>
    <x v="0"/>
    <x v="1"/>
    <n v="66.900000000000006"/>
  </r>
  <r>
    <x v="3"/>
    <x v="8"/>
    <x v="48"/>
    <x v="212"/>
    <x v="0"/>
    <x v="1"/>
    <n v="99.9"/>
  </r>
  <r>
    <x v="3"/>
    <x v="8"/>
    <x v="48"/>
    <x v="212"/>
    <x v="0"/>
    <x v="1"/>
    <n v="22.9"/>
  </r>
  <r>
    <x v="3"/>
    <x v="8"/>
    <x v="48"/>
    <x v="212"/>
    <x v="0"/>
    <x v="1"/>
    <n v="139.9"/>
  </r>
  <r>
    <x v="3"/>
    <x v="8"/>
    <x v="48"/>
    <x v="212"/>
    <x v="0"/>
    <x v="1"/>
    <n v="39.9"/>
  </r>
  <r>
    <x v="3"/>
    <x v="8"/>
    <x v="48"/>
    <x v="212"/>
    <x v="0"/>
    <x v="1"/>
    <n v="19.899999999999999"/>
  </r>
  <r>
    <x v="3"/>
    <x v="8"/>
    <x v="48"/>
    <x v="212"/>
    <x v="0"/>
    <x v="1"/>
    <n v="99.9"/>
  </r>
  <r>
    <x v="3"/>
    <x v="8"/>
    <x v="48"/>
    <x v="212"/>
    <x v="0"/>
    <x v="1"/>
    <n v="66.900000000000006"/>
  </r>
  <r>
    <x v="3"/>
    <x v="8"/>
    <x v="48"/>
    <x v="212"/>
    <x v="0"/>
    <x v="1"/>
    <n v="49.9"/>
  </r>
  <r>
    <x v="0"/>
    <x v="8"/>
    <x v="48"/>
    <x v="213"/>
    <x v="0"/>
    <x v="0"/>
    <n v="179.9"/>
  </r>
  <r>
    <x v="3"/>
    <x v="8"/>
    <x v="48"/>
    <x v="213"/>
    <x v="0"/>
    <x v="0"/>
    <n v="123.4"/>
  </r>
  <r>
    <x v="3"/>
    <x v="8"/>
    <x v="48"/>
    <x v="214"/>
    <x v="0"/>
    <x v="1"/>
    <n v="105.21"/>
  </r>
  <r>
    <x v="140"/>
    <x v="8"/>
    <x v="48"/>
    <x v="214"/>
    <x v="1"/>
    <x v="1"/>
    <n v="159.21"/>
  </r>
  <r>
    <x v="122"/>
    <x v="8"/>
    <x v="48"/>
    <x v="214"/>
    <x v="1"/>
    <x v="1"/>
    <n v="51.86"/>
  </r>
  <r>
    <x v="141"/>
    <x v="8"/>
    <x v="48"/>
    <x v="214"/>
    <x v="1"/>
    <x v="1"/>
    <n v="161.03"/>
  </r>
  <r>
    <x v="103"/>
    <x v="8"/>
    <x v="48"/>
    <x v="214"/>
    <x v="0"/>
    <x v="1"/>
    <n v="107.7"/>
  </r>
  <r>
    <x v="129"/>
    <x v="8"/>
    <x v="48"/>
    <x v="215"/>
    <x v="0"/>
    <x v="1"/>
    <n v="66"/>
  </r>
  <r>
    <x v="142"/>
    <x v="8"/>
    <x v="48"/>
    <x v="216"/>
    <x v="1"/>
    <x v="1"/>
    <n v="1304.19"/>
  </r>
  <r>
    <x v="115"/>
    <x v="8"/>
    <x v="48"/>
    <x v="217"/>
    <x v="1"/>
    <x v="1"/>
    <n v="1196"/>
  </r>
  <r>
    <x v="51"/>
    <x v="8"/>
    <x v="48"/>
    <x v="218"/>
    <x v="1"/>
    <x v="1"/>
    <n v="210"/>
  </r>
  <r>
    <x v="74"/>
    <x v="8"/>
    <x v="48"/>
    <x v="219"/>
    <x v="1"/>
    <x v="0"/>
    <n v="1690"/>
  </r>
  <r>
    <x v="3"/>
    <x v="8"/>
    <x v="48"/>
    <x v="220"/>
    <x v="0"/>
    <x v="1"/>
    <n v="351.5"/>
  </r>
  <r>
    <x v="13"/>
    <x v="8"/>
    <x v="48"/>
    <x v="220"/>
    <x v="0"/>
    <x v="1"/>
    <n v="290.5"/>
  </r>
  <r>
    <x v="86"/>
    <x v="8"/>
    <x v="48"/>
    <x v="220"/>
    <x v="0"/>
    <x v="1"/>
    <n v="144.4"/>
  </r>
  <r>
    <x v="9"/>
    <x v="8"/>
    <x v="48"/>
    <x v="221"/>
    <x v="0"/>
    <x v="1"/>
    <n v="290.5"/>
  </r>
  <r>
    <x v="28"/>
    <x v="8"/>
    <x v="48"/>
    <x v="222"/>
    <x v="4"/>
    <x v="0"/>
    <n v="123.4"/>
  </r>
  <r>
    <x v="76"/>
    <x v="8"/>
    <x v="48"/>
    <x v="223"/>
    <x v="2"/>
    <x v="0"/>
    <n v="900"/>
  </r>
  <r>
    <x v="126"/>
    <x v="8"/>
    <x v="48"/>
    <x v="224"/>
    <x v="0"/>
    <x v="1"/>
    <n v="2353.33"/>
  </r>
  <r>
    <x v="118"/>
    <x v="8"/>
    <x v="48"/>
    <x v="224"/>
    <x v="0"/>
    <x v="1"/>
    <n v="2353.33"/>
  </r>
  <r>
    <x v="143"/>
    <x v="8"/>
    <x v="48"/>
    <x v="225"/>
    <x v="1"/>
    <x v="0"/>
    <n v="313"/>
  </r>
  <r>
    <x v="59"/>
    <x v="8"/>
    <x v="48"/>
    <x v="148"/>
    <x v="0"/>
    <x v="1"/>
    <n v="80.489999999999995"/>
  </r>
  <r>
    <x v="43"/>
    <x v="8"/>
    <x v="48"/>
    <x v="226"/>
    <x v="0"/>
    <x v="1"/>
    <n v="108"/>
  </r>
  <r>
    <x v="66"/>
    <x v="8"/>
    <x v="48"/>
    <x v="226"/>
    <x v="0"/>
    <x v="1"/>
    <n v="58"/>
  </r>
  <r>
    <x v="47"/>
    <x v="8"/>
    <x v="48"/>
    <x v="227"/>
    <x v="4"/>
    <x v="1"/>
    <n v="149.99"/>
  </r>
  <r>
    <x v="46"/>
    <x v="8"/>
    <x v="48"/>
    <x v="228"/>
    <x v="1"/>
    <x v="1"/>
    <n v="9231"/>
  </r>
  <r>
    <x v="74"/>
    <x v="8"/>
    <x v="48"/>
    <x v="228"/>
    <x v="1"/>
    <x v="1"/>
    <n v="997"/>
  </r>
  <r>
    <x v="5"/>
    <x v="8"/>
    <x v="48"/>
    <x v="229"/>
    <x v="1"/>
    <x v="0"/>
    <n v="1106.9100000000001"/>
  </r>
  <r>
    <x v="59"/>
    <x v="8"/>
    <x v="48"/>
    <x v="230"/>
    <x v="0"/>
    <x v="1"/>
    <n v="202.8"/>
  </r>
  <r>
    <x v="83"/>
    <x v="8"/>
    <x v="48"/>
    <x v="231"/>
    <x v="0"/>
    <x v="1"/>
    <n v="77"/>
  </r>
  <r>
    <x v="79"/>
    <x v="8"/>
    <x v="48"/>
    <x v="232"/>
    <x v="0"/>
    <x v="1"/>
    <n v="1700"/>
  </r>
  <r>
    <x v="38"/>
    <x v="8"/>
    <x v="48"/>
    <x v="233"/>
    <x v="0"/>
    <x v="1"/>
    <n v="7000"/>
  </r>
  <r>
    <x v="3"/>
    <x v="8"/>
    <x v="48"/>
    <x v="233"/>
    <x v="0"/>
    <x v="1"/>
    <n v="7000"/>
  </r>
  <r>
    <x v="144"/>
    <x v="8"/>
    <x v="48"/>
    <x v="233"/>
    <x v="0"/>
    <x v="1"/>
    <n v="7000"/>
  </r>
  <r>
    <x v="13"/>
    <x v="8"/>
    <x v="48"/>
    <x v="233"/>
    <x v="0"/>
    <x v="1"/>
    <n v="7000"/>
  </r>
  <r>
    <x v="49"/>
    <x v="8"/>
    <x v="48"/>
    <x v="234"/>
    <x v="4"/>
    <x v="1"/>
    <n v="34"/>
  </r>
  <r>
    <x v="0"/>
    <x v="8"/>
    <x v="48"/>
    <x v="235"/>
    <x v="0"/>
    <x v="0"/>
    <n v="850"/>
  </r>
  <r>
    <x v="115"/>
    <x v="8"/>
    <x v="48"/>
    <x v="236"/>
    <x v="1"/>
    <x v="1"/>
    <n v="199.97"/>
  </r>
  <r>
    <x v="60"/>
    <x v="8"/>
    <x v="48"/>
    <x v="237"/>
    <x v="0"/>
    <x v="1"/>
    <n v="311.88"/>
  </r>
  <r>
    <x v="61"/>
    <x v="8"/>
    <x v="48"/>
    <x v="238"/>
    <x v="1"/>
    <x v="3"/>
    <n v="11.9"/>
  </r>
  <r>
    <x v="145"/>
    <x v="8"/>
    <x v="48"/>
    <x v="239"/>
    <x v="0"/>
    <x v="1"/>
    <n v="5"/>
  </r>
  <r>
    <x v="3"/>
    <x v="8"/>
    <x v="48"/>
    <x v="240"/>
    <x v="0"/>
    <x v="1"/>
    <n v="228"/>
  </r>
  <r>
    <x v="108"/>
    <x v="8"/>
    <x v="48"/>
    <x v="241"/>
    <x v="0"/>
    <x v="1"/>
    <n v="223.56"/>
  </r>
  <r>
    <x v="3"/>
    <x v="8"/>
    <x v="48"/>
    <x v="242"/>
    <x v="4"/>
    <x v="1"/>
    <n v="31"/>
  </r>
  <r>
    <x v="12"/>
    <x v="8"/>
    <x v="48"/>
    <x v="242"/>
    <x v="1"/>
    <x v="1"/>
    <n v="6"/>
  </r>
  <r>
    <x v="3"/>
    <x v="8"/>
    <x v="48"/>
    <x v="243"/>
    <x v="1"/>
    <x v="1"/>
    <n v="4.41"/>
  </r>
  <r>
    <x v="3"/>
    <x v="8"/>
    <x v="48"/>
    <x v="244"/>
    <x v="0"/>
    <x v="1"/>
    <n v="14"/>
  </r>
  <r>
    <x v="128"/>
    <x v="8"/>
    <x v="48"/>
    <x v="245"/>
    <x v="1"/>
    <x v="1"/>
    <n v="23.25"/>
  </r>
  <r>
    <x v="3"/>
    <x v="8"/>
    <x v="48"/>
    <x v="246"/>
    <x v="4"/>
    <x v="1"/>
    <n v="67"/>
  </r>
  <r>
    <x v="113"/>
    <x v="8"/>
    <x v="48"/>
    <x v="247"/>
    <x v="0"/>
    <x v="0"/>
    <n v="105"/>
  </r>
  <r>
    <x v="116"/>
    <x v="8"/>
    <x v="48"/>
    <x v="248"/>
    <x v="0"/>
    <x v="1"/>
    <n v="1115.02"/>
  </r>
  <r>
    <x v="3"/>
    <x v="8"/>
    <x v="48"/>
    <x v="249"/>
    <x v="0"/>
    <x v="1"/>
    <n v="439.9"/>
  </r>
  <r>
    <x v="78"/>
    <x v="8"/>
    <x v="48"/>
    <x v="250"/>
    <x v="0"/>
    <x v="1"/>
    <n v="77.260000000000005"/>
  </r>
  <r>
    <x v="78"/>
    <x v="8"/>
    <x v="48"/>
    <x v="250"/>
    <x v="0"/>
    <x v="1"/>
    <n v="81.209999999999994"/>
  </r>
  <r>
    <x v="78"/>
    <x v="8"/>
    <x v="48"/>
    <x v="250"/>
    <x v="0"/>
    <x v="1"/>
    <n v="114.45"/>
  </r>
  <r>
    <x v="78"/>
    <x v="8"/>
    <x v="48"/>
    <x v="250"/>
    <x v="0"/>
    <x v="1"/>
    <n v="219.9"/>
  </r>
  <r>
    <x v="78"/>
    <x v="8"/>
    <x v="48"/>
    <x v="250"/>
    <x v="0"/>
    <x v="1"/>
    <n v="333.07"/>
  </r>
  <r>
    <x v="3"/>
    <x v="8"/>
    <x v="48"/>
    <x v="251"/>
    <x v="4"/>
    <x v="1"/>
    <n v="17.899999999999999"/>
  </r>
  <r>
    <x v="3"/>
    <x v="8"/>
    <x v="48"/>
    <x v="252"/>
    <x v="4"/>
    <x v="1"/>
    <n v="85.3"/>
  </r>
  <r>
    <x v="20"/>
    <x v="8"/>
    <x v="48"/>
    <x v="253"/>
    <x v="1"/>
    <x v="1"/>
    <n v="20"/>
  </r>
  <r>
    <x v="41"/>
    <x v="8"/>
    <x v="48"/>
    <x v="254"/>
    <x v="1"/>
    <x v="1"/>
    <n v="1250"/>
  </r>
  <r>
    <x v="122"/>
    <x v="8"/>
    <x v="48"/>
    <x v="255"/>
    <x v="0"/>
    <x v="1"/>
    <n v="49"/>
  </r>
  <r>
    <x v="77"/>
    <x v="8"/>
    <x v="48"/>
    <x v="256"/>
    <x v="0"/>
    <x v="1"/>
    <n v="29.6"/>
  </r>
  <r>
    <x v="126"/>
    <x v="8"/>
    <x v="48"/>
    <x v="257"/>
    <x v="0"/>
    <x v="1"/>
    <n v="1246.5"/>
  </r>
  <r>
    <x v="111"/>
    <x v="8"/>
    <x v="48"/>
    <x v="258"/>
    <x v="1"/>
    <x v="1"/>
    <n v="129.99"/>
  </r>
  <r>
    <x v="122"/>
    <x v="8"/>
    <x v="48"/>
    <x v="259"/>
    <x v="0"/>
    <x v="1"/>
    <n v="140"/>
  </r>
  <r>
    <x v="126"/>
    <x v="8"/>
    <x v="48"/>
    <x v="260"/>
    <x v="0"/>
    <x v="1"/>
    <n v="9852.41"/>
  </r>
  <r>
    <x v="40"/>
    <x v="8"/>
    <x v="48"/>
    <x v="261"/>
    <x v="0"/>
    <x v="1"/>
    <n v="169.39"/>
  </r>
  <r>
    <x v="64"/>
    <x v="8"/>
    <x v="48"/>
    <x v="262"/>
    <x v="0"/>
    <x v="1"/>
    <n v="98"/>
  </r>
  <r>
    <x v="5"/>
    <x v="8"/>
    <x v="48"/>
    <x v="263"/>
    <x v="0"/>
    <x v="1"/>
    <n v="14.47"/>
  </r>
  <r>
    <x v="67"/>
    <x v="8"/>
    <x v="48"/>
    <x v="264"/>
    <x v="4"/>
    <x v="1"/>
    <n v="880"/>
  </r>
  <r>
    <x v="3"/>
    <x v="8"/>
    <x v="48"/>
    <x v="265"/>
    <x v="1"/>
    <x v="1"/>
    <n v="47"/>
  </r>
  <r>
    <x v="97"/>
    <x v="8"/>
    <x v="48"/>
    <x v="266"/>
    <x v="0"/>
    <x v="1"/>
    <n v="30.96"/>
  </r>
  <r>
    <x v="10"/>
    <x v="8"/>
    <x v="48"/>
    <x v="267"/>
    <x v="4"/>
    <x v="1"/>
    <n v="345"/>
  </r>
  <r>
    <x v="61"/>
    <x v="8"/>
    <x v="48"/>
    <x v="268"/>
    <x v="1"/>
    <x v="0"/>
    <n v="30"/>
  </r>
  <r>
    <x v="64"/>
    <x v="8"/>
    <x v="48"/>
    <x v="269"/>
    <x v="4"/>
    <x v="1"/>
    <n v="329"/>
  </r>
  <r>
    <x v="116"/>
    <x v="8"/>
    <x v="48"/>
    <x v="269"/>
    <x v="4"/>
    <x v="1"/>
    <n v="246.75"/>
  </r>
  <r>
    <x v="33"/>
    <x v="8"/>
    <x v="48"/>
    <x v="269"/>
    <x v="4"/>
    <x v="1"/>
    <n v="29"/>
  </r>
  <r>
    <x v="75"/>
    <x v="8"/>
    <x v="48"/>
    <x v="269"/>
    <x v="4"/>
    <x v="1"/>
    <n v="270"/>
  </r>
  <r>
    <x v="28"/>
    <x v="8"/>
    <x v="48"/>
    <x v="270"/>
    <x v="1"/>
    <x v="1"/>
    <n v="15"/>
  </r>
  <r>
    <x v="1"/>
    <x v="8"/>
    <x v="48"/>
    <x v="271"/>
    <x v="0"/>
    <x v="1"/>
    <n v="71.92"/>
  </r>
  <r>
    <x v="81"/>
    <x v="8"/>
    <x v="48"/>
    <x v="272"/>
    <x v="0"/>
    <x v="1"/>
    <n v="228"/>
  </r>
  <r>
    <x v="49"/>
    <x v="8"/>
    <x v="48"/>
    <x v="41"/>
    <x v="4"/>
    <x v="1"/>
    <n v="15"/>
  </r>
  <r>
    <x v="3"/>
    <x v="8"/>
    <x v="48"/>
    <x v="41"/>
    <x v="0"/>
    <x v="1"/>
    <n v="15"/>
  </r>
  <r>
    <x v="3"/>
    <x v="8"/>
    <x v="48"/>
    <x v="41"/>
    <x v="4"/>
    <x v="1"/>
    <n v="15"/>
  </r>
  <r>
    <x v="3"/>
    <x v="8"/>
    <x v="48"/>
    <x v="41"/>
    <x v="1"/>
    <x v="1"/>
    <n v="15"/>
  </r>
  <r>
    <x v="98"/>
    <x v="8"/>
    <x v="48"/>
    <x v="41"/>
    <x v="0"/>
    <x v="1"/>
    <n v="15"/>
  </r>
  <r>
    <x v="99"/>
    <x v="8"/>
    <x v="48"/>
    <x v="41"/>
    <x v="1"/>
    <x v="1"/>
    <n v="15"/>
  </r>
  <r>
    <x v="24"/>
    <x v="8"/>
    <x v="48"/>
    <x v="41"/>
    <x v="0"/>
    <x v="1"/>
    <n v="15"/>
  </r>
  <r>
    <x v="5"/>
    <x v="8"/>
    <x v="48"/>
    <x v="41"/>
    <x v="0"/>
    <x v="1"/>
    <n v="15"/>
  </r>
  <r>
    <x v="127"/>
    <x v="8"/>
    <x v="48"/>
    <x v="273"/>
    <x v="0"/>
    <x v="1"/>
    <n v="59.99"/>
  </r>
  <r>
    <x v="64"/>
    <x v="8"/>
    <x v="48"/>
    <x v="274"/>
    <x v="0"/>
    <x v="1"/>
    <n v="52.69"/>
  </r>
  <r>
    <x v="75"/>
    <x v="8"/>
    <x v="48"/>
    <x v="275"/>
    <x v="0"/>
    <x v="1"/>
    <n v="80"/>
  </r>
  <r>
    <x v="3"/>
    <x v="8"/>
    <x v="48"/>
    <x v="276"/>
    <x v="0"/>
    <x v="1"/>
    <n v="13.55"/>
  </r>
  <r>
    <x v="3"/>
    <x v="8"/>
    <x v="48"/>
    <x v="276"/>
    <x v="1"/>
    <x v="1"/>
    <n v="45.75"/>
  </r>
  <r>
    <x v="17"/>
    <x v="8"/>
    <x v="48"/>
    <x v="277"/>
    <x v="1"/>
    <x v="1"/>
    <n v="38"/>
  </r>
  <r>
    <x v="57"/>
    <x v="8"/>
    <x v="48"/>
    <x v="278"/>
    <x v="4"/>
    <x v="1"/>
    <n v="25"/>
  </r>
  <r>
    <x v="76"/>
    <x v="8"/>
    <x v="48"/>
    <x v="278"/>
    <x v="1"/>
    <x v="1"/>
    <n v="25"/>
  </r>
  <r>
    <x v="78"/>
    <x v="8"/>
    <x v="48"/>
    <x v="278"/>
    <x v="1"/>
    <x v="1"/>
    <n v="25"/>
  </r>
  <r>
    <x v="3"/>
    <x v="8"/>
    <x v="48"/>
    <x v="278"/>
    <x v="1"/>
    <x v="1"/>
    <n v="50"/>
  </r>
  <r>
    <x v="17"/>
    <x v="8"/>
    <x v="48"/>
    <x v="278"/>
    <x v="4"/>
    <x v="1"/>
    <n v="25"/>
  </r>
  <r>
    <x v="125"/>
    <x v="8"/>
    <x v="48"/>
    <x v="279"/>
    <x v="0"/>
    <x v="1"/>
    <n v="60"/>
  </r>
  <r>
    <x v="133"/>
    <x v="8"/>
    <x v="48"/>
    <x v="280"/>
    <x v="1"/>
    <x v="1"/>
    <n v="228"/>
  </r>
  <r>
    <x v="51"/>
    <x v="8"/>
    <x v="48"/>
    <x v="281"/>
    <x v="4"/>
    <x v="1"/>
    <n v="79.5"/>
  </r>
  <r>
    <x v="50"/>
    <x v="8"/>
    <x v="48"/>
    <x v="282"/>
    <x v="0"/>
    <x v="1"/>
    <n v="44.1"/>
  </r>
  <r>
    <x v="146"/>
    <x v="8"/>
    <x v="48"/>
    <x v="282"/>
    <x v="0"/>
    <x v="1"/>
    <n v="44.1"/>
  </r>
  <r>
    <x v="41"/>
    <x v="8"/>
    <x v="48"/>
    <x v="42"/>
    <x v="0"/>
    <x v="1"/>
    <n v="14.3"/>
  </r>
  <r>
    <x v="107"/>
    <x v="8"/>
    <x v="48"/>
    <x v="42"/>
    <x v="0"/>
    <x v="1"/>
    <n v="14.3"/>
  </r>
  <r>
    <x v="41"/>
    <x v="8"/>
    <x v="48"/>
    <x v="283"/>
    <x v="0"/>
    <x v="1"/>
    <n v="5.43"/>
  </r>
  <r>
    <x v="16"/>
    <x v="8"/>
    <x v="48"/>
    <x v="283"/>
    <x v="0"/>
    <x v="1"/>
    <n v="67.88"/>
  </r>
  <r>
    <x v="82"/>
    <x v="8"/>
    <x v="48"/>
    <x v="284"/>
    <x v="1"/>
    <x v="1"/>
    <n v="740.23"/>
  </r>
  <r>
    <x v="13"/>
    <x v="8"/>
    <x v="48"/>
    <x v="284"/>
    <x v="1"/>
    <x v="1"/>
    <n v="740.2"/>
  </r>
  <r>
    <x v="126"/>
    <x v="8"/>
    <x v="48"/>
    <x v="285"/>
    <x v="4"/>
    <x v="1"/>
    <n v="815.4"/>
  </r>
  <r>
    <x v="118"/>
    <x v="8"/>
    <x v="48"/>
    <x v="285"/>
    <x v="4"/>
    <x v="1"/>
    <n v="815.4"/>
  </r>
  <r>
    <x v="2"/>
    <x v="8"/>
    <x v="48"/>
    <x v="285"/>
    <x v="4"/>
    <x v="1"/>
    <n v="815.4"/>
  </r>
  <r>
    <x v="3"/>
    <x v="8"/>
    <x v="48"/>
    <x v="285"/>
    <x v="4"/>
    <x v="1"/>
    <n v="815.4"/>
  </r>
  <r>
    <x v="99"/>
    <x v="8"/>
    <x v="48"/>
    <x v="286"/>
    <x v="1"/>
    <x v="1"/>
    <n v="529.6"/>
  </r>
  <r>
    <x v="111"/>
    <x v="8"/>
    <x v="48"/>
    <x v="287"/>
    <x v="1"/>
    <x v="1"/>
    <n v="45"/>
  </r>
  <r>
    <x v="3"/>
    <x v="8"/>
    <x v="48"/>
    <x v="288"/>
    <x v="1"/>
    <x v="0"/>
    <n v="996.55"/>
  </r>
  <r>
    <x v="3"/>
    <x v="8"/>
    <x v="48"/>
    <x v="289"/>
    <x v="1"/>
    <x v="1"/>
    <n v="239"/>
  </r>
  <r>
    <x v="4"/>
    <x v="8"/>
    <x v="48"/>
    <x v="289"/>
    <x v="1"/>
    <x v="1"/>
    <n v="120"/>
  </r>
  <r>
    <x v="124"/>
    <x v="8"/>
    <x v="48"/>
    <x v="290"/>
    <x v="0"/>
    <x v="0"/>
    <n v="453"/>
  </r>
  <r>
    <x v="28"/>
    <x v="8"/>
    <x v="48"/>
    <x v="291"/>
    <x v="4"/>
    <x v="1"/>
    <n v="21.99"/>
  </r>
  <r>
    <x v="129"/>
    <x v="8"/>
    <x v="48"/>
    <x v="292"/>
    <x v="0"/>
    <x v="1"/>
    <n v="14"/>
  </r>
  <r>
    <x v="3"/>
    <x v="8"/>
    <x v="48"/>
    <x v="293"/>
    <x v="1"/>
    <x v="1"/>
    <n v="57.8"/>
  </r>
  <r>
    <x v="99"/>
    <x v="8"/>
    <x v="48"/>
    <x v="293"/>
    <x v="0"/>
    <x v="1"/>
    <n v="86.7"/>
  </r>
  <r>
    <x v="126"/>
    <x v="8"/>
    <x v="48"/>
    <x v="294"/>
    <x v="0"/>
    <x v="1"/>
    <n v="287.8"/>
  </r>
  <r>
    <x v="126"/>
    <x v="8"/>
    <x v="48"/>
    <x v="294"/>
    <x v="0"/>
    <x v="1"/>
    <n v="1244.45"/>
  </r>
  <r>
    <x v="64"/>
    <x v="8"/>
    <x v="48"/>
    <x v="294"/>
    <x v="0"/>
    <x v="1"/>
    <n v="56.66"/>
  </r>
  <r>
    <x v="64"/>
    <x v="8"/>
    <x v="48"/>
    <x v="294"/>
    <x v="0"/>
    <x v="1"/>
    <n v="75.790000000000006"/>
  </r>
  <r>
    <x v="64"/>
    <x v="8"/>
    <x v="48"/>
    <x v="294"/>
    <x v="0"/>
    <x v="1"/>
    <n v="549"/>
  </r>
  <r>
    <x v="60"/>
    <x v="8"/>
    <x v="48"/>
    <x v="294"/>
    <x v="0"/>
    <x v="1"/>
    <n v="87.69"/>
  </r>
  <r>
    <x v="130"/>
    <x v="8"/>
    <x v="48"/>
    <x v="294"/>
    <x v="0"/>
    <x v="1"/>
    <n v="19"/>
  </r>
  <r>
    <x v="130"/>
    <x v="8"/>
    <x v="48"/>
    <x v="294"/>
    <x v="0"/>
    <x v="1"/>
    <n v="82.79"/>
  </r>
  <r>
    <x v="130"/>
    <x v="8"/>
    <x v="48"/>
    <x v="294"/>
    <x v="0"/>
    <x v="1"/>
    <n v="87.88"/>
  </r>
  <r>
    <x v="130"/>
    <x v="8"/>
    <x v="48"/>
    <x v="294"/>
    <x v="0"/>
    <x v="1"/>
    <n v="100.79"/>
  </r>
  <r>
    <x v="65"/>
    <x v="8"/>
    <x v="48"/>
    <x v="294"/>
    <x v="0"/>
    <x v="1"/>
    <n v="28.99"/>
  </r>
  <r>
    <x v="65"/>
    <x v="8"/>
    <x v="48"/>
    <x v="294"/>
    <x v="0"/>
    <x v="1"/>
    <n v="109.9"/>
  </r>
  <r>
    <x v="116"/>
    <x v="8"/>
    <x v="48"/>
    <x v="294"/>
    <x v="0"/>
    <x v="1"/>
    <n v="28.99"/>
  </r>
  <r>
    <x v="116"/>
    <x v="8"/>
    <x v="48"/>
    <x v="294"/>
    <x v="0"/>
    <x v="1"/>
    <n v="139.9"/>
  </r>
  <r>
    <x v="116"/>
    <x v="8"/>
    <x v="48"/>
    <x v="294"/>
    <x v="0"/>
    <x v="1"/>
    <n v="139.9"/>
  </r>
  <r>
    <x v="108"/>
    <x v="8"/>
    <x v="48"/>
    <x v="294"/>
    <x v="0"/>
    <x v="1"/>
    <n v="71.92"/>
  </r>
  <r>
    <x v="114"/>
    <x v="8"/>
    <x v="48"/>
    <x v="294"/>
    <x v="0"/>
    <x v="1"/>
    <n v="49.75"/>
  </r>
  <r>
    <x v="118"/>
    <x v="8"/>
    <x v="48"/>
    <x v="294"/>
    <x v="0"/>
    <x v="1"/>
    <n v="66.89"/>
  </r>
  <r>
    <x v="118"/>
    <x v="8"/>
    <x v="48"/>
    <x v="294"/>
    <x v="0"/>
    <x v="1"/>
    <n v="150.99"/>
  </r>
  <r>
    <x v="118"/>
    <x v="8"/>
    <x v="48"/>
    <x v="294"/>
    <x v="0"/>
    <x v="1"/>
    <n v="287.8"/>
  </r>
  <r>
    <x v="118"/>
    <x v="8"/>
    <x v="48"/>
    <x v="294"/>
    <x v="0"/>
    <x v="1"/>
    <n v="1205.93"/>
  </r>
  <r>
    <x v="118"/>
    <x v="8"/>
    <x v="48"/>
    <x v="294"/>
    <x v="0"/>
    <x v="1"/>
    <n v="1369.96"/>
  </r>
  <r>
    <x v="71"/>
    <x v="8"/>
    <x v="48"/>
    <x v="294"/>
    <x v="0"/>
    <x v="1"/>
    <n v="209.94"/>
  </r>
  <r>
    <x v="15"/>
    <x v="8"/>
    <x v="48"/>
    <x v="294"/>
    <x v="0"/>
    <x v="1"/>
    <n v="20.27"/>
  </r>
  <r>
    <x v="15"/>
    <x v="8"/>
    <x v="48"/>
    <x v="294"/>
    <x v="0"/>
    <x v="1"/>
    <n v="189.9"/>
  </r>
  <r>
    <x v="15"/>
    <x v="8"/>
    <x v="48"/>
    <x v="294"/>
    <x v="0"/>
    <x v="1"/>
    <n v="558"/>
  </r>
  <r>
    <x v="90"/>
    <x v="8"/>
    <x v="48"/>
    <x v="294"/>
    <x v="0"/>
    <x v="1"/>
    <n v="479"/>
  </r>
  <r>
    <x v="75"/>
    <x v="8"/>
    <x v="48"/>
    <x v="294"/>
    <x v="0"/>
    <x v="1"/>
    <n v="309.99"/>
  </r>
  <r>
    <x v="48"/>
    <x v="8"/>
    <x v="48"/>
    <x v="294"/>
    <x v="0"/>
    <x v="1"/>
    <n v="61.04"/>
  </r>
  <r>
    <x v="56"/>
    <x v="8"/>
    <x v="48"/>
    <x v="294"/>
    <x v="0"/>
    <x v="1"/>
    <n v="128.08000000000001"/>
  </r>
  <r>
    <x v="56"/>
    <x v="8"/>
    <x v="48"/>
    <x v="294"/>
    <x v="0"/>
    <x v="1"/>
    <n v="779.8"/>
  </r>
  <r>
    <x v="2"/>
    <x v="8"/>
    <x v="48"/>
    <x v="294"/>
    <x v="0"/>
    <x v="1"/>
    <n v="20.260000000000002"/>
  </r>
  <r>
    <x v="87"/>
    <x v="8"/>
    <x v="48"/>
    <x v="294"/>
    <x v="0"/>
    <x v="1"/>
    <n v="668.63"/>
  </r>
  <r>
    <x v="133"/>
    <x v="8"/>
    <x v="48"/>
    <x v="294"/>
    <x v="0"/>
    <x v="1"/>
    <n v="75.89"/>
  </r>
  <r>
    <x v="145"/>
    <x v="8"/>
    <x v="48"/>
    <x v="294"/>
    <x v="0"/>
    <x v="1"/>
    <n v="26.99"/>
  </r>
  <r>
    <x v="49"/>
    <x v="8"/>
    <x v="48"/>
    <x v="294"/>
    <x v="0"/>
    <x v="1"/>
    <n v="321"/>
  </r>
  <r>
    <x v="30"/>
    <x v="8"/>
    <x v="48"/>
    <x v="294"/>
    <x v="1"/>
    <x v="1"/>
    <n v="25"/>
  </r>
  <r>
    <x v="22"/>
    <x v="8"/>
    <x v="48"/>
    <x v="294"/>
    <x v="0"/>
    <x v="1"/>
    <n v="444.6"/>
  </r>
  <r>
    <x v="146"/>
    <x v="8"/>
    <x v="48"/>
    <x v="294"/>
    <x v="0"/>
    <x v="1"/>
    <n v="45.18"/>
  </r>
  <r>
    <x v="146"/>
    <x v="8"/>
    <x v="48"/>
    <x v="294"/>
    <x v="0"/>
    <x v="1"/>
    <n v="46.98"/>
  </r>
  <r>
    <x v="80"/>
    <x v="8"/>
    <x v="48"/>
    <x v="294"/>
    <x v="0"/>
    <x v="1"/>
    <n v="34.9"/>
  </r>
  <r>
    <x v="80"/>
    <x v="8"/>
    <x v="48"/>
    <x v="294"/>
    <x v="0"/>
    <x v="1"/>
    <n v="433.52"/>
  </r>
  <r>
    <x v="81"/>
    <x v="8"/>
    <x v="48"/>
    <x v="294"/>
    <x v="0"/>
    <x v="1"/>
    <n v="30.89"/>
  </r>
  <r>
    <x v="3"/>
    <x v="8"/>
    <x v="48"/>
    <x v="294"/>
    <x v="0"/>
    <x v="1"/>
    <n v="59.48"/>
  </r>
  <r>
    <x v="3"/>
    <x v="8"/>
    <x v="48"/>
    <x v="294"/>
    <x v="0"/>
    <x v="1"/>
    <n v="396.71"/>
  </r>
  <r>
    <x v="3"/>
    <x v="8"/>
    <x v="48"/>
    <x v="294"/>
    <x v="0"/>
    <x v="1"/>
    <n v="156.1"/>
  </r>
  <r>
    <x v="3"/>
    <x v="8"/>
    <x v="48"/>
    <x v="294"/>
    <x v="0"/>
    <x v="1"/>
    <n v="279.89999999999998"/>
  </r>
  <r>
    <x v="3"/>
    <x v="8"/>
    <x v="48"/>
    <x v="294"/>
    <x v="0"/>
    <x v="1"/>
    <n v="39.99"/>
  </r>
  <r>
    <x v="3"/>
    <x v="8"/>
    <x v="48"/>
    <x v="294"/>
    <x v="0"/>
    <x v="1"/>
    <n v="260"/>
  </r>
  <r>
    <x v="3"/>
    <x v="8"/>
    <x v="48"/>
    <x v="294"/>
    <x v="0"/>
    <x v="1"/>
    <n v="297"/>
  </r>
  <r>
    <x v="3"/>
    <x v="8"/>
    <x v="48"/>
    <x v="294"/>
    <x v="0"/>
    <x v="1"/>
    <n v="87.79"/>
  </r>
  <r>
    <x v="3"/>
    <x v="8"/>
    <x v="48"/>
    <x v="294"/>
    <x v="0"/>
    <x v="1"/>
    <n v="119.89"/>
  </r>
  <r>
    <x v="3"/>
    <x v="8"/>
    <x v="48"/>
    <x v="294"/>
    <x v="0"/>
    <x v="1"/>
    <n v="99.58"/>
  </r>
  <r>
    <x v="3"/>
    <x v="8"/>
    <x v="48"/>
    <x v="294"/>
    <x v="0"/>
    <x v="1"/>
    <n v="74.56"/>
  </r>
  <r>
    <x v="3"/>
    <x v="8"/>
    <x v="48"/>
    <x v="294"/>
    <x v="0"/>
    <x v="1"/>
    <n v="712.43"/>
  </r>
  <r>
    <x v="3"/>
    <x v="8"/>
    <x v="48"/>
    <x v="294"/>
    <x v="0"/>
    <x v="1"/>
    <n v="129.97999999999999"/>
  </r>
  <r>
    <x v="17"/>
    <x v="8"/>
    <x v="48"/>
    <x v="294"/>
    <x v="0"/>
    <x v="1"/>
    <n v="57.98"/>
  </r>
  <r>
    <x v="32"/>
    <x v="8"/>
    <x v="48"/>
    <x v="294"/>
    <x v="0"/>
    <x v="1"/>
    <n v="590.12"/>
  </r>
  <r>
    <x v="124"/>
    <x v="8"/>
    <x v="48"/>
    <x v="294"/>
    <x v="0"/>
    <x v="1"/>
    <n v="82.89"/>
  </r>
  <r>
    <x v="124"/>
    <x v="8"/>
    <x v="48"/>
    <x v="294"/>
    <x v="0"/>
    <x v="1"/>
    <n v="130.94999999999999"/>
  </r>
  <r>
    <x v="83"/>
    <x v="8"/>
    <x v="48"/>
    <x v="294"/>
    <x v="0"/>
    <x v="1"/>
    <n v="259.79000000000002"/>
  </r>
  <r>
    <x v="23"/>
    <x v="8"/>
    <x v="48"/>
    <x v="294"/>
    <x v="0"/>
    <x v="1"/>
    <n v="513"/>
  </r>
  <r>
    <x v="59"/>
    <x v="8"/>
    <x v="48"/>
    <x v="294"/>
    <x v="0"/>
    <x v="1"/>
    <n v="91.97"/>
  </r>
  <r>
    <x v="59"/>
    <x v="8"/>
    <x v="48"/>
    <x v="294"/>
    <x v="0"/>
    <x v="1"/>
    <n v="169.8"/>
  </r>
  <r>
    <x v="59"/>
    <x v="8"/>
    <x v="48"/>
    <x v="294"/>
    <x v="0"/>
    <x v="1"/>
    <n v="4406.97"/>
  </r>
  <r>
    <x v="59"/>
    <x v="8"/>
    <x v="48"/>
    <x v="294"/>
    <x v="0"/>
    <x v="1"/>
    <n v="273.11"/>
  </r>
  <r>
    <x v="59"/>
    <x v="8"/>
    <x v="48"/>
    <x v="294"/>
    <x v="0"/>
    <x v="1"/>
    <n v="74.290000000000006"/>
  </r>
  <r>
    <x v="59"/>
    <x v="8"/>
    <x v="48"/>
    <x v="294"/>
    <x v="0"/>
    <x v="1"/>
    <n v="91.97"/>
  </r>
  <r>
    <x v="99"/>
    <x v="8"/>
    <x v="48"/>
    <x v="294"/>
    <x v="0"/>
    <x v="1"/>
    <n v="29.9"/>
  </r>
  <r>
    <x v="92"/>
    <x v="8"/>
    <x v="48"/>
    <x v="294"/>
    <x v="0"/>
    <x v="1"/>
    <n v="39.9"/>
  </r>
  <r>
    <x v="136"/>
    <x v="8"/>
    <x v="48"/>
    <x v="294"/>
    <x v="0"/>
    <x v="1"/>
    <n v="68.67"/>
  </r>
  <r>
    <x v="137"/>
    <x v="8"/>
    <x v="48"/>
    <x v="294"/>
    <x v="0"/>
    <x v="1"/>
    <n v="62.44"/>
  </r>
  <r>
    <x v="13"/>
    <x v="8"/>
    <x v="48"/>
    <x v="294"/>
    <x v="0"/>
    <x v="1"/>
    <n v="215"/>
  </r>
  <r>
    <x v="54"/>
    <x v="8"/>
    <x v="48"/>
    <x v="294"/>
    <x v="0"/>
    <x v="1"/>
    <n v="127.26"/>
  </r>
  <r>
    <x v="3"/>
    <x v="8"/>
    <x v="48"/>
    <x v="295"/>
    <x v="4"/>
    <x v="1"/>
    <n v="10"/>
  </r>
  <r>
    <x v="99"/>
    <x v="8"/>
    <x v="48"/>
    <x v="296"/>
    <x v="0"/>
    <x v="1"/>
    <n v="550.79999999999995"/>
  </r>
  <r>
    <x v="51"/>
    <x v="8"/>
    <x v="48"/>
    <x v="296"/>
    <x v="4"/>
    <x v="1"/>
    <n v="350.1"/>
  </r>
  <r>
    <x v="147"/>
    <x v="8"/>
    <x v="48"/>
    <x v="297"/>
    <x v="1"/>
    <x v="5"/>
    <n v="49.9"/>
  </r>
  <r>
    <x v="136"/>
    <x v="8"/>
    <x v="48"/>
    <x v="298"/>
    <x v="0"/>
    <x v="1"/>
    <n v="59.9"/>
  </r>
  <r>
    <x v="26"/>
    <x v="8"/>
    <x v="48"/>
    <x v="298"/>
    <x v="0"/>
    <x v="1"/>
    <n v="59.9"/>
  </r>
  <r>
    <x v="3"/>
    <x v="8"/>
    <x v="48"/>
    <x v="299"/>
    <x v="4"/>
    <x v="1"/>
    <n v="248"/>
  </r>
  <r>
    <x v="62"/>
    <x v="8"/>
    <x v="48"/>
    <x v="300"/>
    <x v="1"/>
    <x v="1"/>
    <n v="130.19999999999999"/>
  </r>
  <r>
    <x v="36"/>
    <x v="8"/>
    <x v="48"/>
    <x v="301"/>
    <x v="0"/>
    <x v="1"/>
    <n v="7"/>
  </r>
  <r>
    <x v="40"/>
    <x v="8"/>
    <x v="48"/>
    <x v="302"/>
    <x v="0"/>
    <x v="1"/>
    <n v="62.3"/>
  </r>
  <r>
    <x v="62"/>
    <x v="8"/>
    <x v="48"/>
    <x v="172"/>
    <x v="0"/>
    <x v="0"/>
    <n v="329.65"/>
  </r>
  <r>
    <x v="78"/>
    <x v="8"/>
    <x v="48"/>
    <x v="172"/>
    <x v="0"/>
    <x v="0"/>
    <n v="169.9"/>
  </r>
  <r>
    <x v="3"/>
    <x v="8"/>
    <x v="48"/>
    <x v="303"/>
    <x v="0"/>
    <x v="0"/>
    <n v="32.880000000000003"/>
  </r>
  <r>
    <x v="16"/>
    <x v="8"/>
    <x v="48"/>
    <x v="304"/>
    <x v="4"/>
    <x v="1"/>
    <n v="19"/>
  </r>
  <r>
    <x v="41"/>
    <x v="8"/>
    <x v="48"/>
    <x v="305"/>
    <x v="4"/>
    <x v="1"/>
    <n v="785"/>
  </r>
  <r>
    <x v="118"/>
    <x v="8"/>
    <x v="48"/>
    <x v="305"/>
    <x v="4"/>
    <x v="1"/>
    <n v="785"/>
  </r>
  <r>
    <x v="125"/>
    <x v="8"/>
    <x v="48"/>
    <x v="306"/>
    <x v="0"/>
    <x v="1"/>
    <n v="30"/>
  </r>
  <r>
    <x v="3"/>
    <x v="8"/>
    <x v="48"/>
    <x v="307"/>
    <x v="1"/>
    <x v="1"/>
    <n v="30.3"/>
  </r>
  <r>
    <x v="86"/>
    <x v="8"/>
    <x v="48"/>
    <x v="308"/>
    <x v="0"/>
    <x v="1"/>
    <n v="19.899999999999999"/>
  </r>
  <r>
    <x v="78"/>
    <x v="8"/>
    <x v="48"/>
    <x v="309"/>
    <x v="1"/>
    <x v="1"/>
    <n v="45"/>
  </r>
  <r>
    <x v="50"/>
    <x v="8"/>
    <x v="48"/>
    <x v="310"/>
    <x v="1"/>
    <x v="1"/>
    <n v="40"/>
  </r>
  <r>
    <x v="126"/>
    <x v="8"/>
    <x v="48"/>
    <x v="311"/>
    <x v="0"/>
    <x v="1"/>
    <n v="9050"/>
  </r>
  <r>
    <x v="118"/>
    <x v="8"/>
    <x v="48"/>
    <x v="311"/>
    <x v="0"/>
    <x v="1"/>
    <n v="9050"/>
  </r>
  <r>
    <x v="2"/>
    <x v="8"/>
    <x v="48"/>
    <x v="311"/>
    <x v="0"/>
    <x v="1"/>
    <n v="9050"/>
  </r>
  <r>
    <x v="3"/>
    <x v="8"/>
    <x v="48"/>
    <x v="311"/>
    <x v="0"/>
    <x v="1"/>
    <n v="9050"/>
  </r>
  <r>
    <x v="144"/>
    <x v="8"/>
    <x v="48"/>
    <x v="311"/>
    <x v="0"/>
    <x v="1"/>
    <n v="9050"/>
  </r>
  <r>
    <x v="13"/>
    <x v="8"/>
    <x v="48"/>
    <x v="311"/>
    <x v="0"/>
    <x v="1"/>
    <n v="9050"/>
  </r>
  <r>
    <x v="75"/>
    <x v="8"/>
    <x v="48"/>
    <x v="312"/>
    <x v="4"/>
    <x v="1"/>
    <n v="547"/>
  </r>
  <r>
    <x v="98"/>
    <x v="8"/>
    <x v="48"/>
    <x v="313"/>
    <x v="0"/>
    <x v="1"/>
    <n v="8"/>
  </r>
  <r>
    <x v="98"/>
    <x v="8"/>
    <x v="48"/>
    <x v="314"/>
    <x v="0"/>
    <x v="1"/>
    <n v="4.5999999999999996"/>
  </r>
  <r>
    <x v="30"/>
    <x v="8"/>
    <x v="48"/>
    <x v="315"/>
    <x v="0"/>
    <x v="1"/>
    <n v="17.05"/>
  </r>
  <r>
    <x v="94"/>
    <x v="8"/>
    <x v="48"/>
    <x v="316"/>
    <x v="0"/>
    <x v="1"/>
    <n v="1034.2"/>
  </r>
  <r>
    <x v="3"/>
    <x v="8"/>
    <x v="48"/>
    <x v="27"/>
    <x v="0"/>
    <x v="1"/>
    <n v="369.97"/>
  </r>
  <r>
    <x v="28"/>
    <x v="8"/>
    <x v="48"/>
    <x v="317"/>
    <x v="1"/>
    <x v="1"/>
    <n v="20"/>
  </r>
  <r>
    <x v="2"/>
    <x v="8"/>
    <x v="48"/>
    <x v="318"/>
    <x v="0"/>
    <x v="1"/>
    <n v="180"/>
  </r>
  <r>
    <x v="77"/>
    <x v="8"/>
    <x v="48"/>
    <x v="318"/>
    <x v="4"/>
    <x v="1"/>
    <n v="510"/>
  </r>
  <r>
    <x v="107"/>
    <x v="8"/>
    <x v="48"/>
    <x v="319"/>
    <x v="0"/>
    <x v="1"/>
    <n v="33.64"/>
  </r>
  <r>
    <x v="6"/>
    <x v="8"/>
    <x v="48"/>
    <x v="320"/>
    <x v="1"/>
    <x v="1"/>
    <n v="218.5"/>
  </r>
  <r>
    <x v="3"/>
    <x v="8"/>
    <x v="48"/>
    <x v="321"/>
    <x v="1"/>
    <x v="1"/>
    <n v="33"/>
  </r>
  <r>
    <x v="129"/>
    <x v="8"/>
    <x v="48"/>
    <x v="322"/>
    <x v="0"/>
    <x v="1"/>
    <n v="308"/>
  </r>
  <r>
    <x v="3"/>
    <x v="8"/>
    <x v="48"/>
    <x v="323"/>
    <x v="1"/>
    <x v="1"/>
    <n v="274068.63"/>
  </r>
  <r>
    <x v="108"/>
    <x v="8"/>
    <x v="48"/>
    <x v="324"/>
    <x v="0"/>
    <x v="1"/>
    <n v="36"/>
  </r>
  <r>
    <x v="74"/>
    <x v="8"/>
    <x v="48"/>
    <x v="325"/>
    <x v="1"/>
    <x v="0"/>
    <n v="1789.2"/>
  </r>
  <r>
    <x v="64"/>
    <x v="8"/>
    <x v="48"/>
    <x v="326"/>
    <x v="0"/>
    <x v="1"/>
    <n v="10"/>
  </r>
  <r>
    <x v="132"/>
    <x v="8"/>
    <x v="48"/>
    <x v="326"/>
    <x v="0"/>
    <x v="3"/>
    <n v="199.9"/>
  </r>
  <r>
    <x v="124"/>
    <x v="8"/>
    <x v="48"/>
    <x v="326"/>
    <x v="1"/>
    <x v="1"/>
    <n v="1669.7"/>
  </r>
  <r>
    <x v="124"/>
    <x v="8"/>
    <x v="48"/>
    <x v="326"/>
    <x v="1"/>
    <x v="1"/>
    <n v="219.9"/>
  </r>
  <r>
    <x v="103"/>
    <x v="8"/>
    <x v="48"/>
    <x v="326"/>
    <x v="0"/>
    <x v="1"/>
    <n v="189.9"/>
  </r>
  <r>
    <x v="113"/>
    <x v="8"/>
    <x v="48"/>
    <x v="327"/>
    <x v="0"/>
    <x v="1"/>
    <n v="22"/>
  </r>
  <r>
    <x v="72"/>
    <x v="8"/>
    <x v="48"/>
    <x v="328"/>
    <x v="0"/>
    <x v="0"/>
    <n v="1115.5"/>
  </r>
  <r>
    <x v="64"/>
    <x v="8"/>
    <x v="48"/>
    <x v="329"/>
    <x v="0"/>
    <x v="1"/>
    <n v="600"/>
  </r>
  <r>
    <x v="116"/>
    <x v="8"/>
    <x v="48"/>
    <x v="330"/>
    <x v="0"/>
    <x v="1"/>
    <n v="52"/>
  </r>
  <r>
    <x v="148"/>
    <x v="8"/>
    <x v="48"/>
    <x v="331"/>
    <x v="0"/>
    <x v="1"/>
    <n v="189.65"/>
  </r>
  <r>
    <x v="3"/>
    <x v="8"/>
    <x v="48"/>
    <x v="332"/>
    <x v="1"/>
    <x v="1"/>
    <n v="58"/>
  </r>
  <r>
    <x v="111"/>
    <x v="8"/>
    <x v="48"/>
    <x v="333"/>
    <x v="1"/>
    <x v="1"/>
    <n v="599.9"/>
  </r>
  <r>
    <x v="75"/>
    <x v="8"/>
    <x v="48"/>
    <x v="334"/>
    <x v="4"/>
    <x v="1"/>
    <n v="279"/>
  </r>
  <r>
    <x v="104"/>
    <x v="8"/>
    <x v="48"/>
    <x v="335"/>
    <x v="0"/>
    <x v="1"/>
    <n v="453.13"/>
  </r>
  <r>
    <x v="107"/>
    <x v="8"/>
    <x v="49"/>
    <x v="336"/>
    <x v="4"/>
    <x v="0"/>
    <n v="380"/>
  </r>
  <r>
    <x v="49"/>
    <x v="8"/>
    <x v="49"/>
    <x v="337"/>
    <x v="4"/>
    <x v="0"/>
    <n v="380"/>
  </r>
  <r>
    <x v="3"/>
    <x v="8"/>
    <x v="49"/>
    <x v="338"/>
    <x v="4"/>
    <x v="0"/>
    <n v="320"/>
  </r>
  <r>
    <x v="3"/>
    <x v="8"/>
    <x v="49"/>
    <x v="339"/>
    <x v="4"/>
    <x v="1"/>
    <n v="471.6"/>
  </r>
  <r>
    <x v="68"/>
    <x v="8"/>
    <x v="49"/>
    <x v="340"/>
    <x v="4"/>
    <x v="1"/>
    <n v="105"/>
  </r>
  <r>
    <x v="34"/>
    <x v="8"/>
    <x v="49"/>
    <x v="340"/>
    <x v="4"/>
    <x v="1"/>
    <n v="53"/>
  </r>
  <r>
    <x v="35"/>
    <x v="8"/>
    <x v="49"/>
    <x v="340"/>
    <x v="4"/>
    <x v="1"/>
    <n v="116"/>
  </r>
  <r>
    <x v="78"/>
    <x v="8"/>
    <x v="49"/>
    <x v="340"/>
    <x v="4"/>
    <x v="1"/>
    <n v="53"/>
  </r>
  <r>
    <x v="3"/>
    <x v="8"/>
    <x v="49"/>
    <x v="340"/>
    <x v="4"/>
    <x v="1"/>
    <n v="53"/>
  </r>
  <r>
    <x v="149"/>
    <x v="8"/>
    <x v="49"/>
    <x v="340"/>
    <x v="4"/>
    <x v="1"/>
    <n v="116"/>
  </r>
  <r>
    <x v="92"/>
    <x v="8"/>
    <x v="49"/>
    <x v="340"/>
    <x v="4"/>
    <x v="1"/>
    <n v="53"/>
  </r>
  <r>
    <x v="116"/>
    <x v="8"/>
    <x v="49"/>
    <x v="341"/>
    <x v="1"/>
    <x v="1"/>
    <n v="132"/>
  </r>
  <r>
    <x v="11"/>
    <x v="8"/>
    <x v="49"/>
    <x v="342"/>
    <x v="3"/>
    <x v="0"/>
    <n v="220"/>
  </r>
  <r>
    <x v="53"/>
    <x v="8"/>
    <x v="49"/>
    <x v="342"/>
    <x v="3"/>
    <x v="0"/>
    <n v="250"/>
  </r>
  <r>
    <x v="0"/>
    <x v="8"/>
    <x v="49"/>
    <x v="343"/>
    <x v="4"/>
    <x v="0"/>
    <n v="220"/>
  </r>
  <r>
    <x v="28"/>
    <x v="8"/>
    <x v="49"/>
    <x v="343"/>
    <x v="4"/>
    <x v="0"/>
    <n v="220"/>
  </r>
  <r>
    <x v="87"/>
    <x v="8"/>
    <x v="49"/>
    <x v="343"/>
    <x v="4"/>
    <x v="0"/>
    <n v="220"/>
  </r>
  <r>
    <x v="49"/>
    <x v="8"/>
    <x v="49"/>
    <x v="343"/>
    <x v="4"/>
    <x v="0"/>
    <n v="220"/>
  </r>
  <r>
    <x v="76"/>
    <x v="8"/>
    <x v="49"/>
    <x v="343"/>
    <x v="4"/>
    <x v="0"/>
    <n v="220"/>
  </r>
  <r>
    <x v="29"/>
    <x v="8"/>
    <x v="49"/>
    <x v="343"/>
    <x v="4"/>
    <x v="0"/>
    <n v="220"/>
  </r>
  <r>
    <x v="3"/>
    <x v="8"/>
    <x v="49"/>
    <x v="343"/>
    <x v="4"/>
    <x v="0"/>
    <n v="220"/>
  </r>
  <r>
    <x v="3"/>
    <x v="8"/>
    <x v="49"/>
    <x v="343"/>
    <x v="4"/>
    <x v="0"/>
    <n v="220"/>
  </r>
  <r>
    <x v="3"/>
    <x v="8"/>
    <x v="49"/>
    <x v="343"/>
    <x v="4"/>
    <x v="0"/>
    <n v="220"/>
  </r>
  <r>
    <x v="3"/>
    <x v="8"/>
    <x v="49"/>
    <x v="343"/>
    <x v="4"/>
    <x v="0"/>
    <n v="220"/>
  </r>
  <r>
    <x v="3"/>
    <x v="8"/>
    <x v="49"/>
    <x v="343"/>
    <x v="4"/>
    <x v="0"/>
    <n v="220"/>
  </r>
  <r>
    <x v="12"/>
    <x v="8"/>
    <x v="49"/>
    <x v="343"/>
    <x v="4"/>
    <x v="0"/>
    <n v="220"/>
  </r>
  <r>
    <x v="6"/>
    <x v="8"/>
    <x v="49"/>
    <x v="343"/>
    <x v="4"/>
    <x v="0"/>
    <n v="440"/>
  </r>
  <r>
    <x v="5"/>
    <x v="8"/>
    <x v="49"/>
    <x v="343"/>
    <x v="4"/>
    <x v="0"/>
    <n v="220"/>
  </r>
  <r>
    <x v="107"/>
    <x v="8"/>
    <x v="49"/>
    <x v="343"/>
    <x v="4"/>
    <x v="0"/>
    <n v="220"/>
  </r>
  <r>
    <x v="75"/>
    <x v="8"/>
    <x v="49"/>
    <x v="344"/>
    <x v="4"/>
    <x v="1"/>
    <n v="447"/>
  </r>
  <r>
    <x v="3"/>
    <x v="8"/>
    <x v="49"/>
    <x v="344"/>
    <x v="4"/>
    <x v="1"/>
    <n v="287"/>
  </r>
  <r>
    <x v="43"/>
    <x v="8"/>
    <x v="49"/>
    <x v="345"/>
    <x v="4"/>
    <x v="1"/>
    <n v="70"/>
  </r>
  <r>
    <x v="20"/>
    <x v="8"/>
    <x v="49"/>
    <x v="345"/>
    <x v="4"/>
    <x v="1"/>
    <n v="1807.25"/>
  </r>
  <r>
    <x v="126"/>
    <x v="8"/>
    <x v="49"/>
    <x v="346"/>
    <x v="4"/>
    <x v="1"/>
    <n v="1363.5"/>
  </r>
  <r>
    <x v="103"/>
    <x v="8"/>
    <x v="49"/>
    <x v="347"/>
    <x v="1"/>
    <x v="0"/>
    <n v="60"/>
  </r>
  <r>
    <x v="133"/>
    <x v="8"/>
    <x v="49"/>
    <x v="348"/>
    <x v="4"/>
    <x v="1"/>
    <n v="60"/>
  </r>
  <r>
    <x v="112"/>
    <x v="8"/>
    <x v="50"/>
    <x v="349"/>
    <x v="1"/>
    <x v="1"/>
    <n v="40"/>
  </r>
  <r>
    <x v="126"/>
    <x v="8"/>
    <x v="50"/>
    <x v="350"/>
    <x v="2"/>
    <x v="1"/>
    <n v="583.33000000000004"/>
  </r>
  <r>
    <x v="126"/>
    <x v="8"/>
    <x v="50"/>
    <x v="350"/>
    <x v="3"/>
    <x v="1"/>
    <n v="583.33000000000004"/>
  </r>
  <r>
    <x v="110"/>
    <x v="8"/>
    <x v="50"/>
    <x v="350"/>
    <x v="1"/>
    <x v="4"/>
    <n v="585.84"/>
  </r>
  <r>
    <x v="13"/>
    <x v="8"/>
    <x v="50"/>
    <x v="350"/>
    <x v="1"/>
    <x v="4"/>
    <n v="585.84"/>
  </r>
  <r>
    <x v="20"/>
    <x v="8"/>
    <x v="50"/>
    <x v="350"/>
    <x v="1"/>
    <x v="4"/>
    <n v="585.84"/>
  </r>
  <r>
    <x v="118"/>
    <x v="8"/>
    <x v="50"/>
    <x v="350"/>
    <x v="2"/>
    <x v="1"/>
    <n v="583.33000000000004"/>
  </r>
  <r>
    <x v="118"/>
    <x v="8"/>
    <x v="50"/>
    <x v="350"/>
    <x v="3"/>
    <x v="1"/>
    <n v="583.33000000000004"/>
  </r>
  <r>
    <x v="91"/>
    <x v="8"/>
    <x v="50"/>
    <x v="350"/>
    <x v="1"/>
    <x v="4"/>
    <n v="585.84"/>
  </r>
  <r>
    <x v="2"/>
    <x v="8"/>
    <x v="50"/>
    <x v="350"/>
    <x v="2"/>
    <x v="1"/>
    <n v="583.33000000000004"/>
  </r>
  <r>
    <x v="2"/>
    <x v="8"/>
    <x v="50"/>
    <x v="350"/>
    <x v="3"/>
    <x v="1"/>
    <n v="583.33000000000004"/>
  </r>
  <r>
    <x v="106"/>
    <x v="8"/>
    <x v="50"/>
    <x v="350"/>
    <x v="1"/>
    <x v="4"/>
    <n v="585.84"/>
  </r>
  <r>
    <x v="3"/>
    <x v="8"/>
    <x v="50"/>
    <x v="350"/>
    <x v="2"/>
    <x v="1"/>
    <n v="583.33000000000004"/>
  </r>
  <r>
    <x v="3"/>
    <x v="8"/>
    <x v="50"/>
    <x v="350"/>
    <x v="3"/>
    <x v="1"/>
    <n v="583.33000000000004"/>
  </r>
  <r>
    <x v="150"/>
    <x v="8"/>
    <x v="50"/>
    <x v="350"/>
    <x v="1"/>
    <x v="4"/>
    <n v="585.84"/>
  </r>
  <r>
    <x v="144"/>
    <x v="8"/>
    <x v="50"/>
    <x v="350"/>
    <x v="2"/>
    <x v="1"/>
    <n v="583.33000000000004"/>
  </r>
  <r>
    <x v="144"/>
    <x v="8"/>
    <x v="50"/>
    <x v="350"/>
    <x v="3"/>
    <x v="1"/>
    <n v="583.33000000000004"/>
  </r>
  <r>
    <x v="13"/>
    <x v="8"/>
    <x v="50"/>
    <x v="350"/>
    <x v="2"/>
    <x v="1"/>
    <n v="583.33000000000004"/>
  </r>
  <r>
    <x v="13"/>
    <x v="8"/>
    <x v="50"/>
    <x v="350"/>
    <x v="3"/>
    <x v="1"/>
    <n v="583.33000000000004"/>
  </r>
  <r>
    <x v="3"/>
    <x v="8"/>
    <x v="50"/>
    <x v="351"/>
    <x v="0"/>
    <x v="1"/>
    <n v="85"/>
  </r>
  <r>
    <x v="24"/>
    <x v="8"/>
    <x v="50"/>
    <x v="352"/>
    <x v="1"/>
    <x v="1"/>
    <n v="15347.14"/>
  </r>
  <r>
    <x v="24"/>
    <x v="8"/>
    <x v="50"/>
    <x v="352"/>
    <x v="2"/>
    <x v="1"/>
    <n v="15347.14"/>
  </r>
  <r>
    <x v="3"/>
    <x v="8"/>
    <x v="50"/>
    <x v="353"/>
    <x v="0"/>
    <x v="1"/>
    <n v="1750.16"/>
  </r>
  <r>
    <x v="3"/>
    <x v="8"/>
    <x v="50"/>
    <x v="354"/>
    <x v="0"/>
    <x v="1"/>
    <n v="212.02"/>
  </r>
  <r>
    <x v="77"/>
    <x v="8"/>
    <x v="50"/>
    <x v="355"/>
    <x v="1"/>
    <x v="0"/>
    <n v="700"/>
  </r>
  <r>
    <x v="3"/>
    <x v="8"/>
    <x v="50"/>
    <x v="356"/>
    <x v="1"/>
    <x v="0"/>
    <n v="1370"/>
  </r>
  <r>
    <x v="82"/>
    <x v="8"/>
    <x v="50"/>
    <x v="356"/>
    <x v="1"/>
    <x v="0"/>
    <n v="1200"/>
  </r>
  <r>
    <x v="3"/>
    <x v="8"/>
    <x v="50"/>
    <x v="357"/>
    <x v="1"/>
    <x v="1"/>
    <n v="39"/>
  </r>
  <r>
    <x v="128"/>
    <x v="8"/>
    <x v="50"/>
    <x v="298"/>
    <x v="0"/>
    <x v="1"/>
    <n v="59.9"/>
  </r>
  <r>
    <x v="28"/>
    <x v="8"/>
    <x v="50"/>
    <x v="298"/>
    <x v="0"/>
    <x v="1"/>
    <n v="59.9"/>
  </r>
  <r>
    <x v="29"/>
    <x v="8"/>
    <x v="50"/>
    <x v="298"/>
    <x v="0"/>
    <x v="1"/>
    <n v="59.9"/>
  </r>
  <r>
    <x v="3"/>
    <x v="8"/>
    <x v="50"/>
    <x v="298"/>
    <x v="0"/>
    <x v="1"/>
    <n v="59.9"/>
  </r>
  <r>
    <x v="3"/>
    <x v="8"/>
    <x v="50"/>
    <x v="358"/>
    <x v="1"/>
    <x v="1"/>
    <n v="4406.5"/>
  </r>
  <r>
    <x v="3"/>
    <x v="8"/>
    <x v="50"/>
    <x v="358"/>
    <x v="4"/>
    <x v="1"/>
    <n v="4406.5"/>
  </r>
  <r>
    <x v="82"/>
    <x v="8"/>
    <x v="50"/>
    <x v="359"/>
    <x v="0"/>
    <x v="1"/>
    <n v="382.5"/>
  </r>
  <r>
    <x v="15"/>
    <x v="8"/>
    <x v="50"/>
    <x v="360"/>
    <x v="0"/>
    <x v="3"/>
    <n v="6256.25"/>
  </r>
  <r>
    <x v="16"/>
    <x v="8"/>
    <x v="50"/>
    <x v="360"/>
    <x v="0"/>
    <x v="3"/>
    <n v="6256.25"/>
  </r>
  <r>
    <x v="110"/>
    <x v="8"/>
    <x v="50"/>
    <x v="361"/>
    <x v="0"/>
    <x v="4"/>
    <n v="135"/>
  </r>
  <r>
    <x v="86"/>
    <x v="8"/>
    <x v="50"/>
    <x v="361"/>
    <x v="0"/>
    <x v="4"/>
    <n v="135"/>
  </r>
  <r>
    <x v="20"/>
    <x v="8"/>
    <x v="50"/>
    <x v="361"/>
    <x v="0"/>
    <x v="4"/>
    <n v="135"/>
  </r>
  <r>
    <x v="91"/>
    <x v="8"/>
    <x v="50"/>
    <x v="361"/>
    <x v="0"/>
    <x v="4"/>
    <n v="135"/>
  </r>
  <r>
    <x v="106"/>
    <x v="8"/>
    <x v="50"/>
    <x v="361"/>
    <x v="0"/>
    <x v="4"/>
    <n v="135"/>
  </r>
  <r>
    <x v="151"/>
    <x v="8"/>
    <x v="50"/>
    <x v="361"/>
    <x v="0"/>
    <x v="4"/>
    <n v="135"/>
  </r>
  <r>
    <x v="3"/>
    <x v="8"/>
    <x v="50"/>
    <x v="362"/>
    <x v="1"/>
    <x v="1"/>
    <n v="6235.37"/>
  </r>
  <r>
    <x v="3"/>
    <x v="8"/>
    <x v="50"/>
    <x v="362"/>
    <x v="4"/>
    <x v="1"/>
    <n v="6235.37"/>
  </r>
  <r>
    <x v="36"/>
    <x v="8"/>
    <x v="50"/>
    <x v="135"/>
    <x v="1"/>
    <x v="1"/>
    <n v="8.4499999999999993"/>
  </r>
  <r>
    <x v="82"/>
    <x v="8"/>
    <x v="50"/>
    <x v="135"/>
    <x v="1"/>
    <x v="1"/>
    <n v="8.4499999999999993"/>
  </r>
  <r>
    <x v="83"/>
    <x v="8"/>
    <x v="50"/>
    <x v="135"/>
    <x v="1"/>
    <x v="1"/>
    <n v="11.22"/>
  </r>
  <r>
    <x v="73"/>
    <x v="8"/>
    <x v="50"/>
    <x v="363"/>
    <x v="0"/>
    <x v="1"/>
    <n v="100"/>
  </r>
  <r>
    <x v="73"/>
    <x v="8"/>
    <x v="50"/>
    <x v="363"/>
    <x v="0"/>
    <x v="1"/>
    <n v="100"/>
  </r>
  <r>
    <x v="111"/>
    <x v="8"/>
    <x v="50"/>
    <x v="363"/>
    <x v="0"/>
    <x v="1"/>
    <n v="100"/>
  </r>
  <r>
    <x v="111"/>
    <x v="8"/>
    <x v="50"/>
    <x v="363"/>
    <x v="0"/>
    <x v="1"/>
    <n v="200"/>
  </r>
  <r>
    <x v="48"/>
    <x v="8"/>
    <x v="51"/>
    <x v="364"/>
    <x v="0"/>
    <x v="1"/>
    <n v="1354.64"/>
  </r>
  <r>
    <x v="35"/>
    <x v="8"/>
    <x v="51"/>
    <x v="365"/>
    <x v="1"/>
    <x v="1"/>
    <n v="668.85"/>
  </r>
  <r>
    <x v="3"/>
    <x v="8"/>
    <x v="51"/>
    <x v="366"/>
    <x v="0"/>
    <x v="1"/>
    <n v="235.65"/>
  </r>
  <r>
    <x v="108"/>
    <x v="8"/>
    <x v="51"/>
    <x v="367"/>
    <x v="0"/>
    <x v="1"/>
    <n v="53"/>
  </r>
  <r>
    <x v="15"/>
    <x v="8"/>
    <x v="51"/>
    <x v="367"/>
    <x v="4"/>
    <x v="1"/>
    <n v="116"/>
  </r>
  <r>
    <x v="3"/>
    <x v="8"/>
    <x v="51"/>
    <x v="367"/>
    <x v="4"/>
    <x v="1"/>
    <n v="42"/>
  </r>
  <r>
    <x v="3"/>
    <x v="8"/>
    <x v="51"/>
    <x v="367"/>
    <x v="4"/>
    <x v="1"/>
    <n v="116"/>
  </r>
  <r>
    <x v="3"/>
    <x v="8"/>
    <x v="51"/>
    <x v="368"/>
    <x v="1"/>
    <x v="1"/>
    <n v="15.5"/>
  </r>
  <r>
    <x v="3"/>
    <x v="8"/>
    <x v="51"/>
    <x v="204"/>
    <x v="0"/>
    <x v="1"/>
    <n v="225.98"/>
  </r>
  <r>
    <x v="3"/>
    <x v="8"/>
    <x v="51"/>
    <x v="204"/>
    <x v="0"/>
    <x v="1"/>
    <n v="87.98"/>
  </r>
  <r>
    <x v="3"/>
    <x v="8"/>
    <x v="51"/>
    <x v="204"/>
    <x v="0"/>
    <x v="1"/>
    <n v="204.98"/>
  </r>
  <r>
    <x v="76"/>
    <x v="8"/>
    <x v="51"/>
    <x v="369"/>
    <x v="1"/>
    <x v="1"/>
    <n v="36.049999999999997"/>
  </r>
  <r>
    <x v="50"/>
    <x v="8"/>
    <x v="51"/>
    <x v="369"/>
    <x v="1"/>
    <x v="1"/>
    <n v="50.85"/>
  </r>
  <r>
    <x v="3"/>
    <x v="8"/>
    <x v="51"/>
    <x v="369"/>
    <x v="1"/>
    <x v="1"/>
    <n v="70.06"/>
  </r>
  <r>
    <x v="3"/>
    <x v="8"/>
    <x v="51"/>
    <x v="369"/>
    <x v="1"/>
    <x v="1"/>
    <n v="40.68"/>
  </r>
  <r>
    <x v="3"/>
    <x v="8"/>
    <x v="51"/>
    <x v="369"/>
    <x v="1"/>
    <x v="1"/>
    <n v="85.77"/>
  </r>
  <r>
    <x v="3"/>
    <x v="8"/>
    <x v="51"/>
    <x v="369"/>
    <x v="1"/>
    <x v="1"/>
    <n v="50.85"/>
  </r>
  <r>
    <x v="3"/>
    <x v="8"/>
    <x v="51"/>
    <x v="369"/>
    <x v="1"/>
    <x v="1"/>
    <n v="51.98"/>
  </r>
  <r>
    <x v="98"/>
    <x v="8"/>
    <x v="51"/>
    <x v="369"/>
    <x v="0"/>
    <x v="1"/>
    <n v="293.69"/>
  </r>
  <r>
    <x v="23"/>
    <x v="8"/>
    <x v="51"/>
    <x v="369"/>
    <x v="1"/>
    <x v="1"/>
    <n v="43.5"/>
  </r>
  <r>
    <x v="4"/>
    <x v="8"/>
    <x v="51"/>
    <x v="369"/>
    <x v="1"/>
    <x v="1"/>
    <n v="40.68"/>
  </r>
  <r>
    <x v="3"/>
    <x v="8"/>
    <x v="51"/>
    <x v="370"/>
    <x v="0"/>
    <x v="1"/>
    <n v="344.85"/>
  </r>
  <r>
    <x v="59"/>
    <x v="8"/>
    <x v="51"/>
    <x v="370"/>
    <x v="0"/>
    <x v="1"/>
    <n v="105.69"/>
  </r>
  <r>
    <x v="137"/>
    <x v="8"/>
    <x v="51"/>
    <x v="370"/>
    <x v="0"/>
    <x v="1"/>
    <n v="217.29"/>
  </r>
  <r>
    <x v="129"/>
    <x v="8"/>
    <x v="51"/>
    <x v="371"/>
    <x v="0"/>
    <x v="1"/>
    <n v="138.80000000000001"/>
  </r>
  <r>
    <x v="83"/>
    <x v="8"/>
    <x v="51"/>
    <x v="372"/>
    <x v="0"/>
    <x v="1"/>
    <n v="716.42"/>
  </r>
  <r>
    <x v="100"/>
    <x v="8"/>
    <x v="51"/>
    <x v="373"/>
    <x v="1"/>
    <x v="1"/>
    <n v="27.95"/>
  </r>
  <r>
    <x v="1"/>
    <x v="8"/>
    <x v="51"/>
    <x v="373"/>
    <x v="0"/>
    <x v="1"/>
    <n v="75.8"/>
  </r>
  <r>
    <x v="3"/>
    <x v="8"/>
    <x v="51"/>
    <x v="374"/>
    <x v="1"/>
    <x v="1"/>
    <n v="281.95"/>
  </r>
  <r>
    <x v="33"/>
    <x v="8"/>
    <x v="51"/>
    <x v="375"/>
    <x v="0"/>
    <x v="3"/>
    <n v="476.3"/>
  </r>
  <r>
    <x v="67"/>
    <x v="8"/>
    <x v="51"/>
    <x v="375"/>
    <x v="0"/>
    <x v="1"/>
    <n v="2213.67"/>
  </r>
  <r>
    <x v="3"/>
    <x v="8"/>
    <x v="51"/>
    <x v="376"/>
    <x v="0"/>
    <x v="3"/>
    <n v="247.52"/>
  </r>
  <r>
    <x v="3"/>
    <x v="8"/>
    <x v="51"/>
    <x v="377"/>
    <x v="0"/>
    <x v="1"/>
    <n v="346.25"/>
  </r>
  <r>
    <x v="17"/>
    <x v="8"/>
    <x v="51"/>
    <x v="378"/>
    <x v="1"/>
    <x v="1"/>
    <n v="120.91"/>
  </r>
  <r>
    <x v="32"/>
    <x v="8"/>
    <x v="51"/>
    <x v="379"/>
    <x v="1"/>
    <x v="1"/>
    <n v="19"/>
  </r>
  <r>
    <x v="51"/>
    <x v="8"/>
    <x v="51"/>
    <x v="379"/>
    <x v="1"/>
    <x v="1"/>
    <n v="12.5"/>
  </r>
  <r>
    <x v="55"/>
    <x v="8"/>
    <x v="51"/>
    <x v="379"/>
    <x v="1"/>
    <x v="1"/>
    <n v="15.5"/>
  </r>
  <r>
    <x v="88"/>
    <x v="8"/>
    <x v="51"/>
    <x v="380"/>
    <x v="0"/>
    <x v="1"/>
    <n v="354.82"/>
  </r>
  <r>
    <x v="4"/>
    <x v="8"/>
    <x v="51"/>
    <x v="380"/>
    <x v="1"/>
    <x v="1"/>
    <n v="151.41999999999999"/>
  </r>
  <r>
    <x v="25"/>
    <x v="8"/>
    <x v="51"/>
    <x v="380"/>
    <x v="0"/>
    <x v="1"/>
    <n v="188.68"/>
  </r>
  <r>
    <x v="3"/>
    <x v="8"/>
    <x v="51"/>
    <x v="381"/>
    <x v="0"/>
    <x v="1"/>
    <n v="314.14"/>
  </r>
  <r>
    <x v="152"/>
    <x v="8"/>
    <x v="51"/>
    <x v="382"/>
    <x v="0"/>
    <x v="1"/>
    <n v="92.08"/>
  </r>
  <r>
    <x v="97"/>
    <x v="8"/>
    <x v="51"/>
    <x v="383"/>
    <x v="0"/>
    <x v="1"/>
    <n v="27"/>
  </r>
  <r>
    <x v="87"/>
    <x v="8"/>
    <x v="51"/>
    <x v="384"/>
    <x v="0"/>
    <x v="1"/>
    <n v="24.77"/>
  </r>
  <r>
    <x v="3"/>
    <x v="8"/>
    <x v="51"/>
    <x v="385"/>
    <x v="0"/>
    <x v="1"/>
    <n v="63.8"/>
  </r>
  <r>
    <x v="46"/>
    <x v="8"/>
    <x v="51"/>
    <x v="386"/>
    <x v="1"/>
    <x v="1"/>
    <n v="132"/>
  </r>
  <r>
    <x v="43"/>
    <x v="8"/>
    <x v="51"/>
    <x v="387"/>
    <x v="0"/>
    <x v="1"/>
    <n v="1497.87"/>
  </r>
  <r>
    <x v="36"/>
    <x v="8"/>
    <x v="51"/>
    <x v="387"/>
    <x v="1"/>
    <x v="1"/>
    <n v="301.14"/>
  </r>
  <r>
    <x v="5"/>
    <x v="8"/>
    <x v="51"/>
    <x v="388"/>
    <x v="0"/>
    <x v="1"/>
    <n v="46"/>
  </r>
  <r>
    <x v="108"/>
    <x v="8"/>
    <x v="51"/>
    <x v="389"/>
    <x v="0"/>
    <x v="1"/>
    <n v="428.27"/>
  </r>
  <r>
    <x v="100"/>
    <x v="8"/>
    <x v="51"/>
    <x v="390"/>
    <x v="1"/>
    <x v="1"/>
    <n v="48"/>
  </r>
  <r>
    <x v="99"/>
    <x v="8"/>
    <x v="51"/>
    <x v="391"/>
    <x v="1"/>
    <x v="1"/>
    <n v="93.57"/>
  </r>
  <r>
    <x v="20"/>
    <x v="8"/>
    <x v="51"/>
    <x v="391"/>
    <x v="1"/>
    <x v="1"/>
    <n v="115.22"/>
  </r>
  <r>
    <x v="60"/>
    <x v="8"/>
    <x v="51"/>
    <x v="392"/>
    <x v="4"/>
    <x v="1"/>
    <n v="56"/>
  </r>
  <r>
    <x v="127"/>
    <x v="8"/>
    <x v="51"/>
    <x v="393"/>
    <x v="0"/>
    <x v="1"/>
    <n v="212.12"/>
  </r>
  <r>
    <x v="89"/>
    <x v="8"/>
    <x v="51"/>
    <x v="238"/>
    <x v="1"/>
    <x v="1"/>
    <n v="11.9"/>
  </r>
  <r>
    <x v="56"/>
    <x v="8"/>
    <x v="51"/>
    <x v="238"/>
    <x v="0"/>
    <x v="1"/>
    <n v="66.8"/>
  </r>
  <r>
    <x v="146"/>
    <x v="8"/>
    <x v="51"/>
    <x v="238"/>
    <x v="1"/>
    <x v="1"/>
    <n v="39.6"/>
  </r>
  <r>
    <x v="3"/>
    <x v="8"/>
    <x v="51"/>
    <x v="238"/>
    <x v="1"/>
    <x v="1"/>
    <n v="20.8"/>
  </r>
  <r>
    <x v="3"/>
    <x v="8"/>
    <x v="51"/>
    <x v="238"/>
    <x v="1"/>
    <x v="1"/>
    <n v="8.9"/>
  </r>
  <r>
    <x v="124"/>
    <x v="8"/>
    <x v="51"/>
    <x v="238"/>
    <x v="1"/>
    <x v="1"/>
    <n v="56.8"/>
  </r>
  <r>
    <x v="103"/>
    <x v="8"/>
    <x v="51"/>
    <x v="238"/>
    <x v="0"/>
    <x v="1"/>
    <n v="11.9"/>
  </r>
  <r>
    <x v="94"/>
    <x v="8"/>
    <x v="51"/>
    <x v="238"/>
    <x v="0"/>
    <x v="1"/>
    <n v="11.9"/>
  </r>
  <r>
    <x v="94"/>
    <x v="8"/>
    <x v="51"/>
    <x v="238"/>
    <x v="0"/>
    <x v="1"/>
    <n v="20.9"/>
  </r>
  <r>
    <x v="94"/>
    <x v="8"/>
    <x v="51"/>
    <x v="238"/>
    <x v="0"/>
    <x v="1"/>
    <n v="21.9"/>
  </r>
  <r>
    <x v="81"/>
    <x v="8"/>
    <x v="51"/>
    <x v="394"/>
    <x v="1"/>
    <x v="1"/>
    <n v="8.25"/>
  </r>
  <r>
    <x v="62"/>
    <x v="8"/>
    <x v="51"/>
    <x v="395"/>
    <x v="0"/>
    <x v="1"/>
    <n v="125.4"/>
  </r>
  <r>
    <x v="3"/>
    <x v="8"/>
    <x v="51"/>
    <x v="395"/>
    <x v="0"/>
    <x v="1"/>
    <n v="645.70000000000005"/>
  </r>
  <r>
    <x v="141"/>
    <x v="8"/>
    <x v="51"/>
    <x v="395"/>
    <x v="0"/>
    <x v="1"/>
    <n v="93.5"/>
  </r>
  <r>
    <x v="61"/>
    <x v="8"/>
    <x v="51"/>
    <x v="396"/>
    <x v="0"/>
    <x v="3"/>
    <n v="327"/>
  </r>
  <r>
    <x v="15"/>
    <x v="8"/>
    <x v="51"/>
    <x v="397"/>
    <x v="0"/>
    <x v="3"/>
    <n v="335.61"/>
  </r>
  <r>
    <x v="47"/>
    <x v="8"/>
    <x v="51"/>
    <x v="397"/>
    <x v="0"/>
    <x v="3"/>
    <n v="142.80000000000001"/>
  </r>
  <r>
    <x v="105"/>
    <x v="8"/>
    <x v="51"/>
    <x v="397"/>
    <x v="0"/>
    <x v="1"/>
    <n v="248.6"/>
  </r>
  <r>
    <x v="78"/>
    <x v="8"/>
    <x v="51"/>
    <x v="398"/>
    <x v="1"/>
    <x v="1"/>
    <n v="111.79"/>
  </r>
  <r>
    <x v="3"/>
    <x v="8"/>
    <x v="51"/>
    <x v="399"/>
    <x v="4"/>
    <x v="1"/>
    <n v="18.899999999999999"/>
  </r>
  <r>
    <x v="3"/>
    <x v="8"/>
    <x v="51"/>
    <x v="400"/>
    <x v="1"/>
    <x v="1"/>
    <n v="13"/>
  </r>
  <r>
    <x v="3"/>
    <x v="8"/>
    <x v="51"/>
    <x v="400"/>
    <x v="1"/>
    <x v="1"/>
    <n v="13.9"/>
  </r>
  <r>
    <x v="125"/>
    <x v="8"/>
    <x v="51"/>
    <x v="401"/>
    <x v="0"/>
    <x v="1"/>
    <n v="15"/>
  </r>
  <r>
    <x v="3"/>
    <x v="8"/>
    <x v="51"/>
    <x v="402"/>
    <x v="0"/>
    <x v="1"/>
    <n v="370.64"/>
  </r>
  <r>
    <x v="3"/>
    <x v="8"/>
    <x v="51"/>
    <x v="402"/>
    <x v="1"/>
    <x v="1"/>
    <n v="117"/>
  </r>
  <r>
    <x v="55"/>
    <x v="8"/>
    <x v="51"/>
    <x v="402"/>
    <x v="0"/>
    <x v="1"/>
    <n v="264.42"/>
  </r>
  <r>
    <x v="17"/>
    <x v="8"/>
    <x v="51"/>
    <x v="403"/>
    <x v="0"/>
    <x v="1"/>
    <n v="195.54"/>
  </r>
  <r>
    <x v="92"/>
    <x v="8"/>
    <x v="51"/>
    <x v="404"/>
    <x v="1"/>
    <x v="1"/>
    <n v="18.079999999999998"/>
  </r>
  <r>
    <x v="92"/>
    <x v="8"/>
    <x v="51"/>
    <x v="405"/>
    <x v="0"/>
    <x v="1"/>
    <n v="189.84"/>
  </r>
  <r>
    <x v="129"/>
    <x v="8"/>
    <x v="51"/>
    <x v="261"/>
    <x v="0"/>
    <x v="1"/>
    <n v="216.68"/>
  </r>
  <r>
    <x v="153"/>
    <x v="8"/>
    <x v="51"/>
    <x v="406"/>
    <x v="0"/>
    <x v="1"/>
    <n v="703"/>
  </r>
  <r>
    <x v="114"/>
    <x v="8"/>
    <x v="51"/>
    <x v="407"/>
    <x v="1"/>
    <x v="3"/>
    <n v="62"/>
  </r>
  <r>
    <x v="129"/>
    <x v="8"/>
    <x v="51"/>
    <x v="408"/>
    <x v="0"/>
    <x v="1"/>
    <n v="31.98"/>
  </r>
  <r>
    <x v="3"/>
    <x v="8"/>
    <x v="51"/>
    <x v="409"/>
    <x v="1"/>
    <x v="1"/>
    <n v="816.57"/>
  </r>
  <r>
    <x v="32"/>
    <x v="8"/>
    <x v="51"/>
    <x v="409"/>
    <x v="1"/>
    <x v="1"/>
    <n v="322"/>
  </r>
  <r>
    <x v="6"/>
    <x v="8"/>
    <x v="51"/>
    <x v="409"/>
    <x v="0"/>
    <x v="1"/>
    <n v="3870.71"/>
  </r>
  <r>
    <x v="69"/>
    <x v="8"/>
    <x v="51"/>
    <x v="410"/>
    <x v="0"/>
    <x v="1"/>
    <n v="9.8000000000000007"/>
  </r>
  <r>
    <x v="54"/>
    <x v="8"/>
    <x v="51"/>
    <x v="411"/>
    <x v="0"/>
    <x v="1"/>
    <n v="807.99"/>
  </r>
  <r>
    <x v="14"/>
    <x v="8"/>
    <x v="51"/>
    <x v="412"/>
    <x v="0"/>
    <x v="3"/>
    <n v="132.97999999999999"/>
  </r>
  <r>
    <x v="10"/>
    <x v="8"/>
    <x v="51"/>
    <x v="412"/>
    <x v="0"/>
    <x v="3"/>
    <n v="140.74"/>
  </r>
  <r>
    <x v="71"/>
    <x v="8"/>
    <x v="51"/>
    <x v="412"/>
    <x v="0"/>
    <x v="1"/>
    <n v="5.95"/>
  </r>
  <r>
    <x v="47"/>
    <x v="8"/>
    <x v="51"/>
    <x v="412"/>
    <x v="0"/>
    <x v="3"/>
    <n v="97.71"/>
  </r>
  <r>
    <x v="33"/>
    <x v="8"/>
    <x v="51"/>
    <x v="412"/>
    <x v="0"/>
    <x v="3"/>
    <n v="44.99"/>
  </r>
  <r>
    <x v="33"/>
    <x v="8"/>
    <x v="51"/>
    <x v="412"/>
    <x v="1"/>
    <x v="1"/>
    <n v="5.95"/>
  </r>
  <r>
    <x v="105"/>
    <x v="8"/>
    <x v="51"/>
    <x v="412"/>
    <x v="1"/>
    <x v="1"/>
    <n v="5.95"/>
  </r>
  <r>
    <x v="3"/>
    <x v="8"/>
    <x v="51"/>
    <x v="412"/>
    <x v="1"/>
    <x v="1"/>
    <n v="5.95"/>
  </r>
  <r>
    <x v="98"/>
    <x v="8"/>
    <x v="51"/>
    <x v="412"/>
    <x v="0"/>
    <x v="1"/>
    <n v="5.95"/>
  </r>
  <r>
    <x v="139"/>
    <x v="8"/>
    <x v="51"/>
    <x v="413"/>
    <x v="0"/>
    <x v="1"/>
    <n v="342.49"/>
  </r>
  <r>
    <x v="57"/>
    <x v="8"/>
    <x v="51"/>
    <x v="414"/>
    <x v="1"/>
    <x v="1"/>
    <n v="569.79999999999995"/>
  </r>
  <r>
    <x v="3"/>
    <x v="8"/>
    <x v="51"/>
    <x v="415"/>
    <x v="0"/>
    <x v="1"/>
    <n v="12"/>
  </r>
  <r>
    <x v="2"/>
    <x v="8"/>
    <x v="51"/>
    <x v="282"/>
    <x v="1"/>
    <x v="1"/>
    <n v="11.9"/>
  </r>
  <r>
    <x v="48"/>
    <x v="8"/>
    <x v="51"/>
    <x v="416"/>
    <x v="0"/>
    <x v="1"/>
    <n v="926.6"/>
  </r>
  <r>
    <x v="125"/>
    <x v="8"/>
    <x v="51"/>
    <x v="417"/>
    <x v="0"/>
    <x v="1"/>
    <n v="114.99"/>
  </r>
  <r>
    <x v="57"/>
    <x v="8"/>
    <x v="51"/>
    <x v="417"/>
    <x v="1"/>
    <x v="1"/>
    <n v="102.99"/>
  </r>
  <r>
    <x v="3"/>
    <x v="8"/>
    <x v="51"/>
    <x v="417"/>
    <x v="0"/>
    <x v="1"/>
    <n v="41.99"/>
  </r>
  <r>
    <x v="34"/>
    <x v="8"/>
    <x v="51"/>
    <x v="418"/>
    <x v="0"/>
    <x v="1"/>
    <n v="656.39"/>
  </r>
  <r>
    <x v="142"/>
    <x v="8"/>
    <x v="51"/>
    <x v="418"/>
    <x v="0"/>
    <x v="1"/>
    <n v="1720"/>
  </r>
  <r>
    <x v="100"/>
    <x v="8"/>
    <x v="51"/>
    <x v="419"/>
    <x v="1"/>
    <x v="1"/>
    <n v="26.8"/>
  </r>
  <r>
    <x v="116"/>
    <x v="8"/>
    <x v="51"/>
    <x v="420"/>
    <x v="0"/>
    <x v="1"/>
    <n v="343.07"/>
  </r>
  <r>
    <x v="145"/>
    <x v="8"/>
    <x v="51"/>
    <x v="421"/>
    <x v="0"/>
    <x v="1"/>
    <n v="153.97999999999999"/>
  </r>
  <r>
    <x v="100"/>
    <x v="8"/>
    <x v="51"/>
    <x v="422"/>
    <x v="1"/>
    <x v="1"/>
    <n v="89.35"/>
  </r>
  <r>
    <x v="116"/>
    <x v="8"/>
    <x v="51"/>
    <x v="423"/>
    <x v="1"/>
    <x v="1"/>
    <n v="32.54"/>
  </r>
  <r>
    <x v="81"/>
    <x v="8"/>
    <x v="51"/>
    <x v="424"/>
    <x v="1"/>
    <x v="1"/>
    <n v="26.55"/>
  </r>
  <r>
    <x v="125"/>
    <x v="8"/>
    <x v="51"/>
    <x v="425"/>
    <x v="0"/>
    <x v="1"/>
    <n v="47.9"/>
  </r>
  <r>
    <x v="3"/>
    <x v="8"/>
    <x v="51"/>
    <x v="426"/>
    <x v="0"/>
    <x v="1"/>
    <n v="96.98"/>
  </r>
  <r>
    <x v="3"/>
    <x v="8"/>
    <x v="51"/>
    <x v="427"/>
    <x v="0"/>
    <x v="1"/>
    <n v="1413.63"/>
  </r>
  <r>
    <x v="3"/>
    <x v="8"/>
    <x v="51"/>
    <x v="428"/>
    <x v="0"/>
    <x v="1"/>
    <n v="201.71"/>
  </r>
  <r>
    <x v="3"/>
    <x v="8"/>
    <x v="51"/>
    <x v="428"/>
    <x v="0"/>
    <x v="1"/>
    <n v="1437.5"/>
  </r>
  <r>
    <x v="0"/>
    <x v="8"/>
    <x v="51"/>
    <x v="429"/>
    <x v="1"/>
    <x v="1"/>
    <n v="20.9"/>
  </r>
  <r>
    <x v="76"/>
    <x v="8"/>
    <x v="51"/>
    <x v="429"/>
    <x v="1"/>
    <x v="1"/>
    <n v="26"/>
  </r>
  <r>
    <x v="4"/>
    <x v="8"/>
    <x v="51"/>
    <x v="429"/>
    <x v="1"/>
    <x v="1"/>
    <n v="12"/>
  </r>
  <r>
    <x v="93"/>
    <x v="8"/>
    <x v="51"/>
    <x v="429"/>
    <x v="1"/>
    <x v="1"/>
    <n v="23"/>
  </r>
  <r>
    <x v="50"/>
    <x v="8"/>
    <x v="51"/>
    <x v="430"/>
    <x v="0"/>
    <x v="1"/>
    <n v="1256.56"/>
  </r>
  <r>
    <x v="0"/>
    <x v="8"/>
    <x v="51"/>
    <x v="431"/>
    <x v="1"/>
    <x v="1"/>
    <n v="145.77000000000001"/>
  </r>
  <r>
    <x v="68"/>
    <x v="8"/>
    <x v="51"/>
    <x v="431"/>
    <x v="1"/>
    <x v="1"/>
    <n v="55.94"/>
  </r>
  <r>
    <x v="72"/>
    <x v="8"/>
    <x v="51"/>
    <x v="431"/>
    <x v="1"/>
    <x v="3"/>
    <n v="27.57"/>
  </r>
  <r>
    <x v="74"/>
    <x v="8"/>
    <x v="51"/>
    <x v="431"/>
    <x v="1"/>
    <x v="1"/>
    <n v="259.89999999999998"/>
  </r>
  <r>
    <x v="88"/>
    <x v="8"/>
    <x v="51"/>
    <x v="431"/>
    <x v="1"/>
    <x v="1"/>
    <n v="33.79"/>
  </r>
  <r>
    <x v="28"/>
    <x v="8"/>
    <x v="51"/>
    <x v="431"/>
    <x v="1"/>
    <x v="1"/>
    <n v="36.159999999999997"/>
  </r>
  <r>
    <x v="28"/>
    <x v="8"/>
    <x v="51"/>
    <x v="431"/>
    <x v="0"/>
    <x v="1"/>
    <n v="230.41"/>
  </r>
  <r>
    <x v="75"/>
    <x v="8"/>
    <x v="51"/>
    <x v="431"/>
    <x v="1"/>
    <x v="1"/>
    <n v="15.26"/>
  </r>
  <r>
    <x v="105"/>
    <x v="8"/>
    <x v="51"/>
    <x v="431"/>
    <x v="1"/>
    <x v="1"/>
    <n v="26.89"/>
  </r>
  <r>
    <x v="105"/>
    <x v="8"/>
    <x v="51"/>
    <x v="431"/>
    <x v="0"/>
    <x v="1"/>
    <n v="270.97000000000003"/>
  </r>
  <r>
    <x v="76"/>
    <x v="8"/>
    <x v="51"/>
    <x v="431"/>
    <x v="1"/>
    <x v="1"/>
    <n v="5.9"/>
  </r>
  <r>
    <x v="81"/>
    <x v="8"/>
    <x v="51"/>
    <x v="431"/>
    <x v="1"/>
    <x v="1"/>
    <n v="72.319999999999993"/>
  </r>
  <r>
    <x v="81"/>
    <x v="8"/>
    <x v="51"/>
    <x v="431"/>
    <x v="0"/>
    <x v="1"/>
    <n v="125.32"/>
  </r>
  <r>
    <x v="78"/>
    <x v="8"/>
    <x v="51"/>
    <x v="432"/>
    <x v="0"/>
    <x v="1"/>
    <n v="334.96"/>
  </r>
  <r>
    <x v="78"/>
    <x v="8"/>
    <x v="51"/>
    <x v="432"/>
    <x v="0"/>
    <x v="1"/>
    <n v="339.77"/>
  </r>
  <r>
    <x v="3"/>
    <x v="8"/>
    <x v="51"/>
    <x v="433"/>
    <x v="0"/>
    <x v="1"/>
    <n v="363.38"/>
  </r>
  <r>
    <x v="113"/>
    <x v="8"/>
    <x v="51"/>
    <x v="434"/>
    <x v="0"/>
    <x v="1"/>
    <n v="11.9"/>
  </r>
  <r>
    <x v="115"/>
    <x v="8"/>
    <x v="51"/>
    <x v="435"/>
    <x v="1"/>
    <x v="1"/>
    <n v="31.7"/>
  </r>
  <r>
    <x v="116"/>
    <x v="8"/>
    <x v="51"/>
    <x v="435"/>
    <x v="0"/>
    <x v="1"/>
    <n v="43.6"/>
  </r>
  <r>
    <x v="41"/>
    <x v="8"/>
    <x v="51"/>
    <x v="435"/>
    <x v="1"/>
    <x v="1"/>
    <n v="102.3"/>
  </r>
  <r>
    <x v="47"/>
    <x v="8"/>
    <x v="51"/>
    <x v="435"/>
    <x v="1"/>
    <x v="1"/>
    <n v="34.799999999999997"/>
  </r>
  <r>
    <x v="3"/>
    <x v="8"/>
    <x v="51"/>
    <x v="435"/>
    <x v="1"/>
    <x v="1"/>
    <n v="92.1"/>
  </r>
  <r>
    <x v="3"/>
    <x v="8"/>
    <x v="51"/>
    <x v="435"/>
    <x v="1"/>
    <x v="1"/>
    <n v="38.700000000000003"/>
  </r>
  <r>
    <x v="3"/>
    <x v="8"/>
    <x v="51"/>
    <x v="436"/>
    <x v="0"/>
    <x v="1"/>
    <n v="540"/>
  </r>
  <r>
    <x v="36"/>
    <x v="8"/>
    <x v="51"/>
    <x v="436"/>
    <x v="0"/>
    <x v="1"/>
    <n v="562.74"/>
  </r>
  <r>
    <x v="64"/>
    <x v="8"/>
    <x v="51"/>
    <x v="437"/>
    <x v="1"/>
    <x v="1"/>
    <n v="87.36"/>
  </r>
  <r>
    <x v="22"/>
    <x v="8"/>
    <x v="51"/>
    <x v="437"/>
    <x v="1"/>
    <x v="1"/>
    <n v="87.36"/>
  </r>
  <r>
    <x v="3"/>
    <x v="8"/>
    <x v="51"/>
    <x v="437"/>
    <x v="0"/>
    <x v="1"/>
    <n v="195.77"/>
  </r>
  <r>
    <x v="12"/>
    <x v="8"/>
    <x v="51"/>
    <x v="438"/>
    <x v="4"/>
    <x v="1"/>
    <n v="12.5"/>
  </r>
  <r>
    <x v="139"/>
    <x v="8"/>
    <x v="51"/>
    <x v="439"/>
    <x v="0"/>
    <x v="1"/>
    <n v="6.98"/>
  </r>
  <r>
    <x v="30"/>
    <x v="8"/>
    <x v="51"/>
    <x v="440"/>
    <x v="0"/>
    <x v="1"/>
    <n v="231.65"/>
  </r>
  <r>
    <x v="3"/>
    <x v="8"/>
    <x v="51"/>
    <x v="440"/>
    <x v="1"/>
    <x v="1"/>
    <n v="228.26"/>
  </r>
  <r>
    <x v="108"/>
    <x v="8"/>
    <x v="51"/>
    <x v="46"/>
    <x v="0"/>
    <x v="1"/>
    <n v="40.54"/>
  </r>
  <r>
    <x v="3"/>
    <x v="8"/>
    <x v="51"/>
    <x v="46"/>
    <x v="0"/>
    <x v="1"/>
    <n v="64.400000000000006"/>
  </r>
  <r>
    <x v="103"/>
    <x v="8"/>
    <x v="51"/>
    <x v="46"/>
    <x v="0"/>
    <x v="1"/>
    <n v="31.7"/>
  </r>
  <r>
    <x v="93"/>
    <x v="8"/>
    <x v="51"/>
    <x v="46"/>
    <x v="0"/>
    <x v="1"/>
    <n v="43.12"/>
  </r>
  <r>
    <x v="124"/>
    <x v="8"/>
    <x v="51"/>
    <x v="441"/>
    <x v="0"/>
    <x v="1"/>
    <n v="164.98"/>
  </r>
  <r>
    <x v="75"/>
    <x v="8"/>
    <x v="51"/>
    <x v="442"/>
    <x v="4"/>
    <x v="1"/>
    <n v="76.84"/>
  </r>
  <r>
    <x v="129"/>
    <x v="8"/>
    <x v="51"/>
    <x v="443"/>
    <x v="0"/>
    <x v="1"/>
    <n v="187"/>
  </r>
  <r>
    <x v="83"/>
    <x v="8"/>
    <x v="51"/>
    <x v="308"/>
    <x v="0"/>
    <x v="1"/>
    <n v="420.65"/>
  </r>
  <r>
    <x v="41"/>
    <x v="8"/>
    <x v="51"/>
    <x v="444"/>
    <x v="0"/>
    <x v="1"/>
    <n v="289.31"/>
  </r>
  <r>
    <x v="4"/>
    <x v="8"/>
    <x v="51"/>
    <x v="445"/>
    <x v="4"/>
    <x v="1"/>
    <n v="54.82"/>
  </r>
  <r>
    <x v="43"/>
    <x v="8"/>
    <x v="51"/>
    <x v="446"/>
    <x v="0"/>
    <x v="1"/>
    <n v="574.04"/>
  </r>
  <r>
    <x v="130"/>
    <x v="8"/>
    <x v="51"/>
    <x v="447"/>
    <x v="0"/>
    <x v="1"/>
    <n v="532.23"/>
  </r>
  <r>
    <x v="77"/>
    <x v="8"/>
    <x v="51"/>
    <x v="448"/>
    <x v="0"/>
    <x v="1"/>
    <n v="183.06"/>
  </r>
  <r>
    <x v="3"/>
    <x v="8"/>
    <x v="51"/>
    <x v="448"/>
    <x v="0"/>
    <x v="1"/>
    <n v="505.11"/>
  </r>
  <r>
    <x v="118"/>
    <x v="8"/>
    <x v="51"/>
    <x v="449"/>
    <x v="0"/>
    <x v="1"/>
    <n v="261.99"/>
  </r>
  <r>
    <x v="77"/>
    <x v="8"/>
    <x v="51"/>
    <x v="449"/>
    <x v="1"/>
    <x v="1"/>
    <n v="122.99"/>
  </r>
  <r>
    <x v="3"/>
    <x v="8"/>
    <x v="51"/>
    <x v="450"/>
    <x v="1"/>
    <x v="1"/>
    <n v="11"/>
  </r>
  <r>
    <x v="64"/>
    <x v="8"/>
    <x v="51"/>
    <x v="451"/>
    <x v="0"/>
    <x v="1"/>
    <n v="488.16"/>
  </r>
  <r>
    <x v="34"/>
    <x v="8"/>
    <x v="51"/>
    <x v="451"/>
    <x v="0"/>
    <x v="1"/>
    <n v="841.32"/>
  </r>
  <r>
    <x v="69"/>
    <x v="8"/>
    <x v="51"/>
    <x v="452"/>
    <x v="0"/>
    <x v="1"/>
    <n v="916.72"/>
  </r>
  <r>
    <x v="115"/>
    <x v="8"/>
    <x v="51"/>
    <x v="453"/>
    <x v="1"/>
    <x v="1"/>
    <n v="148"/>
  </r>
  <r>
    <x v="28"/>
    <x v="8"/>
    <x v="51"/>
    <x v="454"/>
    <x v="4"/>
    <x v="1"/>
    <n v="112.9"/>
  </r>
  <r>
    <x v="116"/>
    <x v="8"/>
    <x v="51"/>
    <x v="25"/>
    <x v="4"/>
    <x v="1"/>
    <n v="61.7"/>
  </r>
  <r>
    <x v="118"/>
    <x v="8"/>
    <x v="51"/>
    <x v="25"/>
    <x v="1"/>
    <x v="3"/>
    <n v="123.87"/>
  </r>
  <r>
    <x v="125"/>
    <x v="8"/>
    <x v="51"/>
    <x v="455"/>
    <x v="0"/>
    <x v="1"/>
    <n v="10"/>
  </r>
  <r>
    <x v="125"/>
    <x v="8"/>
    <x v="51"/>
    <x v="455"/>
    <x v="0"/>
    <x v="1"/>
    <n v="29"/>
  </r>
  <r>
    <x v="76"/>
    <x v="8"/>
    <x v="51"/>
    <x v="456"/>
    <x v="1"/>
    <x v="1"/>
    <n v="95"/>
  </r>
  <r>
    <x v="119"/>
    <x v="8"/>
    <x v="51"/>
    <x v="456"/>
    <x v="1"/>
    <x v="1"/>
    <n v="144.59"/>
  </r>
  <r>
    <x v="3"/>
    <x v="8"/>
    <x v="51"/>
    <x v="456"/>
    <x v="1"/>
    <x v="1"/>
    <n v="221.08"/>
  </r>
  <r>
    <x v="82"/>
    <x v="8"/>
    <x v="51"/>
    <x v="456"/>
    <x v="0"/>
    <x v="1"/>
    <n v="213.36"/>
  </r>
  <r>
    <x v="93"/>
    <x v="8"/>
    <x v="51"/>
    <x v="456"/>
    <x v="1"/>
    <x v="1"/>
    <n v="211.68"/>
  </r>
  <r>
    <x v="46"/>
    <x v="8"/>
    <x v="51"/>
    <x v="26"/>
    <x v="0"/>
    <x v="3"/>
    <n v="308"/>
  </r>
  <r>
    <x v="29"/>
    <x v="8"/>
    <x v="51"/>
    <x v="26"/>
    <x v="0"/>
    <x v="1"/>
    <n v="288.14999999999998"/>
  </r>
  <r>
    <x v="112"/>
    <x v="8"/>
    <x v="51"/>
    <x v="457"/>
    <x v="1"/>
    <x v="1"/>
    <n v="15"/>
  </r>
  <r>
    <x v="34"/>
    <x v="8"/>
    <x v="51"/>
    <x v="458"/>
    <x v="1"/>
    <x v="1"/>
    <n v="81.400000000000006"/>
  </r>
  <r>
    <x v="119"/>
    <x v="8"/>
    <x v="51"/>
    <x v="458"/>
    <x v="1"/>
    <x v="1"/>
    <n v="97.9"/>
  </r>
  <r>
    <x v="3"/>
    <x v="8"/>
    <x v="51"/>
    <x v="458"/>
    <x v="1"/>
    <x v="1"/>
    <n v="94.6"/>
  </r>
  <r>
    <x v="3"/>
    <x v="8"/>
    <x v="51"/>
    <x v="458"/>
    <x v="1"/>
    <x v="1"/>
    <n v="106.7"/>
  </r>
  <r>
    <x v="1"/>
    <x v="8"/>
    <x v="51"/>
    <x v="459"/>
    <x v="0"/>
    <x v="1"/>
    <n v="2648.72"/>
  </r>
  <r>
    <x v="81"/>
    <x v="8"/>
    <x v="51"/>
    <x v="460"/>
    <x v="0"/>
    <x v="1"/>
    <n v="46.7"/>
  </r>
  <r>
    <x v="55"/>
    <x v="8"/>
    <x v="51"/>
    <x v="461"/>
    <x v="0"/>
    <x v="1"/>
    <n v="77"/>
  </r>
  <r>
    <x v="123"/>
    <x v="8"/>
    <x v="51"/>
    <x v="461"/>
    <x v="0"/>
    <x v="1"/>
    <n v="39.6"/>
  </r>
  <r>
    <x v="129"/>
    <x v="8"/>
    <x v="51"/>
    <x v="462"/>
    <x v="0"/>
    <x v="1"/>
    <n v="314.5"/>
  </r>
  <r>
    <x v="4"/>
    <x v="8"/>
    <x v="51"/>
    <x v="463"/>
    <x v="4"/>
    <x v="1"/>
    <n v="23.99"/>
  </r>
  <r>
    <x v="116"/>
    <x v="8"/>
    <x v="51"/>
    <x v="464"/>
    <x v="0"/>
    <x v="1"/>
    <n v="1012.99"/>
  </r>
  <r>
    <x v="122"/>
    <x v="8"/>
    <x v="51"/>
    <x v="465"/>
    <x v="1"/>
    <x v="1"/>
    <n v="109.38"/>
  </r>
  <r>
    <x v="15"/>
    <x v="8"/>
    <x v="51"/>
    <x v="466"/>
    <x v="0"/>
    <x v="3"/>
    <n v="279.11"/>
  </r>
  <r>
    <x v="49"/>
    <x v="8"/>
    <x v="51"/>
    <x v="466"/>
    <x v="0"/>
    <x v="1"/>
    <n v="8"/>
  </r>
  <r>
    <x v="22"/>
    <x v="8"/>
    <x v="51"/>
    <x v="466"/>
    <x v="1"/>
    <x v="1"/>
    <n v="136.72999999999999"/>
  </r>
  <r>
    <x v="22"/>
    <x v="8"/>
    <x v="51"/>
    <x v="467"/>
    <x v="0"/>
    <x v="1"/>
    <n v="276.10000000000002"/>
  </r>
  <r>
    <x v="92"/>
    <x v="8"/>
    <x v="52"/>
    <x v="468"/>
    <x v="0"/>
    <x v="1"/>
    <n v="4373.34"/>
  </r>
  <r>
    <x v="13"/>
    <x v="8"/>
    <x v="52"/>
    <x v="468"/>
    <x v="0"/>
    <x v="1"/>
    <n v="4373.33"/>
  </r>
  <r>
    <x v="72"/>
    <x v="8"/>
    <x v="52"/>
    <x v="469"/>
    <x v="0"/>
    <x v="1"/>
    <n v="430.8"/>
  </r>
  <r>
    <x v="2"/>
    <x v="8"/>
    <x v="52"/>
    <x v="469"/>
    <x v="0"/>
    <x v="1"/>
    <n v="430.8"/>
  </r>
  <r>
    <x v="3"/>
    <x v="8"/>
    <x v="52"/>
    <x v="469"/>
    <x v="0"/>
    <x v="1"/>
    <n v="430.8"/>
  </r>
  <r>
    <x v="144"/>
    <x v="8"/>
    <x v="52"/>
    <x v="469"/>
    <x v="0"/>
    <x v="1"/>
    <n v="430.8"/>
  </r>
  <r>
    <x v="13"/>
    <x v="8"/>
    <x v="52"/>
    <x v="469"/>
    <x v="0"/>
    <x v="1"/>
    <n v="430.8"/>
  </r>
  <r>
    <x v="3"/>
    <x v="8"/>
    <x v="52"/>
    <x v="470"/>
    <x v="0"/>
    <x v="1"/>
    <n v="531.6"/>
  </r>
  <r>
    <x v="103"/>
    <x v="8"/>
    <x v="52"/>
    <x v="470"/>
    <x v="0"/>
    <x v="1"/>
    <n v="823.8"/>
  </r>
  <r>
    <x v="83"/>
    <x v="8"/>
    <x v="52"/>
    <x v="471"/>
    <x v="0"/>
    <x v="1"/>
    <n v="16695.48"/>
  </r>
  <r>
    <x v="27"/>
    <x v="8"/>
    <x v="52"/>
    <x v="471"/>
    <x v="0"/>
    <x v="1"/>
    <n v="7557.92"/>
  </r>
  <r>
    <x v="116"/>
    <x v="8"/>
    <x v="52"/>
    <x v="472"/>
    <x v="0"/>
    <x v="0"/>
    <n v="9711"/>
  </r>
  <r>
    <x v="17"/>
    <x v="8"/>
    <x v="52"/>
    <x v="472"/>
    <x v="0"/>
    <x v="0"/>
    <n v="10928"/>
  </r>
  <r>
    <x v="122"/>
    <x v="8"/>
    <x v="52"/>
    <x v="473"/>
    <x v="0"/>
    <x v="1"/>
    <n v="6955.8"/>
  </r>
  <r>
    <x v="126"/>
    <x v="8"/>
    <x v="52"/>
    <x v="474"/>
    <x v="0"/>
    <x v="1"/>
    <n v="729.93"/>
  </r>
  <r>
    <x v="68"/>
    <x v="8"/>
    <x v="52"/>
    <x v="474"/>
    <x v="0"/>
    <x v="1"/>
    <n v="784.1"/>
  </r>
  <r>
    <x v="110"/>
    <x v="8"/>
    <x v="52"/>
    <x v="474"/>
    <x v="0"/>
    <x v="4"/>
    <n v="733.25"/>
  </r>
  <r>
    <x v="118"/>
    <x v="8"/>
    <x v="52"/>
    <x v="474"/>
    <x v="0"/>
    <x v="1"/>
    <n v="729.93"/>
  </r>
  <r>
    <x v="118"/>
    <x v="8"/>
    <x v="52"/>
    <x v="474"/>
    <x v="0"/>
    <x v="1"/>
    <n v="784.09"/>
  </r>
  <r>
    <x v="91"/>
    <x v="8"/>
    <x v="52"/>
    <x v="474"/>
    <x v="0"/>
    <x v="4"/>
    <n v="733.25"/>
  </r>
  <r>
    <x v="2"/>
    <x v="8"/>
    <x v="52"/>
    <x v="474"/>
    <x v="0"/>
    <x v="1"/>
    <n v="729.93"/>
  </r>
  <r>
    <x v="2"/>
    <x v="8"/>
    <x v="52"/>
    <x v="474"/>
    <x v="0"/>
    <x v="1"/>
    <n v="784.09"/>
  </r>
  <r>
    <x v="3"/>
    <x v="8"/>
    <x v="52"/>
    <x v="474"/>
    <x v="0"/>
    <x v="1"/>
    <n v="729.93"/>
  </r>
  <r>
    <x v="3"/>
    <x v="8"/>
    <x v="52"/>
    <x v="474"/>
    <x v="0"/>
    <x v="1"/>
    <n v="784.09"/>
  </r>
  <r>
    <x v="144"/>
    <x v="8"/>
    <x v="52"/>
    <x v="474"/>
    <x v="0"/>
    <x v="1"/>
    <n v="729.93"/>
  </r>
  <r>
    <x v="144"/>
    <x v="8"/>
    <x v="52"/>
    <x v="474"/>
    <x v="0"/>
    <x v="1"/>
    <n v="784.09"/>
  </r>
  <r>
    <x v="13"/>
    <x v="8"/>
    <x v="52"/>
    <x v="474"/>
    <x v="0"/>
    <x v="1"/>
    <n v="784.09"/>
  </r>
  <r>
    <x v="3"/>
    <x v="9"/>
    <x v="53"/>
    <x v="475"/>
    <x v="1"/>
    <x v="1"/>
    <n v="1712"/>
  </r>
  <r>
    <x v="14"/>
    <x v="9"/>
    <x v="53"/>
    <x v="476"/>
    <x v="1"/>
    <x v="1"/>
    <n v="640"/>
  </r>
  <r>
    <x v="24"/>
    <x v="9"/>
    <x v="53"/>
    <x v="477"/>
    <x v="4"/>
    <x v="0"/>
    <n v="1500"/>
  </r>
  <r>
    <x v="64"/>
    <x v="9"/>
    <x v="53"/>
    <x v="478"/>
    <x v="1"/>
    <x v="1"/>
    <n v="570"/>
  </r>
  <r>
    <x v="100"/>
    <x v="9"/>
    <x v="53"/>
    <x v="478"/>
    <x v="1"/>
    <x v="1"/>
    <n v="570"/>
  </r>
  <r>
    <x v="28"/>
    <x v="9"/>
    <x v="53"/>
    <x v="478"/>
    <x v="1"/>
    <x v="1"/>
    <n v="570"/>
  </r>
  <r>
    <x v="47"/>
    <x v="9"/>
    <x v="53"/>
    <x v="479"/>
    <x v="4"/>
    <x v="0"/>
    <n v="750"/>
  </r>
  <r>
    <x v="76"/>
    <x v="9"/>
    <x v="53"/>
    <x v="479"/>
    <x v="4"/>
    <x v="0"/>
    <n v="2100"/>
  </r>
  <r>
    <x v="6"/>
    <x v="9"/>
    <x v="53"/>
    <x v="479"/>
    <x v="4"/>
    <x v="0"/>
    <n v="1700"/>
  </r>
  <r>
    <x v="81"/>
    <x v="9"/>
    <x v="53"/>
    <x v="480"/>
    <x v="1"/>
    <x v="0"/>
    <n v="1450"/>
  </r>
  <r>
    <x v="93"/>
    <x v="9"/>
    <x v="53"/>
    <x v="481"/>
    <x v="1"/>
    <x v="1"/>
    <n v="2730"/>
  </r>
  <r>
    <x v="78"/>
    <x v="9"/>
    <x v="53"/>
    <x v="482"/>
    <x v="3"/>
    <x v="0"/>
    <n v="880"/>
  </r>
  <r>
    <x v="3"/>
    <x v="9"/>
    <x v="53"/>
    <x v="483"/>
    <x v="1"/>
    <x v="1"/>
    <n v="800"/>
  </r>
  <r>
    <x v="47"/>
    <x v="9"/>
    <x v="53"/>
    <x v="484"/>
    <x v="1"/>
    <x v="0"/>
    <n v="360"/>
  </r>
  <r>
    <x v="91"/>
    <x v="9"/>
    <x v="53"/>
    <x v="484"/>
    <x v="1"/>
    <x v="0"/>
    <n v="2140"/>
  </r>
  <r>
    <x v="101"/>
    <x v="9"/>
    <x v="53"/>
    <x v="484"/>
    <x v="1"/>
    <x v="0"/>
    <n v="1060"/>
  </r>
  <r>
    <x v="65"/>
    <x v="9"/>
    <x v="53"/>
    <x v="485"/>
    <x v="3"/>
    <x v="0"/>
    <n v="900"/>
  </r>
  <r>
    <x v="33"/>
    <x v="9"/>
    <x v="53"/>
    <x v="486"/>
    <x v="4"/>
    <x v="0"/>
    <n v="2450"/>
  </r>
  <r>
    <x v="3"/>
    <x v="9"/>
    <x v="53"/>
    <x v="487"/>
    <x v="2"/>
    <x v="0"/>
    <n v="1050"/>
  </r>
  <r>
    <x v="68"/>
    <x v="9"/>
    <x v="53"/>
    <x v="155"/>
    <x v="3"/>
    <x v="0"/>
    <n v="570"/>
  </r>
  <r>
    <x v="3"/>
    <x v="9"/>
    <x v="53"/>
    <x v="155"/>
    <x v="3"/>
    <x v="0"/>
    <n v="580"/>
  </r>
  <r>
    <x v="6"/>
    <x v="9"/>
    <x v="53"/>
    <x v="155"/>
    <x v="3"/>
    <x v="0"/>
    <n v="625"/>
  </r>
  <r>
    <x v="61"/>
    <x v="9"/>
    <x v="53"/>
    <x v="488"/>
    <x v="4"/>
    <x v="0"/>
    <n v="1200"/>
  </r>
  <r>
    <x v="51"/>
    <x v="9"/>
    <x v="53"/>
    <x v="489"/>
    <x v="1"/>
    <x v="0"/>
    <n v="525"/>
  </r>
  <r>
    <x v="86"/>
    <x v="9"/>
    <x v="53"/>
    <x v="490"/>
    <x v="4"/>
    <x v="0"/>
    <n v="1700"/>
  </r>
  <r>
    <x v="30"/>
    <x v="9"/>
    <x v="54"/>
    <x v="491"/>
    <x v="1"/>
    <x v="0"/>
    <n v="3500"/>
  </r>
  <r>
    <x v="79"/>
    <x v="9"/>
    <x v="54"/>
    <x v="492"/>
    <x v="2"/>
    <x v="0"/>
    <n v="130"/>
  </r>
  <r>
    <x v="26"/>
    <x v="9"/>
    <x v="55"/>
    <x v="493"/>
    <x v="1"/>
    <x v="0"/>
    <n v="130"/>
  </r>
  <r>
    <x v="69"/>
    <x v="9"/>
    <x v="55"/>
    <x v="494"/>
    <x v="4"/>
    <x v="0"/>
    <n v="420"/>
  </r>
  <r>
    <x v="0"/>
    <x v="9"/>
    <x v="55"/>
    <x v="494"/>
    <x v="1"/>
    <x v="0"/>
    <n v="320"/>
  </r>
  <r>
    <x v="33"/>
    <x v="9"/>
    <x v="55"/>
    <x v="494"/>
    <x v="4"/>
    <x v="0"/>
    <n v="420"/>
  </r>
  <r>
    <x v="22"/>
    <x v="9"/>
    <x v="55"/>
    <x v="494"/>
    <x v="1"/>
    <x v="0"/>
    <n v="320"/>
  </r>
  <r>
    <x v="3"/>
    <x v="9"/>
    <x v="55"/>
    <x v="494"/>
    <x v="1"/>
    <x v="0"/>
    <n v="70"/>
  </r>
  <r>
    <x v="72"/>
    <x v="9"/>
    <x v="55"/>
    <x v="495"/>
    <x v="1"/>
    <x v="1"/>
    <n v="84.69"/>
  </r>
  <r>
    <x v="87"/>
    <x v="9"/>
    <x v="55"/>
    <x v="495"/>
    <x v="1"/>
    <x v="1"/>
    <n v="43.99"/>
  </r>
  <r>
    <x v="3"/>
    <x v="9"/>
    <x v="55"/>
    <x v="495"/>
    <x v="1"/>
    <x v="1"/>
    <n v="387.8"/>
  </r>
  <r>
    <x v="66"/>
    <x v="9"/>
    <x v="55"/>
    <x v="496"/>
    <x v="0"/>
    <x v="1"/>
    <n v="209.9"/>
  </r>
  <r>
    <x v="3"/>
    <x v="9"/>
    <x v="55"/>
    <x v="496"/>
    <x v="4"/>
    <x v="1"/>
    <n v="71.900000000000006"/>
  </r>
  <r>
    <x v="111"/>
    <x v="9"/>
    <x v="55"/>
    <x v="497"/>
    <x v="1"/>
    <x v="1"/>
    <n v="50.57"/>
  </r>
  <r>
    <x v="32"/>
    <x v="9"/>
    <x v="55"/>
    <x v="498"/>
    <x v="4"/>
    <x v="1"/>
    <n v="191.66"/>
  </r>
  <r>
    <x v="9"/>
    <x v="9"/>
    <x v="55"/>
    <x v="498"/>
    <x v="1"/>
    <x v="1"/>
    <n v="59.76"/>
  </r>
  <r>
    <x v="51"/>
    <x v="9"/>
    <x v="55"/>
    <x v="498"/>
    <x v="4"/>
    <x v="1"/>
    <n v="490.52"/>
  </r>
  <r>
    <x v="60"/>
    <x v="9"/>
    <x v="55"/>
    <x v="498"/>
    <x v="1"/>
    <x v="1"/>
    <n v="274.99"/>
  </r>
  <r>
    <x v="0"/>
    <x v="9"/>
    <x v="55"/>
    <x v="498"/>
    <x v="1"/>
    <x v="1"/>
    <n v="537.36"/>
  </r>
  <r>
    <x v="41"/>
    <x v="9"/>
    <x v="55"/>
    <x v="498"/>
    <x v="4"/>
    <x v="1"/>
    <n v="156.97999999999999"/>
  </r>
  <r>
    <x v="68"/>
    <x v="9"/>
    <x v="55"/>
    <x v="498"/>
    <x v="4"/>
    <x v="1"/>
    <n v="4.99"/>
  </r>
  <r>
    <x v="118"/>
    <x v="9"/>
    <x v="55"/>
    <x v="498"/>
    <x v="1"/>
    <x v="1"/>
    <n v="274.97000000000003"/>
  </r>
  <r>
    <x v="71"/>
    <x v="9"/>
    <x v="55"/>
    <x v="498"/>
    <x v="1"/>
    <x v="1"/>
    <n v="45.1"/>
  </r>
  <r>
    <x v="34"/>
    <x v="9"/>
    <x v="55"/>
    <x v="498"/>
    <x v="2"/>
    <x v="1"/>
    <n v="323.95999999999998"/>
  </r>
  <r>
    <x v="91"/>
    <x v="9"/>
    <x v="55"/>
    <x v="498"/>
    <x v="4"/>
    <x v="1"/>
    <n v="244.97"/>
  </r>
  <r>
    <x v="2"/>
    <x v="9"/>
    <x v="55"/>
    <x v="498"/>
    <x v="1"/>
    <x v="1"/>
    <n v="274.97000000000003"/>
  </r>
  <r>
    <x v="76"/>
    <x v="9"/>
    <x v="55"/>
    <x v="498"/>
    <x v="4"/>
    <x v="1"/>
    <n v="221.74"/>
  </r>
  <r>
    <x v="3"/>
    <x v="9"/>
    <x v="55"/>
    <x v="498"/>
    <x v="1"/>
    <x v="1"/>
    <n v="274.97000000000003"/>
  </r>
  <r>
    <x v="3"/>
    <x v="9"/>
    <x v="55"/>
    <x v="498"/>
    <x v="1"/>
    <x v="1"/>
    <n v="80.180000000000007"/>
  </r>
  <r>
    <x v="3"/>
    <x v="9"/>
    <x v="55"/>
    <x v="498"/>
    <x v="4"/>
    <x v="1"/>
    <n v="266.17"/>
  </r>
  <r>
    <x v="3"/>
    <x v="9"/>
    <x v="55"/>
    <x v="498"/>
    <x v="4"/>
    <x v="1"/>
    <n v="204.95"/>
  </r>
  <r>
    <x v="3"/>
    <x v="9"/>
    <x v="55"/>
    <x v="498"/>
    <x v="1"/>
    <x v="1"/>
    <n v="70.59"/>
  </r>
  <r>
    <x v="3"/>
    <x v="9"/>
    <x v="55"/>
    <x v="498"/>
    <x v="4"/>
    <x v="1"/>
    <n v="50.18"/>
  </r>
  <r>
    <x v="3"/>
    <x v="9"/>
    <x v="55"/>
    <x v="498"/>
    <x v="1"/>
    <x v="1"/>
    <n v="334.19"/>
  </r>
  <r>
    <x v="147"/>
    <x v="9"/>
    <x v="55"/>
    <x v="498"/>
    <x v="1"/>
    <x v="5"/>
    <n v="47.9"/>
  </r>
  <r>
    <x v="20"/>
    <x v="9"/>
    <x v="55"/>
    <x v="498"/>
    <x v="1"/>
    <x v="5"/>
    <n v="128.35"/>
  </r>
  <r>
    <x v="113"/>
    <x v="9"/>
    <x v="55"/>
    <x v="499"/>
    <x v="0"/>
    <x v="1"/>
    <n v="383.52"/>
  </r>
  <r>
    <x v="1"/>
    <x v="9"/>
    <x v="55"/>
    <x v="499"/>
    <x v="0"/>
    <x v="1"/>
    <n v="28.3"/>
  </r>
  <r>
    <x v="15"/>
    <x v="9"/>
    <x v="55"/>
    <x v="500"/>
    <x v="4"/>
    <x v="1"/>
    <n v="475.4"/>
  </r>
  <r>
    <x v="33"/>
    <x v="9"/>
    <x v="55"/>
    <x v="500"/>
    <x v="1"/>
    <x v="3"/>
    <n v="586.54"/>
  </r>
  <r>
    <x v="33"/>
    <x v="9"/>
    <x v="55"/>
    <x v="500"/>
    <x v="1"/>
    <x v="3"/>
    <n v="586.54"/>
  </r>
  <r>
    <x v="28"/>
    <x v="9"/>
    <x v="55"/>
    <x v="500"/>
    <x v="1"/>
    <x v="1"/>
    <n v="35.92"/>
  </r>
  <r>
    <x v="75"/>
    <x v="9"/>
    <x v="55"/>
    <x v="500"/>
    <x v="4"/>
    <x v="1"/>
    <n v="15.75"/>
  </r>
  <r>
    <x v="16"/>
    <x v="9"/>
    <x v="55"/>
    <x v="500"/>
    <x v="1"/>
    <x v="3"/>
    <n v="586.54"/>
  </r>
  <r>
    <x v="57"/>
    <x v="9"/>
    <x v="55"/>
    <x v="500"/>
    <x v="4"/>
    <x v="1"/>
    <n v="89.44"/>
  </r>
  <r>
    <x v="22"/>
    <x v="9"/>
    <x v="55"/>
    <x v="500"/>
    <x v="4"/>
    <x v="1"/>
    <n v="184.53"/>
  </r>
  <r>
    <x v="1"/>
    <x v="9"/>
    <x v="55"/>
    <x v="501"/>
    <x v="1"/>
    <x v="1"/>
    <n v="17.89"/>
  </r>
  <r>
    <x v="34"/>
    <x v="9"/>
    <x v="55"/>
    <x v="502"/>
    <x v="4"/>
    <x v="1"/>
    <n v="342.34"/>
  </r>
  <r>
    <x v="2"/>
    <x v="9"/>
    <x v="55"/>
    <x v="502"/>
    <x v="4"/>
    <x v="1"/>
    <n v="342.33"/>
  </r>
  <r>
    <x v="3"/>
    <x v="9"/>
    <x v="55"/>
    <x v="502"/>
    <x v="4"/>
    <x v="1"/>
    <n v="342.33"/>
  </r>
  <r>
    <x v="33"/>
    <x v="9"/>
    <x v="55"/>
    <x v="503"/>
    <x v="4"/>
    <x v="0"/>
    <n v="158.37"/>
  </r>
  <r>
    <x v="146"/>
    <x v="9"/>
    <x v="55"/>
    <x v="504"/>
    <x v="1"/>
    <x v="1"/>
    <n v="92.5"/>
  </r>
  <r>
    <x v="105"/>
    <x v="9"/>
    <x v="55"/>
    <x v="505"/>
    <x v="1"/>
    <x v="1"/>
    <n v="94.99"/>
  </r>
  <r>
    <x v="127"/>
    <x v="9"/>
    <x v="55"/>
    <x v="506"/>
    <x v="0"/>
    <x v="1"/>
    <n v="204.15"/>
  </r>
  <r>
    <x v="3"/>
    <x v="9"/>
    <x v="55"/>
    <x v="507"/>
    <x v="1"/>
    <x v="1"/>
    <n v="19.989999999999998"/>
  </r>
  <r>
    <x v="78"/>
    <x v="9"/>
    <x v="55"/>
    <x v="508"/>
    <x v="1"/>
    <x v="1"/>
    <n v="1499.43"/>
  </r>
  <r>
    <x v="88"/>
    <x v="9"/>
    <x v="55"/>
    <x v="508"/>
    <x v="1"/>
    <x v="0"/>
    <n v="144.13"/>
  </r>
  <r>
    <x v="5"/>
    <x v="9"/>
    <x v="55"/>
    <x v="508"/>
    <x v="1"/>
    <x v="1"/>
    <n v="1452.54"/>
  </r>
  <r>
    <x v="3"/>
    <x v="9"/>
    <x v="55"/>
    <x v="509"/>
    <x v="3"/>
    <x v="0"/>
    <n v="962.99"/>
  </r>
  <r>
    <x v="3"/>
    <x v="9"/>
    <x v="55"/>
    <x v="509"/>
    <x v="3"/>
    <x v="0"/>
    <n v="112.28"/>
  </r>
  <r>
    <x v="27"/>
    <x v="9"/>
    <x v="55"/>
    <x v="509"/>
    <x v="3"/>
    <x v="0"/>
    <n v="404.44"/>
  </r>
  <r>
    <x v="68"/>
    <x v="9"/>
    <x v="55"/>
    <x v="509"/>
    <x v="3"/>
    <x v="0"/>
    <n v="819.64"/>
  </r>
  <r>
    <x v="11"/>
    <x v="9"/>
    <x v="55"/>
    <x v="509"/>
    <x v="3"/>
    <x v="0"/>
    <n v="621.07000000000005"/>
  </r>
  <r>
    <x v="49"/>
    <x v="9"/>
    <x v="55"/>
    <x v="509"/>
    <x v="3"/>
    <x v="0"/>
    <n v="252.38"/>
  </r>
  <r>
    <x v="105"/>
    <x v="9"/>
    <x v="55"/>
    <x v="509"/>
    <x v="3"/>
    <x v="0"/>
    <n v="63.73"/>
  </r>
  <r>
    <x v="79"/>
    <x v="9"/>
    <x v="55"/>
    <x v="509"/>
    <x v="3"/>
    <x v="0"/>
    <n v="1174.44"/>
  </r>
  <r>
    <x v="12"/>
    <x v="9"/>
    <x v="55"/>
    <x v="509"/>
    <x v="2"/>
    <x v="0"/>
    <n v="154.72"/>
  </r>
  <r>
    <x v="17"/>
    <x v="9"/>
    <x v="55"/>
    <x v="509"/>
    <x v="3"/>
    <x v="0"/>
    <n v="308.25"/>
  </r>
  <r>
    <x v="36"/>
    <x v="9"/>
    <x v="55"/>
    <x v="509"/>
    <x v="2"/>
    <x v="0"/>
    <n v="111"/>
  </r>
  <r>
    <x v="74"/>
    <x v="9"/>
    <x v="55"/>
    <x v="509"/>
    <x v="3"/>
    <x v="0"/>
    <n v="525.95000000000005"/>
  </r>
  <r>
    <x v="3"/>
    <x v="9"/>
    <x v="55"/>
    <x v="509"/>
    <x v="2"/>
    <x v="0"/>
    <n v="807.62"/>
  </r>
  <r>
    <x v="53"/>
    <x v="9"/>
    <x v="55"/>
    <x v="509"/>
    <x v="3"/>
    <x v="0"/>
    <n v="112.58"/>
  </r>
  <r>
    <x v="3"/>
    <x v="9"/>
    <x v="55"/>
    <x v="510"/>
    <x v="1"/>
    <x v="0"/>
    <n v="132.59"/>
  </r>
  <r>
    <x v="110"/>
    <x v="9"/>
    <x v="55"/>
    <x v="511"/>
    <x v="1"/>
    <x v="4"/>
    <n v="351.92"/>
  </r>
  <r>
    <x v="91"/>
    <x v="9"/>
    <x v="55"/>
    <x v="511"/>
    <x v="1"/>
    <x v="4"/>
    <n v="351.92"/>
  </r>
  <r>
    <x v="3"/>
    <x v="9"/>
    <x v="55"/>
    <x v="512"/>
    <x v="1"/>
    <x v="0"/>
    <n v="108.98"/>
  </r>
  <r>
    <x v="41"/>
    <x v="9"/>
    <x v="55"/>
    <x v="513"/>
    <x v="4"/>
    <x v="0"/>
    <n v="224.42"/>
  </r>
  <r>
    <x v="33"/>
    <x v="9"/>
    <x v="55"/>
    <x v="513"/>
    <x v="4"/>
    <x v="0"/>
    <n v="104.99"/>
  </r>
  <r>
    <x v="33"/>
    <x v="9"/>
    <x v="55"/>
    <x v="513"/>
    <x v="4"/>
    <x v="0"/>
    <n v="626.20000000000005"/>
  </r>
  <r>
    <x v="5"/>
    <x v="9"/>
    <x v="55"/>
    <x v="514"/>
    <x v="1"/>
    <x v="0"/>
    <n v="247.95"/>
  </r>
  <r>
    <x v="3"/>
    <x v="9"/>
    <x v="14"/>
    <x v="515"/>
    <x v="3"/>
    <x v="0"/>
    <n v="-873.9"/>
  </r>
  <r>
    <x v="48"/>
    <x v="9"/>
    <x v="14"/>
    <x v="516"/>
    <x v="4"/>
    <x v="0"/>
    <n v="-873.9"/>
  </r>
  <r>
    <x v="119"/>
    <x v="9"/>
    <x v="14"/>
    <x v="516"/>
    <x v="4"/>
    <x v="0"/>
    <n v="-873.9"/>
  </r>
  <r>
    <x v="29"/>
    <x v="9"/>
    <x v="14"/>
    <x v="516"/>
    <x v="4"/>
    <x v="0"/>
    <n v="-196.62"/>
  </r>
  <r>
    <x v="51"/>
    <x v="9"/>
    <x v="14"/>
    <x v="516"/>
    <x v="4"/>
    <x v="0"/>
    <n v="-873.96"/>
  </r>
  <r>
    <x v="55"/>
    <x v="9"/>
    <x v="14"/>
    <x v="516"/>
    <x v="4"/>
    <x v="0"/>
    <n v="-873.96"/>
  </r>
  <r>
    <x v="108"/>
    <x v="9"/>
    <x v="14"/>
    <x v="517"/>
    <x v="1"/>
    <x v="0"/>
    <n v="-163.86"/>
  </r>
  <r>
    <x v="87"/>
    <x v="9"/>
    <x v="14"/>
    <x v="517"/>
    <x v="1"/>
    <x v="0"/>
    <n v="-360.45"/>
  </r>
  <r>
    <x v="80"/>
    <x v="9"/>
    <x v="14"/>
    <x v="517"/>
    <x v="1"/>
    <x v="0"/>
    <n v="-900"/>
  </r>
  <r>
    <x v="3"/>
    <x v="9"/>
    <x v="14"/>
    <x v="517"/>
    <x v="1"/>
    <x v="0"/>
    <n v="-873.9"/>
  </r>
  <r>
    <x v="3"/>
    <x v="9"/>
    <x v="14"/>
    <x v="517"/>
    <x v="1"/>
    <x v="0"/>
    <n v="-873.96"/>
  </r>
  <r>
    <x v="3"/>
    <x v="9"/>
    <x v="14"/>
    <x v="517"/>
    <x v="1"/>
    <x v="0"/>
    <n v="-900"/>
  </r>
  <r>
    <x v="119"/>
    <x v="9"/>
    <x v="14"/>
    <x v="518"/>
    <x v="2"/>
    <x v="0"/>
    <n v="-873.9"/>
  </r>
  <r>
    <x v="48"/>
    <x v="9"/>
    <x v="14"/>
    <x v="519"/>
    <x v="3"/>
    <x v="0"/>
    <n v="-873.9"/>
  </r>
  <r>
    <x v="11"/>
    <x v="9"/>
    <x v="56"/>
    <x v="520"/>
    <x v="4"/>
    <x v="0"/>
    <n v="540"/>
  </r>
  <r>
    <x v="81"/>
    <x v="9"/>
    <x v="56"/>
    <x v="520"/>
    <x v="4"/>
    <x v="0"/>
    <n v="2160"/>
  </r>
  <r>
    <x v="17"/>
    <x v="9"/>
    <x v="56"/>
    <x v="520"/>
    <x v="4"/>
    <x v="0"/>
    <n v="2700"/>
  </r>
  <r>
    <x v="19"/>
    <x v="9"/>
    <x v="56"/>
    <x v="520"/>
    <x v="4"/>
    <x v="0"/>
    <n v="1620"/>
  </r>
  <r>
    <x v="0"/>
    <x v="9"/>
    <x v="56"/>
    <x v="521"/>
    <x v="3"/>
    <x v="0"/>
    <n v="2100"/>
  </r>
  <r>
    <x v="74"/>
    <x v="9"/>
    <x v="56"/>
    <x v="521"/>
    <x v="3"/>
    <x v="0"/>
    <n v="2100"/>
  </r>
  <r>
    <x v="106"/>
    <x v="9"/>
    <x v="56"/>
    <x v="521"/>
    <x v="3"/>
    <x v="0"/>
    <n v="3200"/>
  </r>
  <r>
    <x v="3"/>
    <x v="9"/>
    <x v="56"/>
    <x v="521"/>
    <x v="3"/>
    <x v="0"/>
    <n v="3200"/>
  </r>
  <r>
    <x v="19"/>
    <x v="9"/>
    <x v="56"/>
    <x v="521"/>
    <x v="3"/>
    <x v="0"/>
    <n v="3200"/>
  </r>
  <r>
    <x v="55"/>
    <x v="9"/>
    <x v="56"/>
    <x v="521"/>
    <x v="3"/>
    <x v="0"/>
    <n v="2000"/>
  </r>
  <r>
    <x v="55"/>
    <x v="9"/>
    <x v="56"/>
    <x v="521"/>
    <x v="3"/>
    <x v="0"/>
    <n v="1300"/>
  </r>
  <r>
    <x v="61"/>
    <x v="9"/>
    <x v="56"/>
    <x v="522"/>
    <x v="1"/>
    <x v="0"/>
    <n v="2920"/>
  </r>
  <r>
    <x v="62"/>
    <x v="9"/>
    <x v="56"/>
    <x v="522"/>
    <x v="1"/>
    <x v="0"/>
    <n v="2920"/>
  </r>
  <r>
    <x v="3"/>
    <x v="9"/>
    <x v="56"/>
    <x v="522"/>
    <x v="1"/>
    <x v="0"/>
    <n v="3650"/>
  </r>
  <r>
    <x v="51"/>
    <x v="9"/>
    <x v="56"/>
    <x v="522"/>
    <x v="1"/>
    <x v="0"/>
    <n v="730"/>
  </r>
  <r>
    <x v="5"/>
    <x v="9"/>
    <x v="56"/>
    <x v="522"/>
    <x v="1"/>
    <x v="0"/>
    <n v="730"/>
  </r>
  <r>
    <x v="76"/>
    <x v="9"/>
    <x v="56"/>
    <x v="523"/>
    <x v="2"/>
    <x v="0"/>
    <n v="1300"/>
  </r>
  <r>
    <x v="6"/>
    <x v="9"/>
    <x v="56"/>
    <x v="523"/>
    <x v="2"/>
    <x v="0"/>
    <n v="760"/>
  </r>
  <r>
    <x v="121"/>
    <x v="9"/>
    <x v="56"/>
    <x v="523"/>
    <x v="2"/>
    <x v="0"/>
    <n v="760"/>
  </r>
  <r>
    <x v="35"/>
    <x v="9"/>
    <x v="56"/>
    <x v="523"/>
    <x v="2"/>
    <x v="0"/>
    <n v="380"/>
  </r>
  <r>
    <x v="3"/>
    <x v="9"/>
    <x v="56"/>
    <x v="523"/>
    <x v="2"/>
    <x v="0"/>
    <n v="1140"/>
  </r>
  <r>
    <x v="53"/>
    <x v="9"/>
    <x v="56"/>
    <x v="523"/>
    <x v="2"/>
    <x v="0"/>
    <n v="380"/>
  </r>
  <r>
    <x v="55"/>
    <x v="9"/>
    <x v="56"/>
    <x v="523"/>
    <x v="2"/>
    <x v="0"/>
    <n v="1300"/>
  </r>
  <r>
    <x v="33"/>
    <x v="9"/>
    <x v="57"/>
    <x v="524"/>
    <x v="2"/>
    <x v="0"/>
    <n v="1039.27"/>
  </r>
  <r>
    <x v="58"/>
    <x v="10"/>
    <x v="58"/>
    <x v="525"/>
    <x v="4"/>
    <x v="1"/>
    <n v="100"/>
  </r>
  <r>
    <x v="145"/>
    <x v="10"/>
    <x v="58"/>
    <x v="526"/>
    <x v="1"/>
    <x v="1"/>
    <n v="387.48"/>
  </r>
  <r>
    <x v="34"/>
    <x v="10"/>
    <x v="58"/>
    <x v="527"/>
    <x v="1"/>
    <x v="1"/>
    <n v="139.9"/>
  </r>
  <r>
    <x v="3"/>
    <x v="10"/>
    <x v="58"/>
    <x v="527"/>
    <x v="1"/>
    <x v="1"/>
    <n v="149.9"/>
  </r>
  <r>
    <x v="108"/>
    <x v="10"/>
    <x v="58"/>
    <x v="528"/>
    <x v="0"/>
    <x v="1"/>
    <n v="380"/>
  </r>
  <r>
    <x v="60"/>
    <x v="10"/>
    <x v="58"/>
    <x v="529"/>
    <x v="1"/>
    <x v="1"/>
    <n v="276.88"/>
  </r>
  <r>
    <x v="115"/>
    <x v="10"/>
    <x v="58"/>
    <x v="529"/>
    <x v="1"/>
    <x v="1"/>
    <n v="12"/>
  </r>
  <r>
    <x v="115"/>
    <x v="10"/>
    <x v="58"/>
    <x v="529"/>
    <x v="1"/>
    <x v="1"/>
    <n v="323.05"/>
  </r>
  <r>
    <x v="118"/>
    <x v="10"/>
    <x v="58"/>
    <x v="529"/>
    <x v="1"/>
    <x v="3"/>
    <n v="285.23"/>
  </r>
  <r>
    <x v="48"/>
    <x v="10"/>
    <x v="58"/>
    <x v="529"/>
    <x v="4"/>
    <x v="1"/>
    <n v="384.2"/>
  </r>
  <r>
    <x v="49"/>
    <x v="10"/>
    <x v="58"/>
    <x v="529"/>
    <x v="4"/>
    <x v="1"/>
    <n v="421.66"/>
  </r>
  <r>
    <x v="50"/>
    <x v="10"/>
    <x v="58"/>
    <x v="529"/>
    <x v="1"/>
    <x v="1"/>
    <n v="453.95"/>
  </r>
  <r>
    <x v="78"/>
    <x v="10"/>
    <x v="58"/>
    <x v="529"/>
    <x v="4"/>
    <x v="1"/>
    <n v="353.65"/>
  </r>
  <r>
    <x v="3"/>
    <x v="10"/>
    <x v="58"/>
    <x v="529"/>
    <x v="4"/>
    <x v="1"/>
    <n v="363.27"/>
  </r>
  <r>
    <x v="3"/>
    <x v="10"/>
    <x v="58"/>
    <x v="529"/>
    <x v="1"/>
    <x v="1"/>
    <n v="434.76"/>
  </r>
  <r>
    <x v="3"/>
    <x v="10"/>
    <x v="58"/>
    <x v="529"/>
    <x v="1"/>
    <x v="1"/>
    <n v="18.059999999999999"/>
  </r>
  <r>
    <x v="3"/>
    <x v="10"/>
    <x v="58"/>
    <x v="529"/>
    <x v="1"/>
    <x v="1"/>
    <n v="167.31"/>
  </r>
  <r>
    <x v="12"/>
    <x v="10"/>
    <x v="58"/>
    <x v="529"/>
    <x v="4"/>
    <x v="1"/>
    <n v="368.07"/>
  </r>
  <r>
    <x v="92"/>
    <x v="10"/>
    <x v="58"/>
    <x v="529"/>
    <x v="4"/>
    <x v="1"/>
    <n v="340.01"/>
  </r>
  <r>
    <x v="51"/>
    <x v="10"/>
    <x v="58"/>
    <x v="529"/>
    <x v="4"/>
    <x v="1"/>
    <n v="446.7"/>
  </r>
  <r>
    <x v="94"/>
    <x v="10"/>
    <x v="58"/>
    <x v="529"/>
    <x v="4"/>
    <x v="1"/>
    <n v="452.34"/>
  </r>
  <r>
    <x v="94"/>
    <x v="10"/>
    <x v="58"/>
    <x v="529"/>
    <x v="1"/>
    <x v="1"/>
    <n v="251.58"/>
  </r>
  <r>
    <x v="139"/>
    <x v="10"/>
    <x v="58"/>
    <x v="530"/>
    <x v="1"/>
    <x v="1"/>
    <n v="397.44"/>
  </r>
  <r>
    <x v="16"/>
    <x v="10"/>
    <x v="58"/>
    <x v="531"/>
    <x v="4"/>
    <x v="1"/>
    <n v="200"/>
  </r>
  <r>
    <x v="143"/>
    <x v="10"/>
    <x v="58"/>
    <x v="532"/>
    <x v="2"/>
    <x v="0"/>
    <n v="100"/>
  </r>
  <r>
    <x v="0"/>
    <x v="10"/>
    <x v="58"/>
    <x v="533"/>
    <x v="1"/>
    <x v="1"/>
    <n v="100"/>
  </r>
  <r>
    <x v="120"/>
    <x v="10"/>
    <x v="58"/>
    <x v="534"/>
    <x v="1"/>
    <x v="3"/>
    <n v="389.05"/>
  </r>
  <r>
    <x v="93"/>
    <x v="10"/>
    <x v="58"/>
    <x v="535"/>
    <x v="0"/>
    <x v="0"/>
    <n v="100"/>
  </r>
  <r>
    <x v="93"/>
    <x v="10"/>
    <x v="58"/>
    <x v="535"/>
    <x v="0"/>
    <x v="0"/>
    <n v="50"/>
  </r>
  <r>
    <x v="43"/>
    <x v="10"/>
    <x v="59"/>
    <x v="536"/>
    <x v="1"/>
    <x v="1"/>
    <n v="65"/>
  </r>
  <r>
    <x v="119"/>
    <x v="10"/>
    <x v="59"/>
    <x v="536"/>
    <x v="1"/>
    <x v="1"/>
    <n v="120"/>
  </r>
  <r>
    <x v="81"/>
    <x v="10"/>
    <x v="59"/>
    <x v="536"/>
    <x v="1"/>
    <x v="1"/>
    <n v="45"/>
  </r>
  <r>
    <x v="3"/>
    <x v="10"/>
    <x v="59"/>
    <x v="536"/>
    <x v="1"/>
    <x v="1"/>
    <n v="60"/>
  </r>
  <r>
    <x v="3"/>
    <x v="10"/>
    <x v="59"/>
    <x v="537"/>
    <x v="1"/>
    <x v="1"/>
    <n v="35"/>
  </r>
  <r>
    <x v="108"/>
    <x v="10"/>
    <x v="59"/>
    <x v="538"/>
    <x v="1"/>
    <x v="1"/>
    <n v="37"/>
  </r>
  <r>
    <x v="3"/>
    <x v="10"/>
    <x v="59"/>
    <x v="539"/>
    <x v="1"/>
    <x v="1"/>
    <n v="35"/>
  </r>
  <r>
    <x v="3"/>
    <x v="10"/>
    <x v="59"/>
    <x v="540"/>
    <x v="4"/>
    <x v="1"/>
    <n v="16"/>
  </r>
  <r>
    <x v="3"/>
    <x v="10"/>
    <x v="59"/>
    <x v="541"/>
    <x v="1"/>
    <x v="1"/>
    <n v="30"/>
  </r>
  <r>
    <x v="72"/>
    <x v="10"/>
    <x v="59"/>
    <x v="542"/>
    <x v="1"/>
    <x v="1"/>
    <n v="25"/>
  </r>
  <r>
    <x v="18"/>
    <x v="10"/>
    <x v="59"/>
    <x v="543"/>
    <x v="3"/>
    <x v="0"/>
    <n v="457.33"/>
  </r>
  <r>
    <x v="104"/>
    <x v="10"/>
    <x v="59"/>
    <x v="543"/>
    <x v="3"/>
    <x v="0"/>
    <n v="490"/>
  </r>
  <r>
    <x v="105"/>
    <x v="10"/>
    <x v="59"/>
    <x v="544"/>
    <x v="1"/>
    <x v="1"/>
    <n v="40"/>
  </r>
  <r>
    <x v="3"/>
    <x v="10"/>
    <x v="59"/>
    <x v="544"/>
    <x v="1"/>
    <x v="1"/>
    <n v="45"/>
  </r>
  <r>
    <x v="41"/>
    <x v="10"/>
    <x v="59"/>
    <x v="545"/>
    <x v="1"/>
    <x v="1"/>
    <n v="32"/>
  </r>
  <r>
    <x v="115"/>
    <x v="10"/>
    <x v="59"/>
    <x v="546"/>
    <x v="1"/>
    <x v="1"/>
    <n v="59.99"/>
  </r>
  <r>
    <x v="3"/>
    <x v="10"/>
    <x v="59"/>
    <x v="547"/>
    <x v="1"/>
    <x v="1"/>
    <n v="40"/>
  </r>
  <r>
    <x v="3"/>
    <x v="10"/>
    <x v="59"/>
    <x v="547"/>
    <x v="1"/>
    <x v="1"/>
    <n v="40"/>
  </r>
  <r>
    <x v="15"/>
    <x v="10"/>
    <x v="59"/>
    <x v="548"/>
    <x v="4"/>
    <x v="1"/>
    <n v="25"/>
  </r>
  <r>
    <x v="3"/>
    <x v="10"/>
    <x v="59"/>
    <x v="549"/>
    <x v="1"/>
    <x v="1"/>
    <n v="90"/>
  </r>
  <r>
    <x v="3"/>
    <x v="10"/>
    <x v="59"/>
    <x v="550"/>
    <x v="1"/>
    <x v="1"/>
    <n v="35"/>
  </r>
  <r>
    <x v="35"/>
    <x v="10"/>
    <x v="59"/>
    <x v="551"/>
    <x v="1"/>
    <x v="1"/>
    <n v="45"/>
  </r>
  <r>
    <x v="3"/>
    <x v="10"/>
    <x v="59"/>
    <x v="552"/>
    <x v="1"/>
    <x v="1"/>
    <n v="45"/>
  </r>
  <r>
    <x v="78"/>
    <x v="10"/>
    <x v="59"/>
    <x v="553"/>
    <x v="4"/>
    <x v="1"/>
    <n v="40"/>
  </r>
  <r>
    <x v="24"/>
    <x v="10"/>
    <x v="59"/>
    <x v="554"/>
    <x v="0"/>
    <x v="0"/>
    <n v="400"/>
  </r>
  <r>
    <x v="67"/>
    <x v="10"/>
    <x v="60"/>
    <x v="555"/>
    <x v="1"/>
    <x v="1"/>
    <n v="28"/>
  </r>
  <r>
    <x v="69"/>
    <x v="10"/>
    <x v="61"/>
    <x v="556"/>
    <x v="1"/>
    <x v="0"/>
    <n v="368.59"/>
  </r>
  <r>
    <x v="74"/>
    <x v="10"/>
    <x v="61"/>
    <x v="556"/>
    <x v="1"/>
    <x v="0"/>
    <n v="368.59"/>
  </r>
  <r>
    <x v="22"/>
    <x v="10"/>
    <x v="61"/>
    <x v="556"/>
    <x v="1"/>
    <x v="0"/>
    <n v="368.59"/>
  </r>
  <r>
    <x v="3"/>
    <x v="10"/>
    <x v="61"/>
    <x v="556"/>
    <x v="1"/>
    <x v="0"/>
    <n v="368.59"/>
  </r>
  <r>
    <x v="83"/>
    <x v="10"/>
    <x v="61"/>
    <x v="556"/>
    <x v="1"/>
    <x v="0"/>
    <n v="368.59"/>
  </r>
  <r>
    <x v="69"/>
    <x v="10"/>
    <x v="61"/>
    <x v="557"/>
    <x v="1"/>
    <x v="0"/>
    <n v="440.88"/>
  </r>
  <r>
    <x v="74"/>
    <x v="10"/>
    <x v="61"/>
    <x v="557"/>
    <x v="1"/>
    <x v="0"/>
    <n v="440.88"/>
  </r>
  <r>
    <x v="77"/>
    <x v="10"/>
    <x v="61"/>
    <x v="557"/>
    <x v="1"/>
    <x v="0"/>
    <n v="440.88"/>
  </r>
  <r>
    <x v="3"/>
    <x v="10"/>
    <x v="61"/>
    <x v="557"/>
    <x v="1"/>
    <x v="0"/>
    <n v="440.88"/>
  </r>
  <r>
    <x v="4"/>
    <x v="10"/>
    <x v="61"/>
    <x v="557"/>
    <x v="1"/>
    <x v="0"/>
    <n v="440.88"/>
  </r>
  <r>
    <x v="65"/>
    <x v="10"/>
    <x v="61"/>
    <x v="558"/>
    <x v="1"/>
    <x v="0"/>
    <n v="1333.35"/>
  </r>
  <r>
    <x v="72"/>
    <x v="10"/>
    <x v="61"/>
    <x v="558"/>
    <x v="1"/>
    <x v="0"/>
    <n v="1333.35"/>
  </r>
  <r>
    <x v="57"/>
    <x v="10"/>
    <x v="61"/>
    <x v="558"/>
    <x v="1"/>
    <x v="0"/>
    <n v="1333.35"/>
  </r>
  <r>
    <x v="3"/>
    <x v="10"/>
    <x v="61"/>
    <x v="558"/>
    <x v="1"/>
    <x v="0"/>
    <n v="1333.35"/>
  </r>
  <r>
    <x v="9"/>
    <x v="10"/>
    <x v="61"/>
    <x v="558"/>
    <x v="1"/>
    <x v="0"/>
    <n v="1333.35"/>
  </r>
  <r>
    <x v="41"/>
    <x v="10"/>
    <x v="61"/>
    <x v="559"/>
    <x v="2"/>
    <x v="0"/>
    <n v="1070.46"/>
  </r>
  <r>
    <x v="28"/>
    <x v="10"/>
    <x v="61"/>
    <x v="559"/>
    <x v="2"/>
    <x v="0"/>
    <n v="1070.46"/>
  </r>
  <r>
    <x v="29"/>
    <x v="10"/>
    <x v="61"/>
    <x v="559"/>
    <x v="2"/>
    <x v="0"/>
    <n v="1070.46"/>
  </r>
  <r>
    <x v="3"/>
    <x v="10"/>
    <x v="61"/>
    <x v="559"/>
    <x v="2"/>
    <x v="0"/>
    <n v="1070.46"/>
  </r>
  <r>
    <x v="6"/>
    <x v="10"/>
    <x v="61"/>
    <x v="559"/>
    <x v="2"/>
    <x v="0"/>
    <n v="1070.46"/>
  </r>
  <r>
    <x v="41"/>
    <x v="10"/>
    <x v="61"/>
    <x v="560"/>
    <x v="1"/>
    <x v="0"/>
    <n v="4512.3599999999997"/>
  </r>
  <r>
    <x v="28"/>
    <x v="10"/>
    <x v="61"/>
    <x v="560"/>
    <x v="1"/>
    <x v="0"/>
    <n v="4512.3599999999997"/>
  </r>
  <r>
    <x v="29"/>
    <x v="10"/>
    <x v="61"/>
    <x v="560"/>
    <x v="1"/>
    <x v="0"/>
    <n v="4512.3599999999997"/>
  </r>
  <r>
    <x v="3"/>
    <x v="10"/>
    <x v="61"/>
    <x v="560"/>
    <x v="1"/>
    <x v="0"/>
    <n v="4512.3599999999997"/>
  </r>
  <r>
    <x v="6"/>
    <x v="10"/>
    <x v="61"/>
    <x v="560"/>
    <x v="1"/>
    <x v="0"/>
    <n v="4512.3599999999997"/>
  </r>
  <r>
    <x v="0"/>
    <x v="10"/>
    <x v="61"/>
    <x v="561"/>
    <x v="3"/>
    <x v="0"/>
    <n v="828.17"/>
  </r>
  <r>
    <x v="74"/>
    <x v="10"/>
    <x v="61"/>
    <x v="561"/>
    <x v="3"/>
    <x v="0"/>
    <n v="828.17"/>
  </r>
  <r>
    <x v="22"/>
    <x v="10"/>
    <x v="61"/>
    <x v="561"/>
    <x v="3"/>
    <x v="0"/>
    <n v="828.17"/>
  </r>
  <r>
    <x v="3"/>
    <x v="10"/>
    <x v="61"/>
    <x v="561"/>
    <x v="3"/>
    <x v="0"/>
    <n v="828.17"/>
  </r>
  <r>
    <x v="23"/>
    <x v="10"/>
    <x v="61"/>
    <x v="561"/>
    <x v="3"/>
    <x v="0"/>
    <n v="828.17"/>
  </r>
  <r>
    <x v="41"/>
    <x v="10"/>
    <x v="61"/>
    <x v="562"/>
    <x v="1"/>
    <x v="0"/>
    <n v="38440.15"/>
  </r>
  <r>
    <x v="50"/>
    <x v="10"/>
    <x v="4"/>
    <x v="563"/>
    <x v="2"/>
    <x v="1"/>
    <n v="200"/>
  </r>
  <r>
    <x v="44"/>
    <x v="10"/>
    <x v="4"/>
    <x v="564"/>
    <x v="1"/>
    <x v="0"/>
    <n v="78.28"/>
  </r>
  <r>
    <x v="7"/>
    <x v="10"/>
    <x v="4"/>
    <x v="565"/>
    <x v="1"/>
    <x v="0"/>
    <n v="250"/>
  </r>
  <r>
    <x v="37"/>
    <x v="10"/>
    <x v="4"/>
    <x v="119"/>
    <x v="0"/>
    <x v="0"/>
    <n v="375"/>
  </r>
  <r>
    <x v="28"/>
    <x v="10"/>
    <x v="4"/>
    <x v="566"/>
    <x v="1"/>
    <x v="0"/>
    <n v="500"/>
  </r>
  <r>
    <x v="20"/>
    <x v="10"/>
    <x v="4"/>
    <x v="567"/>
    <x v="1"/>
    <x v="0"/>
    <n v="240"/>
  </r>
  <r>
    <x v="44"/>
    <x v="10"/>
    <x v="4"/>
    <x v="568"/>
    <x v="1"/>
    <x v="0"/>
    <n v="100"/>
  </r>
  <r>
    <x v="44"/>
    <x v="10"/>
    <x v="4"/>
    <x v="568"/>
    <x v="1"/>
    <x v="0"/>
    <n v="120"/>
  </r>
  <r>
    <x v="84"/>
    <x v="10"/>
    <x v="4"/>
    <x v="569"/>
    <x v="1"/>
    <x v="0"/>
    <n v="750"/>
  </r>
  <r>
    <x v="106"/>
    <x v="10"/>
    <x v="4"/>
    <x v="570"/>
    <x v="2"/>
    <x v="0"/>
    <n v="7200"/>
  </r>
  <r>
    <x v="124"/>
    <x v="10"/>
    <x v="4"/>
    <x v="570"/>
    <x v="2"/>
    <x v="0"/>
    <n v="2700"/>
  </r>
  <r>
    <x v="108"/>
    <x v="10"/>
    <x v="4"/>
    <x v="571"/>
    <x v="3"/>
    <x v="0"/>
    <n v="6160"/>
  </r>
  <r>
    <x v="128"/>
    <x v="10"/>
    <x v="4"/>
    <x v="572"/>
    <x v="1"/>
    <x v="0"/>
    <n v="1150"/>
  </r>
  <r>
    <x v="107"/>
    <x v="10"/>
    <x v="4"/>
    <x v="573"/>
    <x v="1"/>
    <x v="0"/>
    <n v="1500"/>
  </r>
  <r>
    <x v="107"/>
    <x v="10"/>
    <x v="4"/>
    <x v="574"/>
    <x v="3"/>
    <x v="0"/>
    <n v="2940"/>
  </r>
  <r>
    <x v="107"/>
    <x v="10"/>
    <x v="4"/>
    <x v="575"/>
    <x v="1"/>
    <x v="0"/>
    <n v="2060"/>
  </r>
  <r>
    <x v="53"/>
    <x v="10"/>
    <x v="4"/>
    <x v="576"/>
    <x v="1"/>
    <x v="0"/>
    <n v="190"/>
  </r>
  <r>
    <x v="7"/>
    <x v="10"/>
    <x v="4"/>
    <x v="576"/>
    <x v="1"/>
    <x v="0"/>
    <n v="190"/>
  </r>
  <r>
    <x v="64"/>
    <x v="10"/>
    <x v="62"/>
    <x v="577"/>
    <x v="2"/>
    <x v="0"/>
    <n v="169.69"/>
  </r>
  <r>
    <x v="15"/>
    <x v="10"/>
    <x v="62"/>
    <x v="577"/>
    <x v="2"/>
    <x v="0"/>
    <n v="169.69"/>
  </r>
  <r>
    <x v="16"/>
    <x v="10"/>
    <x v="62"/>
    <x v="577"/>
    <x v="2"/>
    <x v="0"/>
    <n v="173.87"/>
  </r>
  <r>
    <x v="3"/>
    <x v="10"/>
    <x v="62"/>
    <x v="577"/>
    <x v="2"/>
    <x v="0"/>
    <n v="173.87"/>
  </r>
  <r>
    <x v="93"/>
    <x v="10"/>
    <x v="62"/>
    <x v="578"/>
    <x v="0"/>
    <x v="0"/>
    <n v="87.72"/>
  </r>
  <r>
    <x v="67"/>
    <x v="10"/>
    <x v="62"/>
    <x v="578"/>
    <x v="0"/>
    <x v="0"/>
    <n v="89.01"/>
  </r>
  <r>
    <x v="41"/>
    <x v="10"/>
    <x v="62"/>
    <x v="579"/>
    <x v="3"/>
    <x v="0"/>
    <n v="72.44"/>
  </r>
  <r>
    <x v="74"/>
    <x v="10"/>
    <x v="62"/>
    <x v="579"/>
    <x v="3"/>
    <x v="0"/>
    <n v="72.44"/>
  </r>
  <r>
    <x v="77"/>
    <x v="10"/>
    <x v="62"/>
    <x v="579"/>
    <x v="3"/>
    <x v="0"/>
    <n v="73.16"/>
  </r>
  <r>
    <x v="3"/>
    <x v="10"/>
    <x v="62"/>
    <x v="579"/>
    <x v="3"/>
    <x v="0"/>
    <n v="73.16"/>
  </r>
  <r>
    <x v="12"/>
    <x v="10"/>
    <x v="62"/>
    <x v="579"/>
    <x v="3"/>
    <x v="0"/>
    <n v="39.9"/>
  </r>
  <r>
    <x v="3"/>
    <x v="10"/>
    <x v="62"/>
    <x v="580"/>
    <x v="2"/>
    <x v="0"/>
    <n v="100"/>
  </r>
  <r>
    <x v="3"/>
    <x v="10"/>
    <x v="62"/>
    <x v="580"/>
    <x v="2"/>
    <x v="0"/>
    <n v="39.9"/>
  </r>
  <r>
    <x v="3"/>
    <x v="10"/>
    <x v="62"/>
    <x v="581"/>
    <x v="3"/>
    <x v="0"/>
    <n v="100"/>
  </r>
  <r>
    <x v="69"/>
    <x v="10"/>
    <x v="63"/>
    <x v="582"/>
    <x v="1"/>
    <x v="0"/>
    <n v="306.82"/>
  </r>
  <r>
    <x v="65"/>
    <x v="10"/>
    <x v="63"/>
    <x v="583"/>
    <x v="4"/>
    <x v="0"/>
    <n v="139.18"/>
  </r>
  <r>
    <x v="69"/>
    <x v="10"/>
    <x v="63"/>
    <x v="584"/>
    <x v="1"/>
    <x v="0"/>
    <n v="276.92"/>
  </r>
  <r>
    <x v="50"/>
    <x v="10"/>
    <x v="6"/>
    <x v="585"/>
    <x v="4"/>
    <x v="0"/>
    <n v="460.62"/>
  </r>
  <r>
    <x v="3"/>
    <x v="10"/>
    <x v="6"/>
    <x v="585"/>
    <x v="4"/>
    <x v="0"/>
    <n v="361.31"/>
  </r>
  <r>
    <x v="68"/>
    <x v="10"/>
    <x v="6"/>
    <x v="585"/>
    <x v="4"/>
    <x v="0"/>
    <n v="460.65"/>
  </r>
  <r>
    <x v="74"/>
    <x v="10"/>
    <x v="6"/>
    <x v="585"/>
    <x v="4"/>
    <x v="0"/>
    <n v="460.62"/>
  </r>
  <r>
    <x v="4"/>
    <x v="10"/>
    <x v="6"/>
    <x v="585"/>
    <x v="4"/>
    <x v="0"/>
    <n v="361.31"/>
  </r>
  <r>
    <x v="55"/>
    <x v="10"/>
    <x v="6"/>
    <x v="585"/>
    <x v="4"/>
    <x v="0"/>
    <n v="361.31"/>
  </r>
  <r>
    <x v="25"/>
    <x v="10"/>
    <x v="6"/>
    <x v="586"/>
    <x v="4"/>
    <x v="1"/>
    <n v="770.91"/>
  </r>
  <r>
    <x v="14"/>
    <x v="10"/>
    <x v="6"/>
    <x v="587"/>
    <x v="1"/>
    <x v="1"/>
    <n v="1015.27"/>
  </r>
  <r>
    <x v="31"/>
    <x v="10"/>
    <x v="6"/>
    <x v="587"/>
    <x v="1"/>
    <x v="1"/>
    <n v="1015.27"/>
  </r>
  <r>
    <x v="30"/>
    <x v="10"/>
    <x v="6"/>
    <x v="587"/>
    <x v="1"/>
    <x v="1"/>
    <n v="1015.27"/>
  </r>
  <r>
    <x v="3"/>
    <x v="10"/>
    <x v="6"/>
    <x v="587"/>
    <x v="1"/>
    <x v="1"/>
    <n v="1015.27"/>
  </r>
  <r>
    <x v="142"/>
    <x v="10"/>
    <x v="6"/>
    <x v="587"/>
    <x v="1"/>
    <x v="1"/>
    <n v="1015.27"/>
  </r>
  <r>
    <x v="37"/>
    <x v="10"/>
    <x v="6"/>
    <x v="587"/>
    <x v="1"/>
    <x v="1"/>
    <n v="1015.27"/>
  </r>
  <r>
    <x v="68"/>
    <x v="10"/>
    <x v="6"/>
    <x v="588"/>
    <x v="3"/>
    <x v="0"/>
    <n v="491.36"/>
  </r>
  <r>
    <x v="10"/>
    <x v="10"/>
    <x v="6"/>
    <x v="588"/>
    <x v="3"/>
    <x v="0"/>
    <n v="273.42"/>
  </r>
  <r>
    <x v="24"/>
    <x v="10"/>
    <x v="64"/>
    <x v="589"/>
    <x v="4"/>
    <x v="0"/>
    <n v="28"/>
  </r>
  <r>
    <x v="3"/>
    <x v="10"/>
    <x v="64"/>
    <x v="590"/>
    <x v="4"/>
    <x v="0"/>
    <n v="42"/>
  </r>
  <r>
    <x v="3"/>
    <x v="10"/>
    <x v="64"/>
    <x v="590"/>
    <x v="4"/>
    <x v="0"/>
    <n v="43"/>
  </r>
  <r>
    <x v="3"/>
    <x v="10"/>
    <x v="64"/>
    <x v="590"/>
    <x v="4"/>
    <x v="0"/>
    <n v="42"/>
  </r>
  <r>
    <x v="3"/>
    <x v="10"/>
    <x v="64"/>
    <x v="590"/>
    <x v="4"/>
    <x v="0"/>
    <n v="17"/>
  </r>
  <r>
    <x v="36"/>
    <x v="10"/>
    <x v="64"/>
    <x v="590"/>
    <x v="4"/>
    <x v="0"/>
    <n v="55"/>
  </r>
  <r>
    <x v="82"/>
    <x v="10"/>
    <x v="64"/>
    <x v="590"/>
    <x v="4"/>
    <x v="0"/>
    <n v="25"/>
  </r>
  <r>
    <x v="20"/>
    <x v="10"/>
    <x v="64"/>
    <x v="590"/>
    <x v="4"/>
    <x v="0"/>
    <n v="47"/>
  </r>
  <r>
    <x v="64"/>
    <x v="10"/>
    <x v="64"/>
    <x v="590"/>
    <x v="4"/>
    <x v="0"/>
    <n v="318"/>
  </r>
  <r>
    <x v="47"/>
    <x v="10"/>
    <x v="64"/>
    <x v="590"/>
    <x v="4"/>
    <x v="0"/>
    <n v="80"/>
  </r>
  <r>
    <x v="2"/>
    <x v="10"/>
    <x v="64"/>
    <x v="590"/>
    <x v="4"/>
    <x v="0"/>
    <n v="218"/>
  </r>
  <r>
    <x v="12"/>
    <x v="10"/>
    <x v="64"/>
    <x v="591"/>
    <x v="2"/>
    <x v="0"/>
    <n v="53"/>
  </r>
  <r>
    <x v="36"/>
    <x v="10"/>
    <x v="64"/>
    <x v="591"/>
    <x v="2"/>
    <x v="0"/>
    <n v="47"/>
  </r>
  <r>
    <x v="32"/>
    <x v="10"/>
    <x v="64"/>
    <x v="591"/>
    <x v="2"/>
    <x v="0"/>
    <n v="29"/>
  </r>
  <r>
    <x v="51"/>
    <x v="10"/>
    <x v="64"/>
    <x v="591"/>
    <x v="2"/>
    <x v="0"/>
    <n v="32"/>
  </r>
  <r>
    <x v="69"/>
    <x v="10"/>
    <x v="64"/>
    <x v="591"/>
    <x v="2"/>
    <x v="0"/>
    <n v="25"/>
  </r>
  <r>
    <x v="47"/>
    <x v="10"/>
    <x v="64"/>
    <x v="591"/>
    <x v="2"/>
    <x v="0"/>
    <n v="87"/>
  </r>
  <r>
    <x v="55"/>
    <x v="10"/>
    <x v="64"/>
    <x v="591"/>
    <x v="2"/>
    <x v="0"/>
    <n v="20"/>
  </r>
  <r>
    <x v="3"/>
    <x v="10"/>
    <x v="64"/>
    <x v="592"/>
    <x v="1"/>
    <x v="0"/>
    <n v="37"/>
  </r>
  <r>
    <x v="3"/>
    <x v="10"/>
    <x v="64"/>
    <x v="592"/>
    <x v="1"/>
    <x v="0"/>
    <n v="10.199999999999999"/>
  </r>
  <r>
    <x v="3"/>
    <x v="10"/>
    <x v="64"/>
    <x v="592"/>
    <x v="1"/>
    <x v="0"/>
    <n v="32"/>
  </r>
  <r>
    <x v="3"/>
    <x v="10"/>
    <x v="64"/>
    <x v="592"/>
    <x v="1"/>
    <x v="0"/>
    <n v="3.4"/>
  </r>
  <r>
    <x v="115"/>
    <x v="10"/>
    <x v="64"/>
    <x v="592"/>
    <x v="1"/>
    <x v="0"/>
    <n v="50"/>
  </r>
  <r>
    <x v="67"/>
    <x v="10"/>
    <x v="64"/>
    <x v="592"/>
    <x v="1"/>
    <x v="0"/>
    <n v="45"/>
  </r>
  <r>
    <x v="3"/>
    <x v="10"/>
    <x v="64"/>
    <x v="593"/>
    <x v="3"/>
    <x v="0"/>
    <n v="3.4"/>
  </r>
  <r>
    <x v="3"/>
    <x v="10"/>
    <x v="64"/>
    <x v="593"/>
    <x v="3"/>
    <x v="0"/>
    <n v="42"/>
  </r>
  <r>
    <x v="3"/>
    <x v="10"/>
    <x v="64"/>
    <x v="593"/>
    <x v="3"/>
    <x v="0"/>
    <n v="37"/>
  </r>
  <r>
    <x v="140"/>
    <x v="10"/>
    <x v="64"/>
    <x v="593"/>
    <x v="3"/>
    <x v="0"/>
    <n v="29"/>
  </r>
  <r>
    <x v="154"/>
    <x v="10"/>
    <x v="64"/>
    <x v="593"/>
    <x v="3"/>
    <x v="0"/>
    <n v="42"/>
  </r>
  <r>
    <x v="143"/>
    <x v="10"/>
    <x v="64"/>
    <x v="593"/>
    <x v="3"/>
    <x v="0"/>
    <n v="37"/>
  </r>
  <r>
    <x v="82"/>
    <x v="10"/>
    <x v="64"/>
    <x v="593"/>
    <x v="3"/>
    <x v="0"/>
    <n v="52"/>
  </r>
  <r>
    <x v="98"/>
    <x v="10"/>
    <x v="64"/>
    <x v="593"/>
    <x v="3"/>
    <x v="0"/>
    <n v="25"/>
  </r>
  <r>
    <x v="92"/>
    <x v="10"/>
    <x v="64"/>
    <x v="593"/>
    <x v="3"/>
    <x v="0"/>
    <n v="37"/>
  </r>
  <r>
    <x v="20"/>
    <x v="10"/>
    <x v="64"/>
    <x v="593"/>
    <x v="3"/>
    <x v="0"/>
    <n v="55"/>
  </r>
  <r>
    <x v="109"/>
    <x v="10"/>
    <x v="64"/>
    <x v="593"/>
    <x v="3"/>
    <x v="0"/>
    <n v="37"/>
  </r>
  <r>
    <x v="28"/>
    <x v="10"/>
    <x v="64"/>
    <x v="593"/>
    <x v="3"/>
    <x v="0"/>
    <n v="92"/>
  </r>
  <r>
    <x v="2"/>
    <x v="10"/>
    <x v="64"/>
    <x v="593"/>
    <x v="3"/>
    <x v="0"/>
    <n v="199"/>
  </r>
  <r>
    <x v="24"/>
    <x v="10"/>
    <x v="64"/>
    <x v="593"/>
    <x v="3"/>
    <x v="0"/>
    <n v="32"/>
  </r>
  <r>
    <x v="100"/>
    <x v="10"/>
    <x v="64"/>
    <x v="594"/>
    <x v="1"/>
    <x v="0"/>
    <n v="137.4"/>
  </r>
  <r>
    <x v="31"/>
    <x v="10"/>
    <x v="64"/>
    <x v="594"/>
    <x v="1"/>
    <x v="0"/>
    <n v="317.39999999999998"/>
  </r>
  <r>
    <x v="75"/>
    <x v="10"/>
    <x v="64"/>
    <x v="595"/>
    <x v="4"/>
    <x v="0"/>
    <n v="25.9"/>
  </r>
  <r>
    <x v="148"/>
    <x v="10"/>
    <x v="64"/>
    <x v="595"/>
    <x v="4"/>
    <x v="0"/>
    <n v="25.9"/>
  </r>
  <r>
    <x v="3"/>
    <x v="10"/>
    <x v="64"/>
    <x v="595"/>
    <x v="4"/>
    <x v="0"/>
    <n v="25.9"/>
  </r>
  <r>
    <x v="144"/>
    <x v="10"/>
    <x v="64"/>
    <x v="595"/>
    <x v="4"/>
    <x v="0"/>
    <n v="25.9"/>
  </r>
  <r>
    <x v="13"/>
    <x v="10"/>
    <x v="64"/>
    <x v="595"/>
    <x v="4"/>
    <x v="0"/>
    <n v="25.9"/>
  </r>
  <r>
    <x v="45"/>
    <x v="10"/>
    <x v="64"/>
    <x v="596"/>
    <x v="1"/>
    <x v="0"/>
    <n v="58.17"/>
  </r>
  <r>
    <x v="75"/>
    <x v="10"/>
    <x v="64"/>
    <x v="596"/>
    <x v="1"/>
    <x v="0"/>
    <n v="58.17"/>
  </r>
  <r>
    <x v="148"/>
    <x v="10"/>
    <x v="64"/>
    <x v="596"/>
    <x v="1"/>
    <x v="0"/>
    <n v="58.17"/>
  </r>
  <r>
    <x v="3"/>
    <x v="10"/>
    <x v="64"/>
    <x v="596"/>
    <x v="1"/>
    <x v="0"/>
    <n v="58.17"/>
  </r>
  <r>
    <x v="144"/>
    <x v="10"/>
    <x v="64"/>
    <x v="596"/>
    <x v="1"/>
    <x v="0"/>
    <n v="58.17"/>
  </r>
  <r>
    <x v="13"/>
    <x v="10"/>
    <x v="64"/>
    <x v="596"/>
    <x v="1"/>
    <x v="0"/>
    <n v="58.17"/>
  </r>
  <r>
    <x v="45"/>
    <x v="10"/>
    <x v="64"/>
    <x v="597"/>
    <x v="2"/>
    <x v="0"/>
    <n v="49.08"/>
  </r>
  <r>
    <x v="13"/>
    <x v="10"/>
    <x v="64"/>
    <x v="597"/>
    <x v="2"/>
    <x v="0"/>
    <n v="49.08"/>
  </r>
  <r>
    <x v="75"/>
    <x v="10"/>
    <x v="64"/>
    <x v="597"/>
    <x v="2"/>
    <x v="0"/>
    <n v="49.08"/>
  </r>
  <r>
    <x v="148"/>
    <x v="10"/>
    <x v="64"/>
    <x v="597"/>
    <x v="2"/>
    <x v="0"/>
    <n v="49.08"/>
  </r>
  <r>
    <x v="3"/>
    <x v="10"/>
    <x v="64"/>
    <x v="597"/>
    <x v="2"/>
    <x v="0"/>
    <n v="49.08"/>
  </r>
  <r>
    <x v="144"/>
    <x v="10"/>
    <x v="64"/>
    <x v="597"/>
    <x v="2"/>
    <x v="0"/>
    <n v="49.08"/>
  </r>
  <r>
    <x v="39"/>
    <x v="10"/>
    <x v="64"/>
    <x v="598"/>
    <x v="1"/>
    <x v="0"/>
    <n v="57.77"/>
  </r>
  <r>
    <x v="75"/>
    <x v="10"/>
    <x v="64"/>
    <x v="598"/>
    <x v="1"/>
    <x v="0"/>
    <n v="57.77"/>
  </r>
  <r>
    <x v="148"/>
    <x v="10"/>
    <x v="64"/>
    <x v="598"/>
    <x v="1"/>
    <x v="0"/>
    <n v="57.77"/>
  </r>
  <r>
    <x v="3"/>
    <x v="10"/>
    <x v="64"/>
    <x v="598"/>
    <x v="1"/>
    <x v="0"/>
    <n v="57.77"/>
  </r>
  <r>
    <x v="144"/>
    <x v="10"/>
    <x v="64"/>
    <x v="598"/>
    <x v="1"/>
    <x v="0"/>
    <n v="57.77"/>
  </r>
  <r>
    <x v="13"/>
    <x v="10"/>
    <x v="64"/>
    <x v="598"/>
    <x v="1"/>
    <x v="0"/>
    <n v="57.77"/>
  </r>
  <r>
    <x v="45"/>
    <x v="10"/>
    <x v="64"/>
    <x v="599"/>
    <x v="3"/>
    <x v="0"/>
    <n v="49.08"/>
  </r>
  <r>
    <x v="75"/>
    <x v="10"/>
    <x v="64"/>
    <x v="599"/>
    <x v="3"/>
    <x v="0"/>
    <n v="49.08"/>
  </r>
  <r>
    <x v="148"/>
    <x v="10"/>
    <x v="64"/>
    <x v="599"/>
    <x v="3"/>
    <x v="0"/>
    <n v="49.08"/>
  </r>
  <r>
    <x v="3"/>
    <x v="10"/>
    <x v="64"/>
    <x v="599"/>
    <x v="3"/>
    <x v="0"/>
    <n v="49.08"/>
  </r>
  <r>
    <x v="144"/>
    <x v="10"/>
    <x v="64"/>
    <x v="599"/>
    <x v="3"/>
    <x v="0"/>
    <n v="49.08"/>
  </r>
  <r>
    <x v="13"/>
    <x v="10"/>
    <x v="64"/>
    <x v="599"/>
    <x v="3"/>
    <x v="0"/>
    <n v="49.08"/>
  </r>
  <r>
    <x v="75"/>
    <x v="10"/>
    <x v="64"/>
    <x v="600"/>
    <x v="1"/>
    <x v="0"/>
    <n v="25.9"/>
  </r>
  <r>
    <x v="148"/>
    <x v="10"/>
    <x v="64"/>
    <x v="600"/>
    <x v="1"/>
    <x v="0"/>
    <n v="25.9"/>
  </r>
  <r>
    <x v="3"/>
    <x v="10"/>
    <x v="64"/>
    <x v="600"/>
    <x v="1"/>
    <x v="0"/>
    <n v="25.9"/>
  </r>
  <r>
    <x v="144"/>
    <x v="10"/>
    <x v="64"/>
    <x v="600"/>
    <x v="1"/>
    <x v="0"/>
    <n v="25.9"/>
  </r>
  <r>
    <x v="13"/>
    <x v="10"/>
    <x v="64"/>
    <x v="600"/>
    <x v="1"/>
    <x v="0"/>
    <n v="25.9"/>
  </r>
  <r>
    <x v="45"/>
    <x v="10"/>
    <x v="64"/>
    <x v="601"/>
    <x v="1"/>
    <x v="0"/>
    <n v="27.25"/>
  </r>
  <r>
    <x v="75"/>
    <x v="10"/>
    <x v="64"/>
    <x v="601"/>
    <x v="1"/>
    <x v="0"/>
    <n v="27.25"/>
  </r>
  <r>
    <x v="148"/>
    <x v="10"/>
    <x v="64"/>
    <x v="601"/>
    <x v="1"/>
    <x v="0"/>
    <n v="27.25"/>
  </r>
  <r>
    <x v="3"/>
    <x v="10"/>
    <x v="64"/>
    <x v="601"/>
    <x v="1"/>
    <x v="0"/>
    <n v="27.25"/>
  </r>
  <r>
    <x v="144"/>
    <x v="10"/>
    <x v="64"/>
    <x v="601"/>
    <x v="1"/>
    <x v="0"/>
    <n v="27.25"/>
  </r>
  <r>
    <x v="13"/>
    <x v="10"/>
    <x v="64"/>
    <x v="601"/>
    <x v="1"/>
    <x v="0"/>
    <n v="27.25"/>
  </r>
  <r>
    <x v="45"/>
    <x v="10"/>
    <x v="64"/>
    <x v="602"/>
    <x v="1"/>
    <x v="0"/>
    <n v="27.25"/>
  </r>
  <r>
    <x v="55"/>
    <x v="10"/>
    <x v="64"/>
    <x v="603"/>
    <x v="4"/>
    <x v="0"/>
    <n v="13.7"/>
  </r>
  <r>
    <x v="55"/>
    <x v="10"/>
    <x v="64"/>
    <x v="603"/>
    <x v="4"/>
    <x v="0"/>
    <n v="6.1"/>
  </r>
  <r>
    <x v="94"/>
    <x v="10"/>
    <x v="64"/>
    <x v="603"/>
    <x v="4"/>
    <x v="0"/>
    <n v="6.1"/>
  </r>
  <r>
    <x v="94"/>
    <x v="10"/>
    <x v="64"/>
    <x v="603"/>
    <x v="4"/>
    <x v="0"/>
    <n v="13.7"/>
  </r>
  <r>
    <x v="3"/>
    <x v="10"/>
    <x v="64"/>
    <x v="604"/>
    <x v="4"/>
    <x v="0"/>
    <n v="13.7"/>
  </r>
  <r>
    <x v="3"/>
    <x v="10"/>
    <x v="64"/>
    <x v="604"/>
    <x v="4"/>
    <x v="0"/>
    <n v="6.1"/>
  </r>
  <r>
    <x v="3"/>
    <x v="10"/>
    <x v="64"/>
    <x v="604"/>
    <x v="4"/>
    <x v="0"/>
    <n v="13.7"/>
  </r>
  <r>
    <x v="3"/>
    <x v="10"/>
    <x v="64"/>
    <x v="604"/>
    <x v="4"/>
    <x v="0"/>
    <n v="6.1"/>
  </r>
  <r>
    <x v="3"/>
    <x v="10"/>
    <x v="64"/>
    <x v="604"/>
    <x v="4"/>
    <x v="0"/>
    <n v="3.5"/>
  </r>
  <r>
    <x v="3"/>
    <x v="10"/>
    <x v="64"/>
    <x v="604"/>
    <x v="4"/>
    <x v="0"/>
    <n v="13.7"/>
  </r>
  <r>
    <x v="3"/>
    <x v="10"/>
    <x v="64"/>
    <x v="604"/>
    <x v="4"/>
    <x v="0"/>
    <n v="6.1"/>
  </r>
  <r>
    <x v="3"/>
    <x v="10"/>
    <x v="64"/>
    <x v="604"/>
    <x v="4"/>
    <x v="0"/>
    <n v="6.1"/>
  </r>
  <r>
    <x v="3"/>
    <x v="10"/>
    <x v="64"/>
    <x v="604"/>
    <x v="4"/>
    <x v="0"/>
    <n v="13.7"/>
  </r>
  <r>
    <x v="3"/>
    <x v="10"/>
    <x v="64"/>
    <x v="604"/>
    <x v="4"/>
    <x v="0"/>
    <n v="13.7"/>
  </r>
  <r>
    <x v="3"/>
    <x v="10"/>
    <x v="64"/>
    <x v="604"/>
    <x v="4"/>
    <x v="0"/>
    <n v="6.1"/>
  </r>
  <r>
    <x v="3"/>
    <x v="10"/>
    <x v="64"/>
    <x v="604"/>
    <x v="4"/>
    <x v="0"/>
    <n v="6.1"/>
  </r>
  <r>
    <x v="3"/>
    <x v="10"/>
    <x v="64"/>
    <x v="604"/>
    <x v="4"/>
    <x v="0"/>
    <n v="13.7"/>
  </r>
  <r>
    <x v="32"/>
    <x v="10"/>
    <x v="64"/>
    <x v="604"/>
    <x v="4"/>
    <x v="0"/>
    <n v="13.7"/>
  </r>
  <r>
    <x v="32"/>
    <x v="10"/>
    <x v="64"/>
    <x v="604"/>
    <x v="4"/>
    <x v="0"/>
    <n v="6.1"/>
  </r>
  <r>
    <x v="124"/>
    <x v="10"/>
    <x v="64"/>
    <x v="604"/>
    <x v="4"/>
    <x v="0"/>
    <n v="6.1"/>
  </r>
  <r>
    <x v="124"/>
    <x v="10"/>
    <x v="64"/>
    <x v="604"/>
    <x v="4"/>
    <x v="0"/>
    <n v="13.7"/>
  </r>
  <r>
    <x v="4"/>
    <x v="10"/>
    <x v="64"/>
    <x v="604"/>
    <x v="4"/>
    <x v="0"/>
    <n v="3.99"/>
  </r>
  <r>
    <x v="4"/>
    <x v="10"/>
    <x v="64"/>
    <x v="604"/>
    <x v="4"/>
    <x v="0"/>
    <n v="9.31"/>
  </r>
  <r>
    <x v="4"/>
    <x v="10"/>
    <x v="64"/>
    <x v="604"/>
    <x v="4"/>
    <x v="0"/>
    <n v="10.6"/>
  </r>
  <r>
    <x v="4"/>
    <x v="10"/>
    <x v="64"/>
    <x v="604"/>
    <x v="4"/>
    <x v="0"/>
    <n v="6.1"/>
  </r>
  <r>
    <x v="4"/>
    <x v="10"/>
    <x v="64"/>
    <x v="604"/>
    <x v="4"/>
    <x v="0"/>
    <n v="6.1"/>
  </r>
  <r>
    <x v="4"/>
    <x v="10"/>
    <x v="64"/>
    <x v="604"/>
    <x v="4"/>
    <x v="0"/>
    <n v="13.7"/>
  </r>
  <r>
    <x v="51"/>
    <x v="10"/>
    <x v="64"/>
    <x v="604"/>
    <x v="4"/>
    <x v="0"/>
    <n v="13.7"/>
  </r>
  <r>
    <x v="51"/>
    <x v="10"/>
    <x v="64"/>
    <x v="604"/>
    <x v="4"/>
    <x v="0"/>
    <n v="6.1"/>
  </r>
  <r>
    <x v="137"/>
    <x v="10"/>
    <x v="64"/>
    <x v="604"/>
    <x v="4"/>
    <x v="0"/>
    <n v="6.1"/>
  </r>
  <r>
    <x v="137"/>
    <x v="10"/>
    <x v="64"/>
    <x v="604"/>
    <x v="4"/>
    <x v="0"/>
    <n v="13.7"/>
  </r>
  <r>
    <x v="60"/>
    <x v="10"/>
    <x v="64"/>
    <x v="604"/>
    <x v="4"/>
    <x v="0"/>
    <n v="107.7"/>
  </r>
  <r>
    <x v="61"/>
    <x v="10"/>
    <x v="64"/>
    <x v="604"/>
    <x v="4"/>
    <x v="0"/>
    <n v="3.2"/>
  </r>
  <r>
    <x v="61"/>
    <x v="10"/>
    <x v="64"/>
    <x v="604"/>
    <x v="4"/>
    <x v="0"/>
    <n v="53.400000000000006"/>
  </r>
  <r>
    <x v="2"/>
    <x v="10"/>
    <x v="64"/>
    <x v="604"/>
    <x v="4"/>
    <x v="0"/>
    <n v="249.49999999999997"/>
  </r>
  <r>
    <x v="141"/>
    <x v="10"/>
    <x v="64"/>
    <x v="605"/>
    <x v="2"/>
    <x v="0"/>
    <n v="13.7"/>
  </r>
  <r>
    <x v="141"/>
    <x v="10"/>
    <x v="64"/>
    <x v="605"/>
    <x v="2"/>
    <x v="0"/>
    <n v="6.1"/>
  </r>
  <r>
    <x v="59"/>
    <x v="10"/>
    <x v="64"/>
    <x v="605"/>
    <x v="2"/>
    <x v="0"/>
    <n v="6.1"/>
  </r>
  <r>
    <x v="59"/>
    <x v="10"/>
    <x v="64"/>
    <x v="605"/>
    <x v="2"/>
    <x v="0"/>
    <n v="13.7"/>
  </r>
  <r>
    <x v="136"/>
    <x v="10"/>
    <x v="64"/>
    <x v="605"/>
    <x v="2"/>
    <x v="0"/>
    <n v="13.7"/>
  </r>
  <r>
    <x v="136"/>
    <x v="10"/>
    <x v="64"/>
    <x v="605"/>
    <x v="2"/>
    <x v="0"/>
    <n v="6.1"/>
  </r>
  <r>
    <x v="137"/>
    <x v="10"/>
    <x v="64"/>
    <x v="605"/>
    <x v="2"/>
    <x v="0"/>
    <n v="6.1"/>
  </r>
  <r>
    <x v="137"/>
    <x v="10"/>
    <x v="64"/>
    <x v="605"/>
    <x v="2"/>
    <x v="0"/>
    <n v="13.7"/>
  </r>
  <r>
    <x v="2"/>
    <x v="10"/>
    <x v="64"/>
    <x v="605"/>
    <x v="2"/>
    <x v="0"/>
    <n v="79.2"/>
  </r>
  <r>
    <x v="18"/>
    <x v="10"/>
    <x v="64"/>
    <x v="605"/>
    <x v="2"/>
    <x v="0"/>
    <n v="13.7"/>
  </r>
  <r>
    <x v="18"/>
    <x v="10"/>
    <x v="64"/>
    <x v="605"/>
    <x v="2"/>
    <x v="0"/>
    <n v="6.1"/>
  </r>
  <r>
    <x v="155"/>
    <x v="10"/>
    <x v="64"/>
    <x v="605"/>
    <x v="2"/>
    <x v="0"/>
    <n v="13.7"/>
  </r>
  <r>
    <x v="155"/>
    <x v="10"/>
    <x v="64"/>
    <x v="605"/>
    <x v="2"/>
    <x v="0"/>
    <n v="13.7"/>
  </r>
  <r>
    <x v="54"/>
    <x v="10"/>
    <x v="64"/>
    <x v="605"/>
    <x v="2"/>
    <x v="0"/>
    <n v="13.6"/>
  </r>
  <r>
    <x v="54"/>
    <x v="10"/>
    <x v="64"/>
    <x v="605"/>
    <x v="2"/>
    <x v="0"/>
    <n v="17.600000000000001"/>
  </r>
  <r>
    <x v="54"/>
    <x v="10"/>
    <x v="64"/>
    <x v="605"/>
    <x v="2"/>
    <x v="0"/>
    <n v="10.5"/>
  </r>
  <r>
    <x v="54"/>
    <x v="10"/>
    <x v="64"/>
    <x v="605"/>
    <x v="2"/>
    <x v="0"/>
    <n v="6.6"/>
  </r>
  <r>
    <x v="139"/>
    <x v="10"/>
    <x v="64"/>
    <x v="605"/>
    <x v="2"/>
    <x v="0"/>
    <n v="6.6"/>
  </r>
  <r>
    <x v="139"/>
    <x v="10"/>
    <x v="64"/>
    <x v="605"/>
    <x v="2"/>
    <x v="0"/>
    <n v="10.5"/>
  </r>
  <r>
    <x v="139"/>
    <x v="10"/>
    <x v="64"/>
    <x v="605"/>
    <x v="2"/>
    <x v="0"/>
    <n v="17.600000000000001"/>
  </r>
  <r>
    <x v="139"/>
    <x v="10"/>
    <x v="64"/>
    <x v="605"/>
    <x v="2"/>
    <x v="0"/>
    <n v="13.6"/>
  </r>
  <r>
    <x v="139"/>
    <x v="10"/>
    <x v="64"/>
    <x v="605"/>
    <x v="2"/>
    <x v="0"/>
    <n v="13.7"/>
  </r>
  <r>
    <x v="123"/>
    <x v="10"/>
    <x v="64"/>
    <x v="605"/>
    <x v="2"/>
    <x v="0"/>
    <n v="13.7"/>
  </r>
  <r>
    <x v="123"/>
    <x v="10"/>
    <x v="64"/>
    <x v="605"/>
    <x v="2"/>
    <x v="0"/>
    <n v="6.1"/>
  </r>
  <r>
    <x v="94"/>
    <x v="10"/>
    <x v="64"/>
    <x v="605"/>
    <x v="2"/>
    <x v="0"/>
    <n v="6.1"/>
  </r>
  <r>
    <x v="94"/>
    <x v="10"/>
    <x v="64"/>
    <x v="605"/>
    <x v="2"/>
    <x v="0"/>
    <n v="13.7"/>
  </r>
  <r>
    <x v="3"/>
    <x v="10"/>
    <x v="64"/>
    <x v="606"/>
    <x v="1"/>
    <x v="0"/>
    <n v="13.7"/>
  </r>
  <r>
    <x v="3"/>
    <x v="10"/>
    <x v="64"/>
    <x v="606"/>
    <x v="1"/>
    <x v="0"/>
    <n v="6.1"/>
  </r>
  <r>
    <x v="3"/>
    <x v="10"/>
    <x v="64"/>
    <x v="606"/>
    <x v="1"/>
    <x v="0"/>
    <n v="107.8"/>
  </r>
  <r>
    <x v="3"/>
    <x v="10"/>
    <x v="64"/>
    <x v="606"/>
    <x v="1"/>
    <x v="0"/>
    <n v="6.1"/>
  </r>
  <r>
    <x v="3"/>
    <x v="10"/>
    <x v="64"/>
    <x v="606"/>
    <x v="1"/>
    <x v="0"/>
    <n v="13.7"/>
  </r>
  <r>
    <x v="149"/>
    <x v="10"/>
    <x v="64"/>
    <x v="606"/>
    <x v="1"/>
    <x v="0"/>
    <n v="13.7"/>
  </r>
  <r>
    <x v="149"/>
    <x v="10"/>
    <x v="64"/>
    <x v="606"/>
    <x v="1"/>
    <x v="0"/>
    <n v="6.1"/>
  </r>
  <r>
    <x v="143"/>
    <x v="10"/>
    <x v="64"/>
    <x v="606"/>
    <x v="1"/>
    <x v="0"/>
    <n v="6.1"/>
  </r>
  <r>
    <x v="143"/>
    <x v="10"/>
    <x v="64"/>
    <x v="606"/>
    <x v="1"/>
    <x v="0"/>
    <n v="13.7"/>
  </r>
  <r>
    <x v="23"/>
    <x v="10"/>
    <x v="64"/>
    <x v="606"/>
    <x v="1"/>
    <x v="0"/>
    <n v="13.7"/>
  </r>
  <r>
    <x v="23"/>
    <x v="10"/>
    <x v="64"/>
    <x v="606"/>
    <x v="1"/>
    <x v="0"/>
    <n v="6.1"/>
  </r>
  <r>
    <x v="59"/>
    <x v="10"/>
    <x v="64"/>
    <x v="606"/>
    <x v="1"/>
    <x v="0"/>
    <n v="6.1"/>
  </r>
  <r>
    <x v="59"/>
    <x v="10"/>
    <x v="64"/>
    <x v="606"/>
    <x v="1"/>
    <x v="0"/>
    <n v="13.7"/>
  </r>
  <r>
    <x v="115"/>
    <x v="10"/>
    <x v="64"/>
    <x v="606"/>
    <x v="1"/>
    <x v="0"/>
    <n v="106.52"/>
  </r>
  <r>
    <x v="118"/>
    <x v="10"/>
    <x v="64"/>
    <x v="606"/>
    <x v="1"/>
    <x v="0"/>
    <n v="39.599999999999994"/>
  </r>
  <r>
    <x v="2"/>
    <x v="10"/>
    <x v="64"/>
    <x v="606"/>
    <x v="1"/>
    <x v="0"/>
    <n v="39.599999999999994"/>
  </r>
  <r>
    <x v="103"/>
    <x v="10"/>
    <x v="64"/>
    <x v="606"/>
    <x v="1"/>
    <x v="0"/>
    <n v="13.7"/>
  </r>
  <r>
    <x v="103"/>
    <x v="10"/>
    <x v="64"/>
    <x v="606"/>
    <x v="1"/>
    <x v="0"/>
    <n v="6.1"/>
  </r>
  <r>
    <x v="139"/>
    <x v="10"/>
    <x v="64"/>
    <x v="606"/>
    <x v="1"/>
    <x v="0"/>
    <n v="6.1"/>
  </r>
  <r>
    <x v="139"/>
    <x v="10"/>
    <x v="64"/>
    <x v="606"/>
    <x v="1"/>
    <x v="0"/>
    <n v="13.7"/>
  </r>
  <r>
    <x v="3"/>
    <x v="10"/>
    <x v="64"/>
    <x v="607"/>
    <x v="3"/>
    <x v="0"/>
    <n v="13.7"/>
  </r>
  <r>
    <x v="3"/>
    <x v="10"/>
    <x v="64"/>
    <x v="607"/>
    <x v="3"/>
    <x v="0"/>
    <n v="6.1"/>
  </r>
  <r>
    <x v="3"/>
    <x v="10"/>
    <x v="64"/>
    <x v="607"/>
    <x v="3"/>
    <x v="0"/>
    <n v="6.1"/>
  </r>
  <r>
    <x v="3"/>
    <x v="10"/>
    <x v="64"/>
    <x v="607"/>
    <x v="3"/>
    <x v="0"/>
    <n v="13.7"/>
  </r>
  <r>
    <x v="149"/>
    <x v="10"/>
    <x v="64"/>
    <x v="607"/>
    <x v="3"/>
    <x v="0"/>
    <n v="13.7"/>
  </r>
  <r>
    <x v="149"/>
    <x v="10"/>
    <x v="64"/>
    <x v="607"/>
    <x v="3"/>
    <x v="0"/>
    <n v="6.1"/>
  </r>
  <r>
    <x v="143"/>
    <x v="10"/>
    <x v="64"/>
    <x v="607"/>
    <x v="3"/>
    <x v="0"/>
    <n v="6.1"/>
  </r>
  <r>
    <x v="143"/>
    <x v="10"/>
    <x v="64"/>
    <x v="607"/>
    <x v="3"/>
    <x v="0"/>
    <n v="13.7"/>
  </r>
  <r>
    <x v="51"/>
    <x v="10"/>
    <x v="64"/>
    <x v="607"/>
    <x v="3"/>
    <x v="0"/>
    <n v="13.7"/>
  </r>
  <r>
    <x v="51"/>
    <x v="10"/>
    <x v="64"/>
    <x v="607"/>
    <x v="3"/>
    <x v="0"/>
    <n v="6.1"/>
  </r>
  <r>
    <x v="137"/>
    <x v="10"/>
    <x v="64"/>
    <x v="607"/>
    <x v="3"/>
    <x v="0"/>
    <n v="6.1"/>
  </r>
  <r>
    <x v="137"/>
    <x v="10"/>
    <x v="64"/>
    <x v="607"/>
    <x v="3"/>
    <x v="0"/>
    <n v="13.7"/>
  </r>
  <r>
    <x v="120"/>
    <x v="10"/>
    <x v="64"/>
    <x v="607"/>
    <x v="3"/>
    <x v="0"/>
    <n v="39.599999999999994"/>
  </r>
  <r>
    <x v="2"/>
    <x v="10"/>
    <x v="64"/>
    <x v="607"/>
    <x v="3"/>
    <x v="0"/>
    <n v="143.32999999999998"/>
  </r>
  <r>
    <x v="94"/>
    <x v="10"/>
    <x v="64"/>
    <x v="607"/>
    <x v="3"/>
    <x v="0"/>
    <n v="13.7"/>
  </r>
  <r>
    <x v="94"/>
    <x v="10"/>
    <x v="64"/>
    <x v="607"/>
    <x v="3"/>
    <x v="0"/>
    <n v="6.1"/>
  </r>
  <r>
    <x v="94"/>
    <x v="10"/>
    <x v="64"/>
    <x v="607"/>
    <x v="3"/>
    <x v="0"/>
    <n v="6.1"/>
  </r>
  <r>
    <x v="94"/>
    <x v="10"/>
    <x v="64"/>
    <x v="607"/>
    <x v="3"/>
    <x v="0"/>
    <n v="13.7"/>
  </r>
  <r>
    <x v="156"/>
    <x v="10"/>
    <x v="64"/>
    <x v="607"/>
    <x v="3"/>
    <x v="0"/>
    <n v="13.7"/>
  </r>
  <r>
    <x v="156"/>
    <x v="10"/>
    <x v="64"/>
    <x v="607"/>
    <x v="3"/>
    <x v="0"/>
    <n v="6.1"/>
  </r>
  <r>
    <x v="15"/>
    <x v="10"/>
    <x v="64"/>
    <x v="608"/>
    <x v="1"/>
    <x v="0"/>
    <n v="13.7"/>
  </r>
  <r>
    <x v="2"/>
    <x v="10"/>
    <x v="64"/>
    <x v="608"/>
    <x v="1"/>
    <x v="0"/>
    <n v="79.2"/>
  </r>
  <r>
    <x v="95"/>
    <x v="11"/>
    <x v="65"/>
    <x v="609"/>
    <x v="0"/>
    <x v="1"/>
    <n v="120.83"/>
  </r>
  <r>
    <x v="156"/>
    <x v="11"/>
    <x v="65"/>
    <x v="609"/>
    <x v="0"/>
    <x v="1"/>
    <n v="292.85000000000002"/>
  </r>
  <r>
    <x v="26"/>
    <x v="11"/>
    <x v="65"/>
    <x v="610"/>
    <x v="0"/>
    <x v="1"/>
    <n v="689.6"/>
  </r>
  <r>
    <x v="26"/>
    <x v="11"/>
    <x v="65"/>
    <x v="610"/>
    <x v="0"/>
    <x v="1"/>
    <n v="890.62"/>
  </r>
  <r>
    <x v="157"/>
    <x v="11"/>
    <x v="65"/>
    <x v="611"/>
    <x v="0"/>
    <x v="1"/>
    <n v="314.86"/>
  </r>
  <r>
    <x v="26"/>
    <x v="11"/>
    <x v="65"/>
    <x v="612"/>
    <x v="0"/>
    <x v="1"/>
    <n v="144.63999999999999"/>
  </r>
  <r>
    <x v="63"/>
    <x v="11"/>
    <x v="65"/>
    <x v="613"/>
    <x v="0"/>
    <x v="1"/>
    <n v="836.57"/>
  </r>
  <r>
    <x v="155"/>
    <x v="11"/>
    <x v="65"/>
    <x v="613"/>
    <x v="0"/>
    <x v="1"/>
    <n v="287.39999999999998"/>
  </r>
  <r>
    <x v="7"/>
    <x v="11"/>
    <x v="65"/>
    <x v="614"/>
    <x v="0"/>
    <x v="1"/>
    <n v="95.68"/>
  </r>
  <r>
    <x v="37"/>
    <x v="11"/>
    <x v="65"/>
    <x v="615"/>
    <x v="0"/>
    <x v="1"/>
    <n v="93.75"/>
  </r>
  <r>
    <x v="155"/>
    <x v="11"/>
    <x v="65"/>
    <x v="616"/>
    <x v="0"/>
    <x v="1"/>
    <n v="134.11000000000001"/>
  </r>
  <r>
    <x v="155"/>
    <x v="11"/>
    <x v="65"/>
    <x v="616"/>
    <x v="0"/>
    <x v="1"/>
    <n v="134.11000000000001"/>
  </r>
  <r>
    <x v="63"/>
    <x v="11"/>
    <x v="65"/>
    <x v="617"/>
    <x v="0"/>
    <x v="1"/>
    <n v="77.89"/>
  </r>
  <r>
    <x v="53"/>
    <x v="11"/>
    <x v="65"/>
    <x v="618"/>
    <x v="0"/>
    <x v="1"/>
    <n v="57.47"/>
  </r>
  <r>
    <x v="84"/>
    <x v="11"/>
    <x v="65"/>
    <x v="211"/>
    <x v="0"/>
    <x v="1"/>
    <n v="66.900000000000006"/>
  </r>
  <r>
    <x v="101"/>
    <x v="11"/>
    <x v="65"/>
    <x v="619"/>
    <x v="0"/>
    <x v="1"/>
    <n v="7997.31"/>
  </r>
  <r>
    <x v="156"/>
    <x v="11"/>
    <x v="65"/>
    <x v="619"/>
    <x v="0"/>
    <x v="1"/>
    <n v="2754.48"/>
  </r>
  <r>
    <x v="3"/>
    <x v="11"/>
    <x v="65"/>
    <x v="214"/>
    <x v="0"/>
    <x v="1"/>
    <n v="263.33"/>
  </r>
  <r>
    <x v="158"/>
    <x v="11"/>
    <x v="65"/>
    <x v="620"/>
    <x v="0"/>
    <x v="1"/>
    <n v="43.47"/>
  </r>
  <r>
    <x v="13"/>
    <x v="11"/>
    <x v="65"/>
    <x v="621"/>
    <x v="0"/>
    <x v="1"/>
    <n v="31.46"/>
  </r>
  <r>
    <x v="63"/>
    <x v="11"/>
    <x v="65"/>
    <x v="622"/>
    <x v="0"/>
    <x v="1"/>
    <n v="79.849999999999994"/>
  </r>
  <r>
    <x v="18"/>
    <x v="11"/>
    <x v="65"/>
    <x v="623"/>
    <x v="0"/>
    <x v="1"/>
    <n v="90.28"/>
  </r>
  <r>
    <x v="157"/>
    <x v="11"/>
    <x v="65"/>
    <x v="624"/>
    <x v="0"/>
    <x v="1"/>
    <n v="264.48"/>
  </r>
  <r>
    <x v="42"/>
    <x v="11"/>
    <x v="65"/>
    <x v="625"/>
    <x v="0"/>
    <x v="1"/>
    <n v="162.56"/>
  </r>
  <r>
    <x v="80"/>
    <x v="11"/>
    <x v="65"/>
    <x v="626"/>
    <x v="0"/>
    <x v="1"/>
    <n v="89.39"/>
  </r>
  <r>
    <x v="135"/>
    <x v="11"/>
    <x v="65"/>
    <x v="627"/>
    <x v="0"/>
    <x v="1"/>
    <n v="46.69"/>
  </r>
  <r>
    <x v="157"/>
    <x v="11"/>
    <x v="65"/>
    <x v="628"/>
    <x v="0"/>
    <x v="1"/>
    <n v="1322.33"/>
  </r>
  <r>
    <x v="135"/>
    <x v="11"/>
    <x v="65"/>
    <x v="629"/>
    <x v="0"/>
    <x v="1"/>
    <n v="33.31"/>
  </r>
  <r>
    <x v="19"/>
    <x v="11"/>
    <x v="65"/>
    <x v="630"/>
    <x v="0"/>
    <x v="1"/>
    <n v="1283.28"/>
  </r>
  <r>
    <x v="127"/>
    <x v="11"/>
    <x v="65"/>
    <x v="631"/>
    <x v="0"/>
    <x v="1"/>
    <n v="948"/>
  </r>
  <r>
    <x v="118"/>
    <x v="11"/>
    <x v="65"/>
    <x v="632"/>
    <x v="2"/>
    <x v="1"/>
    <n v="100.29"/>
  </r>
  <r>
    <x v="5"/>
    <x v="11"/>
    <x v="65"/>
    <x v="633"/>
    <x v="0"/>
    <x v="1"/>
    <n v="256.61"/>
  </r>
  <r>
    <x v="3"/>
    <x v="11"/>
    <x v="65"/>
    <x v="148"/>
    <x v="1"/>
    <x v="1"/>
    <n v="10.55"/>
  </r>
  <r>
    <x v="80"/>
    <x v="11"/>
    <x v="65"/>
    <x v="634"/>
    <x v="0"/>
    <x v="1"/>
    <n v="259"/>
  </r>
  <r>
    <x v="157"/>
    <x v="11"/>
    <x v="65"/>
    <x v="635"/>
    <x v="0"/>
    <x v="1"/>
    <n v="178.02"/>
  </r>
  <r>
    <x v="158"/>
    <x v="11"/>
    <x v="65"/>
    <x v="636"/>
    <x v="0"/>
    <x v="1"/>
    <n v="396.72"/>
  </r>
  <r>
    <x v="79"/>
    <x v="11"/>
    <x v="65"/>
    <x v="637"/>
    <x v="0"/>
    <x v="1"/>
    <n v="621.55999999999995"/>
  </r>
  <r>
    <x v="135"/>
    <x v="11"/>
    <x v="65"/>
    <x v="637"/>
    <x v="0"/>
    <x v="1"/>
    <n v="1252.29"/>
  </r>
  <r>
    <x v="129"/>
    <x v="11"/>
    <x v="65"/>
    <x v="638"/>
    <x v="0"/>
    <x v="1"/>
    <n v="50"/>
  </r>
  <r>
    <x v="129"/>
    <x v="11"/>
    <x v="65"/>
    <x v="638"/>
    <x v="0"/>
    <x v="1"/>
    <n v="58.3"/>
  </r>
  <r>
    <x v="116"/>
    <x v="11"/>
    <x v="65"/>
    <x v="638"/>
    <x v="0"/>
    <x v="1"/>
    <n v="2449.9499999999998"/>
  </r>
  <r>
    <x v="118"/>
    <x v="11"/>
    <x v="65"/>
    <x v="638"/>
    <x v="0"/>
    <x v="1"/>
    <n v="2449.9499999999998"/>
  </r>
  <r>
    <x v="2"/>
    <x v="11"/>
    <x v="65"/>
    <x v="638"/>
    <x v="0"/>
    <x v="1"/>
    <n v="2449.9499999999998"/>
  </r>
  <r>
    <x v="126"/>
    <x v="11"/>
    <x v="65"/>
    <x v="639"/>
    <x v="0"/>
    <x v="1"/>
    <n v="100"/>
  </r>
  <r>
    <x v="101"/>
    <x v="11"/>
    <x v="65"/>
    <x v="640"/>
    <x v="0"/>
    <x v="1"/>
    <n v="533.83000000000004"/>
  </r>
  <r>
    <x v="156"/>
    <x v="11"/>
    <x v="65"/>
    <x v="641"/>
    <x v="0"/>
    <x v="1"/>
    <n v="1974.72"/>
  </r>
  <r>
    <x v="34"/>
    <x v="11"/>
    <x v="65"/>
    <x v="243"/>
    <x v="0"/>
    <x v="1"/>
    <n v="15.85"/>
  </r>
  <r>
    <x v="79"/>
    <x v="11"/>
    <x v="65"/>
    <x v="642"/>
    <x v="0"/>
    <x v="1"/>
    <n v="49.7"/>
  </r>
  <r>
    <x v="135"/>
    <x v="11"/>
    <x v="65"/>
    <x v="642"/>
    <x v="0"/>
    <x v="1"/>
    <n v="65.73"/>
  </r>
  <r>
    <x v="79"/>
    <x v="11"/>
    <x v="65"/>
    <x v="642"/>
    <x v="0"/>
    <x v="1"/>
    <n v="265.31"/>
  </r>
  <r>
    <x v="79"/>
    <x v="11"/>
    <x v="65"/>
    <x v="642"/>
    <x v="0"/>
    <x v="1"/>
    <n v="339.34"/>
  </r>
  <r>
    <x v="97"/>
    <x v="11"/>
    <x v="65"/>
    <x v="642"/>
    <x v="0"/>
    <x v="1"/>
    <n v="302.75"/>
  </r>
  <r>
    <x v="52"/>
    <x v="11"/>
    <x v="65"/>
    <x v="643"/>
    <x v="0"/>
    <x v="1"/>
    <n v="74.86"/>
  </r>
  <r>
    <x v="26"/>
    <x v="11"/>
    <x v="65"/>
    <x v="644"/>
    <x v="0"/>
    <x v="1"/>
    <n v="874.28"/>
  </r>
  <r>
    <x v="26"/>
    <x v="11"/>
    <x v="65"/>
    <x v="644"/>
    <x v="0"/>
    <x v="1"/>
    <n v="34.92"/>
  </r>
  <r>
    <x v="18"/>
    <x v="11"/>
    <x v="65"/>
    <x v="645"/>
    <x v="0"/>
    <x v="1"/>
    <n v="39837.300000000003"/>
  </r>
  <r>
    <x v="18"/>
    <x v="11"/>
    <x v="65"/>
    <x v="646"/>
    <x v="0"/>
    <x v="1"/>
    <n v="49.82"/>
  </r>
  <r>
    <x v="18"/>
    <x v="11"/>
    <x v="65"/>
    <x v="647"/>
    <x v="0"/>
    <x v="1"/>
    <n v="3081.15"/>
  </r>
  <r>
    <x v="84"/>
    <x v="11"/>
    <x v="65"/>
    <x v="648"/>
    <x v="0"/>
    <x v="1"/>
    <n v="37.69"/>
  </r>
  <r>
    <x v="18"/>
    <x v="11"/>
    <x v="65"/>
    <x v="649"/>
    <x v="0"/>
    <x v="1"/>
    <n v="93.37"/>
  </r>
  <r>
    <x v="18"/>
    <x v="11"/>
    <x v="65"/>
    <x v="649"/>
    <x v="0"/>
    <x v="1"/>
    <n v="205.4"/>
  </r>
  <r>
    <x v="125"/>
    <x v="11"/>
    <x v="65"/>
    <x v="650"/>
    <x v="0"/>
    <x v="1"/>
    <n v="200"/>
  </r>
  <r>
    <x v="54"/>
    <x v="11"/>
    <x v="65"/>
    <x v="651"/>
    <x v="0"/>
    <x v="1"/>
    <n v="19.64"/>
  </r>
  <r>
    <x v="18"/>
    <x v="11"/>
    <x v="65"/>
    <x v="652"/>
    <x v="0"/>
    <x v="1"/>
    <n v="49.82"/>
  </r>
  <r>
    <x v="138"/>
    <x v="11"/>
    <x v="65"/>
    <x v="652"/>
    <x v="0"/>
    <x v="1"/>
    <n v="12.5"/>
  </r>
  <r>
    <x v="21"/>
    <x v="11"/>
    <x v="65"/>
    <x v="653"/>
    <x v="0"/>
    <x v="1"/>
    <n v="383.04"/>
  </r>
  <r>
    <x v="19"/>
    <x v="11"/>
    <x v="65"/>
    <x v="654"/>
    <x v="0"/>
    <x v="1"/>
    <n v="789.67"/>
  </r>
  <r>
    <x v="19"/>
    <x v="11"/>
    <x v="65"/>
    <x v="654"/>
    <x v="0"/>
    <x v="1"/>
    <n v="714.49"/>
  </r>
  <r>
    <x v="156"/>
    <x v="11"/>
    <x v="65"/>
    <x v="655"/>
    <x v="0"/>
    <x v="1"/>
    <n v="1360.13"/>
  </r>
  <r>
    <x v="26"/>
    <x v="11"/>
    <x v="65"/>
    <x v="656"/>
    <x v="0"/>
    <x v="1"/>
    <n v="46.53"/>
  </r>
  <r>
    <x v="95"/>
    <x v="11"/>
    <x v="65"/>
    <x v="656"/>
    <x v="0"/>
    <x v="1"/>
    <n v="72.23"/>
  </r>
  <r>
    <x v="86"/>
    <x v="11"/>
    <x v="65"/>
    <x v="656"/>
    <x v="0"/>
    <x v="1"/>
    <n v="153.47"/>
  </r>
  <r>
    <x v="86"/>
    <x v="11"/>
    <x v="65"/>
    <x v="656"/>
    <x v="0"/>
    <x v="1"/>
    <n v="70.739999999999995"/>
  </r>
  <r>
    <x v="86"/>
    <x v="11"/>
    <x v="65"/>
    <x v="656"/>
    <x v="0"/>
    <x v="1"/>
    <n v="704"/>
  </r>
  <r>
    <x v="156"/>
    <x v="11"/>
    <x v="65"/>
    <x v="656"/>
    <x v="0"/>
    <x v="1"/>
    <n v="76.180000000000007"/>
  </r>
  <r>
    <x v="156"/>
    <x v="11"/>
    <x v="65"/>
    <x v="656"/>
    <x v="0"/>
    <x v="1"/>
    <n v="78.55"/>
  </r>
  <r>
    <x v="96"/>
    <x v="11"/>
    <x v="65"/>
    <x v="656"/>
    <x v="0"/>
    <x v="1"/>
    <n v="60.22"/>
  </r>
  <r>
    <x v="96"/>
    <x v="11"/>
    <x v="65"/>
    <x v="656"/>
    <x v="0"/>
    <x v="1"/>
    <n v="448.46"/>
  </r>
  <r>
    <x v="96"/>
    <x v="11"/>
    <x v="65"/>
    <x v="656"/>
    <x v="0"/>
    <x v="1"/>
    <n v="104.17"/>
  </r>
  <r>
    <x v="97"/>
    <x v="11"/>
    <x v="65"/>
    <x v="656"/>
    <x v="0"/>
    <x v="1"/>
    <n v="969.25"/>
  </r>
  <r>
    <x v="95"/>
    <x v="11"/>
    <x v="65"/>
    <x v="657"/>
    <x v="0"/>
    <x v="1"/>
    <n v="57.75"/>
  </r>
  <r>
    <x v="97"/>
    <x v="11"/>
    <x v="65"/>
    <x v="658"/>
    <x v="0"/>
    <x v="1"/>
    <n v="183.52"/>
  </r>
  <r>
    <x v="53"/>
    <x v="11"/>
    <x v="65"/>
    <x v="659"/>
    <x v="0"/>
    <x v="1"/>
    <n v="344.87"/>
  </r>
  <r>
    <x v="84"/>
    <x v="11"/>
    <x v="65"/>
    <x v="660"/>
    <x v="0"/>
    <x v="1"/>
    <n v="5970.08"/>
  </r>
  <r>
    <x v="84"/>
    <x v="11"/>
    <x v="65"/>
    <x v="661"/>
    <x v="0"/>
    <x v="1"/>
    <n v="754.13"/>
  </r>
  <r>
    <x v="84"/>
    <x v="11"/>
    <x v="65"/>
    <x v="662"/>
    <x v="0"/>
    <x v="1"/>
    <n v="6221.42"/>
  </r>
  <r>
    <x v="37"/>
    <x v="11"/>
    <x v="65"/>
    <x v="663"/>
    <x v="0"/>
    <x v="1"/>
    <n v="95.51"/>
  </r>
  <r>
    <x v="113"/>
    <x v="11"/>
    <x v="65"/>
    <x v="664"/>
    <x v="0"/>
    <x v="1"/>
    <n v="505.12"/>
  </r>
  <r>
    <x v="1"/>
    <x v="11"/>
    <x v="65"/>
    <x v="665"/>
    <x v="0"/>
    <x v="1"/>
    <n v="232.1"/>
  </r>
  <r>
    <x v="158"/>
    <x v="11"/>
    <x v="65"/>
    <x v="666"/>
    <x v="0"/>
    <x v="1"/>
    <n v="47.87"/>
  </r>
  <r>
    <x v="157"/>
    <x v="11"/>
    <x v="65"/>
    <x v="667"/>
    <x v="0"/>
    <x v="1"/>
    <n v="25.19"/>
  </r>
  <r>
    <x v="84"/>
    <x v="11"/>
    <x v="65"/>
    <x v="668"/>
    <x v="0"/>
    <x v="1"/>
    <n v="94.25"/>
  </r>
  <r>
    <x v="158"/>
    <x v="11"/>
    <x v="65"/>
    <x v="669"/>
    <x v="0"/>
    <x v="1"/>
    <n v="50.39"/>
  </r>
  <r>
    <x v="157"/>
    <x v="11"/>
    <x v="65"/>
    <x v="669"/>
    <x v="0"/>
    <x v="1"/>
    <n v="25.19"/>
  </r>
  <r>
    <x v="13"/>
    <x v="11"/>
    <x v="65"/>
    <x v="669"/>
    <x v="0"/>
    <x v="1"/>
    <n v="18.809999999999999"/>
  </r>
  <r>
    <x v="26"/>
    <x v="11"/>
    <x v="65"/>
    <x v="670"/>
    <x v="0"/>
    <x v="1"/>
    <n v="136.36000000000001"/>
  </r>
  <r>
    <x v="79"/>
    <x v="11"/>
    <x v="65"/>
    <x v="671"/>
    <x v="0"/>
    <x v="1"/>
    <n v="89.49"/>
  </r>
  <r>
    <x v="101"/>
    <x v="11"/>
    <x v="65"/>
    <x v="671"/>
    <x v="0"/>
    <x v="1"/>
    <n v="127.8"/>
  </r>
  <r>
    <x v="79"/>
    <x v="11"/>
    <x v="65"/>
    <x v="671"/>
    <x v="0"/>
    <x v="1"/>
    <n v="171.17"/>
  </r>
  <r>
    <x v="101"/>
    <x v="11"/>
    <x v="65"/>
    <x v="671"/>
    <x v="0"/>
    <x v="1"/>
    <n v="249.51"/>
  </r>
  <r>
    <x v="135"/>
    <x v="11"/>
    <x v="65"/>
    <x v="671"/>
    <x v="0"/>
    <x v="1"/>
    <n v="249.84"/>
  </r>
  <r>
    <x v="101"/>
    <x v="11"/>
    <x v="65"/>
    <x v="671"/>
    <x v="0"/>
    <x v="1"/>
    <n v="310.5"/>
  </r>
  <r>
    <x v="95"/>
    <x v="11"/>
    <x v="65"/>
    <x v="671"/>
    <x v="0"/>
    <x v="1"/>
    <n v="97.74"/>
  </r>
  <r>
    <x v="95"/>
    <x v="11"/>
    <x v="65"/>
    <x v="671"/>
    <x v="0"/>
    <x v="1"/>
    <n v="215"/>
  </r>
  <r>
    <x v="95"/>
    <x v="11"/>
    <x v="65"/>
    <x v="671"/>
    <x v="0"/>
    <x v="1"/>
    <n v="195.48"/>
  </r>
  <r>
    <x v="53"/>
    <x v="11"/>
    <x v="65"/>
    <x v="672"/>
    <x v="0"/>
    <x v="1"/>
    <n v="766.33"/>
  </r>
  <r>
    <x v="85"/>
    <x v="11"/>
    <x v="65"/>
    <x v="412"/>
    <x v="0"/>
    <x v="1"/>
    <n v="5.95"/>
  </r>
  <r>
    <x v="155"/>
    <x v="11"/>
    <x v="65"/>
    <x v="673"/>
    <x v="0"/>
    <x v="1"/>
    <n v="162.85"/>
  </r>
  <r>
    <x v="157"/>
    <x v="11"/>
    <x v="65"/>
    <x v="674"/>
    <x v="0"/>
    <x v="1"/>
    <n v="22.03"/>
  </r>
  <r>
    <x v="80"/>
    <x v="11"/>
    <x v="65"/>
    <x v="675"/>
    <x v="0"/>
    <x v="1"/>
    <n v="415.78"/>
  </r>
  <r>
    <x v="138"/>
    <x v="11"/>
    <x v="65"/>
    <x v="676"/>
    <x v="0"/>
    <x v="1"/>
    <n v="249.56"/>
  </r>
  <r>
    <x v="84"/>
    <x v="11"/>
    <x v="65"/>
    <x v="677"/>
    <x v="0"/>
    <x v="1"/>
    <n v="15.71"/>
  </r>
  <r>
    <x v="1"/>
    <x v="11"/>
    <x v="65"/>
    <x v="678"/>
    <x v="0"/>
    <x v="1"/>
    <n v="9500"/>
  </r>
  <r>
    <x v="63"/>
    <x v="11"/>
    <x v="65"/>
    <x v="679"/>
    <x v="0"/>
    <x v="1"/>
    <n v="447.05"/>
  </r>
  <r>
    <x v="18"/>
    <x v="11"/>
    <x v="65"/>
    <x v="680"/>
    <x v="0"/>
    <x v="1"/>
    <n v="2053.64"/>
  </r>
  <r>
    <x v="7"/>
    <x v="11"/>
    <x v="65"/>
    <x v="681"/>
    <x v="0"/>
    <x v="1"/>
    <n v="458.87"/>
  </r>
  <r>
    <x v="42"/>
    <x v="11"/>
    <x v="65"/>
    <x v="682"/>
    <x v="0"/>
    <x v="1"/>
    <n v="255.39"/>
  </r>
  <r>
    <x v="63"/>
    <x v="11"/>
    <x v="65"/>
    <x v="683"/>
    <x v="5"/>
    <x v="1"/>
    <n v="251.61"/>
  </r>
  <r>
    <x v="1"/>
    <x v="11"/>
    <x v="65"/>
    <x v="684"/>
    <x v="0"/>
    <x v="1"/>
    <n v="15"/>
  </r>
  <r>
    <x v="85"/>
    <x v="11"/>
    <x v="65"/>
    <x v="685"/>
    <x v="0"/>
    <x v="1"/>
    <n v="745.89"/>
  </r>
  <r>
    <x v="110"/>
    <x v="11"/>
    <x v="65"/>
    <x v="686"/>
    <x v="0"/>
    <x v="1"/>
    <n v="19.84"/>
  </r>
  <r>
    <x v="110"/>
    <x v="11"/>
    <x v="65"/>
    <x v="686"/>
    <x v="0"/>
    <x v="1"/>
    <n v="82.73"/>
  </r>
  <r>
    <x v="118"/>
    <x v="11"/>
    <x v="65"/>
    <x v="686"/>
    <x v="2"/>
    <x v="1"/>
    <n v="962.59"/>
  </r>
  <r>
    <x v="27"/>
    <x v="11"/>
    <x v="65"/>
    <x v="686"/>
    <x v="0"/>
    <x v="1"/>
    <n v="3975.87"/>
  </r>
  <r>
    <x v="63"/>
    <x v="11"/>
    <x v="65"/>
    <x v="687"/>
    <x v="0"/>
    <x v="1"/>
    <n v="63.88"/>
  </r>
  <r>
    <x v="155"/>
    <x v="11"/>
    <x v="65"/>
    <x v="687"/>
    <x v="0"/>
    <x v="1"/>
    <n v="63.88"/>
  </r>
  <r>
    <x v="53"/>
    <x v="11"/>
    <x v="65"/>
    <x v="688"/>
    <x v="0"/>
    <x v="1"/>
    <n v="138.57"/>
  </r>
  <r>
    <x v="63"/>
    <x v="11"/>
    <x v="65"/>
    <x v="689"/>
    <x v="0"/>
    <x v="1"/>
    <n v="660.95"/>
  </r>
  <r>
    <x v="128"/>
    <x v="11"/>
    <x v="65"/>
    <x v="690"/>
    <x v="0"/>
    <x v="1"/>
    <n v="2521.96"/>
  </r>
  <r>
    <x v="7"/>
    <x v="11"/>
    <x v="65"/>
    <x v="690"/>
    <x v="0"/>
    <x v="1"/>
    <n v="2820.07"/>
  </r>
  <r>
    <x v="109"/>
    <x v="11"/>
    <x v="65"/>
    <x v="691"/>
    <x v="0"/>
    <x v="1"/>
    <n v="99.8"/>
  </r>
  <r>
    <x v="84"/>
    <x v="11"/>
    <x v="65"/>
    <x v="691"/>
    <x v="0"/>
    <x v="1"/>
    <n v="156.5"/>
  </r>
  <r>
    <x v="37"/>
    <x v="11"/>
    <x v="65"/>
    <x v="692"/>
    <x v="0"/>
    <x v="1"/>
    <n v="468.06"/>
  </r>
  <r>
    <x v="70"/>
    <x v="11"/>
    <x v="65"/>
    <x v="693"/>
    <x v="0"/>
    <x v="1"/>
    <n v="330.93"/>
  </r>
  <r>
    <x v="84"/>
    <x v="11"/>
    <x v="65"/>
    <x v="694"/>
    <x v="0"/>
    <x v="1"/>
    <n v="138.86000000000001"/>
  </r>
  <r>
    <x v="84"/>
    <x v="11"/>
    <x v="65"/>
    <x v="694"/>
    <x v="0"/>
    <x v="1"/>
    <n v="178.48"/>
  </r>
  <r>
    <x v="53"/>
    <x v="11"/>
    <x v="65"/>
    <x v="694"/>
    <x v="0"/>
    <x v="1"/>
    <n v="80.72"/>
  </r>
  <r>
    <x v="53"/>
    <x v="11"/>
    <x v="65"/>
    <x v="694"/>
    <x v="0"/>
    <x v="1"/>
    <n v="73.55"/>
  </r>
  <r>
    <x v="53"/>
    <x v="11"/>
    <x v="65"/>
    <x v="694"/>
    <x v="0"/>
    <x v="1"/>
    <n v="91.47"/>
  </r>
  <r>
    <x v="135"/>
    <x v="11"/>
    <x v="65"/>
    <x v="695"/>
    <x v="0"/>
    <x v="1"/>
    <n v="115.87"/>
  </r>
  <r>
    <x v="156"/>
    <x v="11"/>
    <x v="65"/>
    <x v="696"/>
    <x v="0"/>
    <x v="1"/>
    <n v="282.51"/>
  </r>
  <r>
    <x v="156"/>
    <x v="11"/>
    <x v="65"/>
    <x v="697"/>
    <x v="0"/>
    <x v="1"/>
    <n v="2336.54"/>
  </r>
  <r>
    <x v="114"/>
    <x v="11"/>
    <x v="65"/>
    <x v="698"/>
    <x v="0"/>
    <x v="3"/>
    <n v="1075.4000000000001"/>
  </r>
  <r>
    <x v="126"/>
    <x v="11"/>
    <x v="65"/>
    <x v="699"/>
    <x v="0"/>
    <x v="1"/>
    <n v="184.77"/>
  </r>
  <r>
    <x v="101"/>
    <x v="11"/>
    <x v="65"/>
    <x v="700"/>
    <x v="0"/>
    <x v="1"/>
    <n v="22.68"/>
  </r>
  <r>
    <x v="101"/>
    <x v="11"/>
    <x v="65"/>
    <x v="700"/>
    <x v="0"/>
    <x v="1"/>
    <n v="24.51"/>
  </r>
  <r>
    <x v="101"/>
    <x v="11"/>
    <x v="65"/>
    <x v="701"/>
    <x v="0"/>
    <x v="1"/>
    <n v="889.85"/>
  </r>
  <r>
    <x v="42"/>
    <x v="11"/>
    <x v="65"/>
    <x v="701"/>
    <x v="0"/>
    <x v="1"/>
    <n v="1144.79"/>
  </r>
  <r>
    <x v="52"/>
    <x v="11"/>
    <x v="65"/>
    <x v="702"/>
    <x v="0"/>
    <x v="1"/>
    <n v="10700.4"/>
  </r>
  <r>
    <x v="156"/>
    <x v="11"/>
    <x v="65"/>
    <x v="703"/>
    <x v="0"/>
    <x v="1"/>
    <n v="375.69"/>
  </r>
  <r>
    <x v="37"/>
    <x v="11"/>
    <x v="65"/>
    <x v="704"/>
    <x v="0"/>
    <x v="1"/>
    <n v="2868.46"/>
  </r>
  <r>
    <x v="37"/>
    <x v="11"/>
    <x v="65"/>
    <x v="704"/>
    <x v="0"/>
    <x v="1"/>
    <n v="318.52"/>
  </r>
  <r>
    <x v="85"/>
    <x v="11"/>
    <x v="65"/>
    <x v="704"/>
    <x v="0"/>
    <x v="1"/>
    <n v="383.15"/>
  </r>
  <r>
    <x v="97"/>
    <x v="11"/>
    <x v="65"/>
    <x v="705"/>
    <x v="0"/>
    <x v="1"/>
    <n v="237.22"/>
  </r>
  <r>
    <x v="138"/>
    <x v="11"/>
    <x v="65"/>
    <x v="706"/>
    <x v="0"/>
    <x v="1"/>
    <n v="1482.37"/>
  </r>
  <r>
    <x v="5"/>
    <x v="11"/>
    <x v="65"/>
    <x v="707"/>
    <x v="0"/>
    <x v="1"/>
    <n v="142.69999999999999"/>
  </r>
  <r>
    <x v="95"/>
    <x v="11"/>
    <x v="65"/>
    <x v="708"/>
    <x v="0"/>
    <x v="1"/>
    <n v="1829.4"/>
  </r>
  <r>
    <x v="113"/>
    <x v="11"/>
    <x v="65"/>
    <x v="709"/>
    <x v="0"/>
    <x v="1"/>
    <n v="1"/>
  </r>
  <r>
    <x v="113"/>
    <x v="11"/>
    <x v="65"/>
    <x v="709"/>
    <x v="0"/>
    <x v="1"/>
    <n v="87"/>
  </r>
  <r>
    <x v="101"/>
    <x v="11"/>
    <x v="65"/>
    <x v="710"/>
    <x v="0"/>
    <x v="1"/>
    <n v="7653.21"/>
  </r>
  <r>
    <x v="155"/>
    <x v="11"/>
    <x v="65"/>
    <x v="711"/>
    <x v="0"/>
    <x v="1"/>
    <n v="98.97"/>
  </r>
  <r>
    <x v="155"/>
    <x v="11"/>
    <x v="65"/>
    <x v="711"/>
    <x v="0"/>
    <x v="1"/>
    <n v="41.5"/>
  </r>
  <r>
    <x v="84"/>
    <x v="11"/>
    <x v="65"/>
    <x v="712"/>
    <x v="0"/>
    <x v="1"/>
    <n v="157.09"/>
  </r>
  <r>
    <x v="13"/>
    <x v="11"/>
    <x v="65"/>
    <x v="713"/>
    <x v="0"/>
    <x v="1"/>
    <n v="402.99"/>
  </r>
  <r>
    <x v="74"/>
    <x v="11"/>
    <x v="65"/>
    <x v="714"/>
    <x v="0"/>
    <x v="1"/>
    <n v="4607.5600000000004"/>
  </r>
  <r>
    <x v="135"/>
    <x v="11"/>
    <x v="65"/>
    <x v="715"/>
    <x v="0"/>
    <x v="1"/>
    <n v="8019.72"/>
  </r>
  <r>
    <x v="70"/>
    <x v="11"/>
    <x v="65"/>
    <x v="716"/>
    <x v="0"/>
    <x v="1"/>
    <n v="59.58"/>
  </r>
  <r>
    <x v="53"/>
    <x v="11"/>
    <x v="65"/>
    <x v="716"/>
    <x v="0"/>
    <x v="1"/>
    <n v="61.92"/>
  </r>
  <r>
    <x v="53"/>
    <x v="11"/>
    <x v="65"/>
    <x v="716"/>
    <x v="0"/>
    <x v="1"/>
    <n v="182.02"/>
  </r>
  <r>
    <x v="26"/>
    <x v="11"/>
    <x v="65"/>
    <x v="717"/>
    <x v="0"/>
    <x v="1"/>
    <n v="728.66"/>
  </r>
  <r>
    <x v="37"/>
    <x v="11"/>
    <x v="65"/>
    <x v="718"/>
    <x v="0"/>
    <x v="1"/>
    <n v="20.38"/>
  </r>
  <r>
    <x v="158"/>
    <x v="11"/>
    <x v="65"/>
    <x v="719"/>
    <x v="0"/>
    <x v="1"/>
    <n v="273.91000000000003"/>
  </r>
  <r>
    <x v="63"/>
    <x v="11"/>
    <x v="65"/>
    <x v="720"/>
    <x v="0"/>
    <x v="1"/>
    <n v="88.92"/>
  </r>
  <r>
    <x v="53"/>
    <x v="11"/>
    <x v="65"/>
    <x v="720"/>
    <x v="0"/>
    <x v="1"/>
    <n v="127.7"/>
  </r>
  <r>
    <x v="63"/>
    <x v="11"/>
    <x v="65"/>
    <x v="721"/>
    <x v="0"/>
    <x v="1"/>
    <n v="223.52"/>
  </r>
  <r>
    <x v="101"/>
    <x v="11"/>
    <x v="65"/>
    <x v="722"/>
    <x v="0"/>
    <x v="1"/>
    <n v="507.61"/>
  </r>
  <r>
    <x v="42"/>
    <x v="11"/>
    <x v="65"/>
    <x v="723"/>
    <x v="0"/>
    <x v="1"/>
    <n v="334.48"/>
  </r>
  <r>
    <x v="42"/>
    <x v="11"/>
    <x v="65"/>
    <x v="724"/>
    <x v="0"/>
    <x v="1"/>
    <n v="208.42"/>
  </r>
  <r>
    <x v="13"/>
    <x v="11"/>
    <x v="65"/>
    <x v="725"/>
    <x v="0"/>
    <x v="1"/>
    <n v="630.37"/>
  </r>
  <r>
    <x v="73"/>
    <x v="11"/>
    <x v="65"/>
    <x v="726"/>
    <x v="0"/>
    <x v="1"/>
    <n v="40"/>
  </r>
  <r>
    <x v="85"/>
    <x v="11"/>
    <x v="65"/>
    <x v="727"/>
    <x v="0"/>
    <x v="1"/>
    <n v="553.29999999999995"/>
  </r>
  <r>
    <x v="126"/>
    <x v="11"/>
    <x v="65"/>
    <x v="728"/>
    <x v="0"/>
    <x v="1"/>
    <n v="24"/>
  </r>
  <r>
    <x v="126"/>
    <x v="11"/>
    <x v="65"/>
    <x v="728"/>
    <x v="0"/>
    <x v="1"/>
    <n v="48"/>
  </r>
  <r>
    <x v="125"/>
    <x v="11"/>
    <x v="65"/>
    <x v="728"/>
    <x v="0"/>
    <x v="1"/>
    <n v="66"/>
  </r>
  <r>
    <x v="21"/>
    <x v="11"/>
    <x v="65"/>
    <x v="728"/>
    <x v="0"/>
    <x v="1"/>
    <n v="191.4"/>
  </r>
  <r>
    <x v="26"/>
    <x v="11"/>
    <x v="65"/>
    <x v="729"/>
    <x v="0"/>
    <x v="1"/>
    <n v="1417"/>
  </r>
  <r>
    <x v="110"/>
    <x v="11"/>
    <x v="65"/>
    <x v="730"/>
    <x v="0"/>
    <x v="1"/>
    <n v="16.87"/>
  </r>
  <r>
    <x v="128"/>
    <x v="11"/>
    <x v="65"/>
    <x v="730"/>
    <x v="0"/>
    <x v="1"/>
    <n v="33.9"/>
  </r>
  <r>
    <x v="70"/>
    <x v="11"/>
    <x v="65"/>
    <x v="730"/>
    <x v="0"/>
    <x v="1"/>
    <n v="92.65"/>
  </r>
  <r>
    <x v="27"/>
    <x v="11"/>
    <x v="65"/>
    <x v="730"/>
    <x v="0"/>
    <x v="1"/>
    <n v="302.69"/>
  </r>
  <r>
    <x v="37"/>
    <x v="11"/>
    <x v="65"/>
    <x v="730"/>
    <x v="0"/>
    <x v="3"/>
    <n v="44.89"/>
  </r>
  <r>
    <x v="19"/>
    <x v="11"/>
    <x v="65"/>
    <x v="730"/>
    <x v="0"/>
    <x v="1"/>
    <n v="15.96"/>
  </r>
  <r>
    <x v="19"/>
    <x v="11"/>
    <x v="65"/>
    <x v="730"/>
    <x v="0"/>
    <x v="1"/>
    <n v="15.96"/>
  </r>
  <r>
    <x v="7"/>
    <x v="11"/>
    <x v="65"/>
    <x v="730"/>
    <x v="0"/>
    <x v="1"/>
    <n v="64.989999999999995"/>
  </r>
  <r>
    <x v="7"/>
    <x v="11"/>
    <x v="65"/>
    <x v="730"/>
    <x v="0"/>
    <x v="1"/>
    <n v="64.989999999999995"/>
  </r>
  <r>
    <x v="53"/>
    <x v="11"/>
    <x v="65"/>
    <x v="731"/>
    <x v="0"/>
    <x v="1"/>
    <n v="45.36"/>
  </r>
  <r>
    <x v="27"/>
    <x v="11"/>
    <x v="65"/>
    <x v="732"/>
    <x v="0"/>
    <x v="1"/>
    <n v="558.25"/>
  </r>
  <r>
    <x v="138"/>
    <x v="11"/>
    <x v="65"/>
    <x v="733"/>
    <x v="0"/>
    <x v="1"/>
    <n v="213.49"/>
  </r>
  <r>
    <x v="158"/>
    <x v="11"/>
    <x v="65"/>
    <x v="734"/>
    <x v="0"/>
    <x v="1"/>
    <n v="164.35"/>
  </r>
  <r>
    <x v="85"/>
    <x v="11"/>
    <x v="65"/>
    <x v="735"/>
    <x v="0"/>
    <x v="1"/>
    <n v="58.93"/>
  </r>
  <r>
    <x v="11"/>
    <x v="11"/>
    <x v="65"/>
    <x v="736"/>
    <x v="0"/>
    <x v="1"/>
    <n v="46.72"/>
  </r>
  <r>
    <x v="156"/>
    <x v="11"/>
    <x v="65"/>
    <x v="737"/>
    <x v="0"/>
    <x v="1"/>
    <n v="46.81"/>
  </r>
  <r>
    <x v="18"/>
    <x v="11"/>
    <x v="65"/>
    <x v="738"/>
    <x v="0"/>
    <x v="1"/>
    <n v="15.58"/>
  </r>
  <r>
    <x v="73"/>
    <x v="11"/>
    <x v="65"/>
    <x v="739"/>
    <x v="0"/>
    <x v="1"/>
    <n v="569.83000000000004"/>
  </r>
  <r>
    <x v="37"/>
    <x v="11"/>
    <x v="65"/>
    <x v="740"/>
    <x v="0"/>
    <x v="1"/>
    <n v="3970.66"/>
  </r>
  <r>
    <x v="27"/>
    <x v="11"/>
    <x v="65"/>
    <x v="741"/>
    <x v="0"/>
    <x v="1"/>
    <n v="725.92"/>
  </r>
  <r>
    <x v="19"/>
    <x v="11"/>
    <x v="65"/>
    <x v="741"/>
    <x v="0"/>
    <x v="1"/>
    <n v="482.57"/>
  </r>
  <r>
    <x v="53"/>
    <x v="11"/>
    <x v="65"/>
    <x v="742"/>
    <x v="0"/>
    <x v="1"/>
    <n v="18.52"/>
  </r>
  <r>
    <x v="53"/>
    <x v="11"/>
    <x v="65"/>
    <x v="742"/>
    <x v="0"/>
    <x v="1"/>
    <n v="18.52"/>
  </r>
  <r>
    <x v="53"/>
    <x v="11"/>
    <x v="65"/>
    <x v="742"/>
    <x v="0"/>
    <x v="1"/>
    <n v="19.77"/>
  </r>
  <r>
    <x v="156"/>
    <x v="11"/>
    <x v="65"/>
    <x v="316"/>
    <x v="0"/>
    <x v="1"/>
    <n v="353.14"/>
  </r>
  <r>
    <x v="3"/>
    <x v="11"/>
    <x v="65"/>
    <x v="743"/>
    <x v="0"/>
    <x v="1"/>
    <n v="26"/>
  </r>
  <r>
    <x v="127"/>
    <x v="11"/>
    <x v="65"/>
    <x v="744"/>
    <x v="0"/>
    <x v="1"/>
    <n v="930"/>
  </r>
  <r>
    <x v="121"/>
    <x v="11"/>
    <x v="65"/>
    <x v="745"/>
    <x v="0"/>
    <x v="1"/>
    <n v="1569.23"/>
  </r>
  <r>
    <x v="53"/>
    <x v="11"/>
    <x v="65"/>
    <x v="745"/>
    <x v="0"/>
    <x v="1"/>
    <n v="45.95"/>
  </r>
  <r>
    <x v="155"/>
    <x v="11"/>
    <x v="65"/>
    <x v="746"/>
    <x v="0"/>
    <x v="1"/>
    <n v="1724.25"/>
  </r>
  <r>
    <x v="109"/>
    <x v="11"/>
    <x v="65"/>
    <x v="747"/>
    <x v="0"/>
    <x v="1"/>
    <n v="97.67"/>
  </r>
  <r>
    <x v="109"/>
    <x v="11"/>
    <x v="65"/>
    <x v="747"/>
    <x v="0"/>
    <x v="1"/>
    <n v="93.57"/>
  </r>
  <r>
    <x v="19"/>
    <x v="11"/>
    <x v="65"/>
    <x v="747"/>
    <x v="0"/>
    <x v="1"/>
    <n v="28.22"/>
  </r>
  <r>
    <x v="101"/>
    <x v="11"/>
    <x v="65"/>
    <x v="748"/>
    <x v="0"/>
    <x v="1"/>
    <n v="50.46"/>
  </r>
  <r>
    <x v="5"/>
    <x v="11"/>
    <x v="65"/>
    <x v="749"/>
    <x v="0"/>
    <x v="1"/>
    <n v="25.68"/>
  </r>
  <r>
    <x v="148"/>
    <x v="11"/>
    <x v="65"/>
    <x v="750"/>
    <x v="0"/>
    <x v="1"/>
    <n v="21.1"/>
  </r>
  <r>
    <x v="148"/>
    <x v="11"/>
    <x v="65"/>
    <x v="750"/>
    <x v="0"/>
    <x v="1"/>
    <n v="141.52000000000001"/>
  </r>
  <r>
    <x v="138"/>
    <x v="11"/>
    <x v="65"/>
    <x v="751"/>
    <x v="0"/>
    <x v="1"/>
    <n v="162.62"/>
  </r>
  <r>
    <x v="52"/>
    <x v="11"/>
    <x v="65"/>
    <x v="752"/>
    <x v="0"/>
    <x v="1"/>
    <n v="39.94"/>
  </r>
  <r>
    <x v="13"/>
    <x v="11"/>
    <x v="65"/>
    <x v="753"/>
    <x v="0"/>
    <x v="1"/>
    <n v="157.43"/>
  </r>
  <r>
    <x v="138"/>
    <x v="11"/>
    <x v="65"/>
    <x v="754"/>
    <x v="0"/>
    <x v="1"/>
    <n v="25.01"/>
  </r>
  <r>
    <x v="158"/>
    <x v="11"/>
    <x v="65"/>
    <x v="755"/>
    <x v="0"/>
    <x v="1"/>
    <n v="44.06"/>
  </r>
  <r>
    <x v="108"/>
    <x v="11"/>
    <x v="65"/>
    <x v="756"/>
    <x v="0"/>
    <x v="1"/>
    <n v="33412.25"/>
  </r>
  <r>
    <x v="155"/>
    <x v="11"/>
    <x v="65"/>
    <x v="757"/>
    <x v="0"/>
    <x v="1"/>
    <n v="79.849999999999994"/>
  </r>
  <r>
    <x v="148"/>
    <x v="11"/>
    <x v="65"/>
    <x v="758"/>
    <x v="0"/>
    <x v="1"/>
    <n v="11.21"/>
  </r>
  <r>
    <x v="148"/>
    <x v="11"/>
    <x v="65"/>
    <x v="758"/>
    <x v="0"/>
    <x v="1"/>
    <n v="14.38"/>
  </r>
  <r>
    <x v="148"/>
    <x v="11"/>
    <x v="65"/>
    <x v="758"/>
    <x v="0"/>
    <x v="1"/>
    <n v="581.39"/>
  </r>
  <r>
    <x v="148"/>
    <x v="11"/>
    <x v="65"/>
    <x v="758"/>
    <x v="0"/>
    <x v="1"/>
    <n v="1954.38"/>
  </r>
  <r>
    <x v="18"/>
    <x v="11"/>
    <x v="65"/>
    <x v="759"/>
    <x v="0"/>
    <x v="1"/>
    <n v="199.17"/>
  </r>
  <r>
    <x v="79"/>
    <x v="11"/>
    <x v="65"/>
    <x v="760"/>
    <x v="0"/>
    <x v="1"/>
    <n v="959.85"/>
  </r>
  <r>
    <x v="80"/>
    <x v="11"/>
    <x v="65"/>
    <x v="761"/>
    <x v="0"/>
    <x v="1"/>
    <n v="131.47"/>
  </r>
  <r>
    <x v="101"/>
    <x v="11"/>
    <x v="65"/>
    <x v="762"/>
    <x v="0"/>
    <x v="1"/>
    <n v="312.66000000000003"/>
  </r>
  <r>
    <x v="3"/>
    <x v="11"/>
    <x v="65"/>
    <x v="763"/>
    <x v="0"/>
    <x v="1"/>
    <n v="1828.84"/>
  </r>
  <r>
    <x v="96"/>
    <x v="11"/>
    <x v="65"/>
    <x v="764"/>
    <x v="0"/>
    <x v="1"/>
    <n v="1463.52"/>
  </r>
  <r>
    <x v="109"/>
    <x v="11"/>
    <x v="65"/>
    <x v="765"/>
    <x v="0"/>
    <x v="1"/>
    <n v="5636.79"/>
  </r>
  <r>
    <x v="156"/>
    <x v="11"/>
    <x v="65"/>
    <x v="766"/>
    <x v="0"/>
    <x v="1"/>
    <n v="2913.39"/>
  </r>
  <r>
    <x v="128"/>
    <x v="11"/>
    <x v="65"/>
    <x v="767"/>
    <x v="1"/>
    <x v="1"/>
    <n v="418.68"/>
  </r>
  <r>
    <x v="80"/>
    <x v="11"/>
    <x v="65"/>
    <x v="768"/>
    <x v="0"/>
    <x v="1"/>
    <n v="98.93"/>
  </r>
  <r>
    <x v="84"/>
    <x v="11"/>
    <x v="65"/>
    <x v="769"/>
    <x v="0"/>
    <x v="1"/>
    <n v="189.15"/>
  </r>
  <r>
    <x v="85"/>
    <x v="11"/>
    <x v="65"/>
    <x v="769"/>
    <x v="0"/>
    <x v="1"/>
    <n v="29.3"/>
  </r>
  <r>
    <x v="85"/>
    <x v="11"/>
    <x v="65"/>
    <x v="769"/>
    <x v="0"/>
    <x v="1"/>
    <n v="44.61"/>
  </r>
  <r>
    <x v="85"/>
    <x v="11"/>
    <x v="65"/>
    <x v="769"/>
    <x v="0"/>
    <x v="1"/>
    <n v="50.37"/>
  </r>
  <r>
    <x v="80"/>
    <x v="11"/>
    <x v="65"/>
    <x v="770"/>
    <x v="0"/>
    <x v="1"/>
    <n v="302.97000000000003"/>
  </r>
  <r>
    <x v="84"/>
    <x v="11"/>
    <x v="65"/>
    <x v="771"/>
    <x v="0"/>
    <x v="1"/>
    <n v="578.16999999999996"/>
  </r>
  <r>
    <x v="125"/>
    <x v="11"/>
    <x v="65"/>
    <x v="772"/>
    <x v="0"/>
    <x v="1"/>
    <n v="1182"/>
  </r>
  <r>
    <x v="118"/>
    <x v="11"/>
    <x v="65"/>
    <x v="773"/>
    <x v="0"/>
    <x v="1"/>
    <n v="1450.62"/>
  </r>
  <r>
    <x v="63"/>
    <x v="11"/>
    <x v="65"/>
    <x v="774"/>
    <x v="0"/>
    <x v="1"/>
    <n v="75.34"/>
  </r>
  <r>
    <x v="19"/>
    <x v="11"/>
    <x v="65"/>
    <x v="775"/>
    <x v="0"/>
    <x v="1"/>
    <n v="125.36"/>
  </r>
  <r>
    <x v="5"/>
    <x v="11"/>
    <x v="65"/>
    <x v="776"/>
    <x v="0"/>
    <x v="1"/>
    <n v="1329.64"/>
  </r>
  <r>
    <x v="85"/>
    <x v="11"/>
    <x v="65"/>
    <x v="777"/>
    <x v="0"/>
    <x v="1"/>
    <n v="54.21"/>
  </r>
  <r>
    <x v="37"/>
    <x v="11"/>
    <x v="65"/>
    <x v="778"/>
    <x v="0"/>
    <x v="1"/>
    <n v="42.85"/>
  </r>
  <r>
    <x v="7"/>
    <x v="11"/>
    <x v="65"/>
    <x v="334"/>
    <x v="0"/>
    <x v="1"/>
    <n v="573.23"/>
  </r>
  <r>
    <x v="85"/>
    <x v="11"/>
    <x v="65"/>
    <x v="334"/>
    <x v="0"/>
    <x v="1"/>
    <n v="443.01"/>
  </r>
  <r>
    <x v="19"/>
    <x v="11"/>
    <x v="65"/>
    <x v="779"/>
    <x v="0"/>
    <x v="1"/>
    <n v="1215.8599999999999"/>
  </r>
  <r>
    <x v="94"/>
    <x v="11"/>
    <x v="66"/>
    <x v="780"/>
    <x v="1"/>
    <x v="1"/>
    <n v="261.08"/>
  </r>
  <r>
    <x v="53"/>
    <x v="11"/>
    <x v="26"/>
    <x v="781"/>
    <x v="0"/>
    <x v="1"/>
    <n v="221.13"/>
  </r>
  <r>
    <x v="63"/>
    <x v="11"/>
    <x v="26"/>
    <x v="782"/>
    <x v="1"/>
    <x v="1"/>
    <n v="328.87"/>
  </r>
  <r>
    <x v="63"/>
    <x v="11"/>
    <x v="26"/>
    <x v="782"/>
    <x v="4"/>
    <x v="1"/>
    <n v="328.87"/>
  </r>
  <r>
    <x v="127"/>
    <x v="11"/>
    <x v="26"/>
    <x v="783"/>
    <x v="0"/>
    <x v="1"/>
    <n v="260"/>
  </r>
  <r>
    <x v="158"/>
    <x v="11"/>
    <x v="26"/>
    <x v="784"/>
    <x v="0"/>
    <x v="1"/>
    <n v="440.78"/>
  </r>
  <r>
    <x v="109"/>
    <x v="11"/>
    <x v="26"/>
    <x v="785"/>
    <x v="0"/>
    <x v="1"/>
    <n v="137.26"/>
  </r>
  <r>
    <x v="131"/>
    <x v="11"/>
    <x v="26"/>
    <x v="786"/>
    <x v="0"/>
    <x v="1"/>
    <n v="728.06"/>
  </r>
  <r>
    <x v="7"/>
    <x v="11"/>
    <x v="26"/>
    <x v="787"/>
    <x v="0"/>
    <x v="1"/>
    <n v="197.05"/>
  </r>
  <r>
    <x v="70"/>
    <x v="11"/>
    <x v="26"/>
    <x v="788"/>
    <x v="0"/>
    <x v="1"/>
    <n v="628.79"/>
  </r>
  <r>
    <x v="42"/>
    <x v="11"/>
    <x v="26"/>
    <x v="745"/>
    <x v="1"/>
    <x v="1"/>
    <n v="1476.46"/>
  </r>
  <r>
    <x v="42"/>
    <x v="11"/>
    <x v="26"/>
    <x v="745"/>
    <x v="4"/>
    <x v="1"/>
    <n v="1476.46"/>
  </r>
  <r>
    <x v="63"/>
    <x v="11"/>
    <x v="26"/>
    <x v="745"/>
    <x v="1"/>
    <x v="1"/>
    <n v="127.73"/>
  </r>
  <r>
    <x v="63"/>
    <x v="11"/>
    <x v="26"/>
    <x v="745"/>
    <x v="4"/>
    <x v="1"/>
    <n v="127.73"/>
  </r>
  <r>
    <x v="27"/>
    <x v="11"/>
    <x v="26"/>
    <x v="131"/>
    <x v="0"/>
    <x v="1"/>
    <n v="347.33"/>
  </r>
  <r>
    <x v="5"/>
    <x v="11"/>
    <x v="26"/>
    <x v="131"/>
    <x v="0"/>
    <x v="3"/>
    <n v="343.74"/>
  </r>
  <r>
    <x v="54"/>
    <x v="11"/>
    <x v="26"/>
    <x v="131"/>
    <x v="0"/>
    <x v="1"/>
    <n v="443.79"/>
  </r>
  <r>
    <x v="85"/>
    <x v="11"/>
    <x v="26"/>
    <x v="789"/>
    <x v="0"/>
    <x v="1"/>
    <n v="127.52"/>
  </r>
  <r>
    <x v="37"/>
    <x v="11"/>
    <x v="26"/>
    <x v="790"/>
    <x v="0"/>
    <x v="1"/>
    <n v="137.1"/>
  </r>
  <r>
    <x v="152"/>
    <x v="11"/>
    <x v="26"/>
    <x v="133"/>
    <x v="0"/>
    <x v="1"/>
    <n v="140.88999999999999"/>
  </r>
  <r>
    <x v="128"/>
    <x v="11"/>
    <x v="26"/>
    <x v="133"/>
    <x v="0"/>
    <x v="1"/>
    <n v="139.41"/>
  </r>
  <r>
    <x v="131"/>
    <x v="11"/>
    <x v="26"/>
    <x v="133"/>
    <x v="0"/>
    <x v="1"/>
    <n v="47.81"/>
  </r>
  <r>
    <x v="131"/>
    <x v="11"/>
    <x v="26"/>
    <x v="133"/>
    <x v="0"/>
    <x v="1"/>
    <n v="80.41"/>
  </r>
  <r>
    <x v="131"/>
    <x v="11"/>
    <x v="26"/>
    <x v="133"/>
    <x v="0"/>
    <x v="1"/>
    <n v="114.23"/>
  </r>
  <r>
    <x v="131"/>
    <x v="11"/>
    <x v="26"/>
    <x v="133"/>
    <x v="0"/>
    <x v="1"/>
    <n v="152.18"/>
  </r>
  <r>
    <x v="70"/>
    <x v="11"/>
    <x v="26"/>
    <x v="133"/>
    <x v="0"/>
    <x v="1"/>
    <n v="165.35"/>
  </r>
  <r>
    <x v="8"/>
    <x v="11"/>
    <x v="26"/>
    <x v="133"/>
    <x v="0"/>
    <x v="1"/>
    <n v="199.88"/>
  </r>
  <r>
    <x v="39"/>
    <x v="11"/>
    <x v="26"/>
    <x v="133"/>
    <x v="0"/>
    <x v="1"/>
    <n v="3"/>
  </r>
  <r>
    <x v="39"/>
    <x v="11"/>
    <x v="26"/>
    <x v="133"/>
    <x v="0"/>
    <x v="1"/>
    <n v="11.95"/>
  </r>
  <r>
    <x v="11"/>
    <x v="11"/>
    <x v="26"/>
    <x v="133"/>
    <x v="0"/>
    <x v="1"/>
    <n v="94.27"/>
  </r>
  <r>
    <x v="11"/>
    <x v="11"/>
    <x v="26"/>
    <x v="133"/>
    <x v="0"/>
    <x v="1"/>
    <n v="110.7"/>
  </r>
  <r>
    <x v="38"/>
    <x v="11"/>
    <x v="26"/>
    <x v="133"/>
    <x v="0"/>
    <x v="1"/>
    <n v="72.48"/>
  </r>
  <r>
    <x v="16"/>
    <x v="11"/>
    <x v="26"/>
    <x v="133"/>
    <x v="0"/>
    <x v="1"/>
    <n v="155.27000000000001"/>
  </r>
  <r>
    <x v="16"/>
    <x v="11"/>
    <x v="26"/>
    <x v="133"/>
    <x v="0"/>
    <x v="1"/>
    <n v="394.74"/>
  </r>
  <r>
    <x v="106"/>
    <x v="11"/>
    <x v="26"/>
    <x v="133"/>
    <x v="0"/>
    <x v="1"/>
    <n v="367.87"/>
  </r>
  <r>
    <x v="79"/>
    <x v="11"/>
    <x v="26"/>
    <x v="133"/>
    <x v="0"/>
    <x v="1"/>
    <n v="206.02"/>
  </r>
  <r>
    <x v="148"/>
    <x v="11"/>
    <x v="26"/>
    <x v="133"/>
    <x v="0"/>
    <x v="1"/>
    <n v="183.1"/>
  </r>
  <r>
    <x v="148"/>
    <x v="11"/>
    <x v="26"/>
    <x v="133"/>
    <x v="0"/>
    <x v="1"/>
    <n v="477.35"/>
  </r>
  <r>
    <x v="27"/>
    <x v="11"/>
    <x v="26"/>
    <x v="133"/>
    <x v="0"/>
    <x v="1"/>
    <n v="154.93"/>
  </r>
  <r>
    <x v="109"/>
    <x v="11"/>
    <x v="26"/>
    <x v="133"/>
    <x v="0"/>
    <x v="1"/>
    <n v="78.08"/>
  </r>
  <r>
    <x v="109"/>
    <x v="11"/>
    <x v="26"/>
    <x v="133"/>
    <x v="0"/>
    <x v="1"/>
    <n v="124.33"/>
  </r>
  <r>
    <x v="109"/>
    <x v="11"/>
    <x v="26"/>
    <x v="133"/>
    <x v="0"/>
    <x v="1"/>
    <n v="56.15"/>
  </r>
  <r>
    <x v="84"/>
    <x v="11"/>
    <x v="26"/>
    <x v="133"/>
    <x v="0"/>
    <x v="1"/>
    <n v="131.78"/>
  </r>
  <r>
    <x v="19"/>
    <x v="11"/>
    <x v="26"/>
    <x v="133"/>
    <x v="0"/>
    <x v="1"/>
    <n v="157.11000000000001"/>
  </r>
  <r>
    <x v="37"/>
    <x v="11"/>
    <x v="26"/>
    <x v="133"/>
    <x v="0"/>
    <x v="1"/>
    <n v="121.04"/>
  </r>
  <r>
    <x v="37"/>
    <x v="11"/>
    <x v="26"/>
    <x v="133"/>
    <x v="0"/>
    <x v="1"/>
    <n v="46.69"/>
  </r>
  <r>
    <x v="85"/>
    <x v="11"/>
    <x v="26"/>
    <x v="133"/>
    <x v="0"/>
    <x v="1"/>
    <n v="104.53"/>
  </r>
  <r>
    <x v="26"/>
    <x v="11"/>
    <x v="26"/>
    <x v="133"/>
    <x v="0"/>
    <x v="1"/>
    <n v="168.72"/>
  </r>
  <r>
    <x v="86"/>
    <x v="11"/>
    <x v="26"/>
    <x v="133"/>
    <x v="0"/>
    <x v="1"/>
    <n v="22.09"/>
  </r>
  <r>
    <x v="86"/>
    <x v="11"/>
    <x v="26"/>
    <x v="133"/>
    <x v="0"/>
    <x v="1"/>
    <n v="110.45"/>
  </r>
  <r>
    <x v="156"/>
    <x v="11"/>
    <x v="26"/>
    <x v="133"/>
    <x v="0"/>
    <x v="1"/>
    <n v="285.92"/>
  </r>
  <r>
    <x v="97"/>
    <x v="11"/>
    <x v="26"/>
    <x v="133"/>
    <x v="0"/>
    <x v="1"/>
    <n v="235.74"/>
  </r>
  <r>
    <x v="97"/>
    <x v="11"/>
    <x v="26"/>
    <x v="133"/>
    <x v="0"/>
    <x v="1"/>
    <n v="187.68"/>
  </r>
  <r>
    <x v="97"/>
    <x v="11"/>
    <x v="26"/>
    <x v="133"/>
    <x v="0"/>
    <x v="1"/>
    <n v="695.87"/>
  </r>
  <r>
    <x v="97"/>
    <x v="11"/>
    <x v="26"/>
    <x v="133"/>
    <x v="0"/>
    <x v="1"/>
    <n v="204.68"/>
  </r>
  <r>
    <x v="116"/>
    <x v="11"/>
    <x v="67"/>
    <x v="791"/>
    <x v="0"/>
    <x v="1"/>
    <n v="13074.55"/>
  </r>
  <r>
    <x v="3"/>
    <x v="11"/>
    <x v="67"/>
    <x v="792"/>
    <x v="1"/>
    <x v="1"/>
    <n v="1836.885"/>
  </r>
  <r>
    <x v="3"/>
    <x v="11"/>
    <x v="67"/>
    <x v="792"/>
    <x v="4"/>
    <x v="1"/>
    <n v="1836.885"/>
  </r>
  <r>
    <x v="144"/>
    <x v="11"/>
    <x v="67"/>
    <x v="792"/>
    <x v="1"/>
    <x v="1"/>
    <n v="1836.885"/>
  </r>
  <r>
    <x v="144"/>
    <x v="11"/>
    <x v="67"/>
    <x v="792"/>
    <x v="4"/>
    <x v="1"/>
    <n v="1836.885"/>
  </r>
  <r>
    <x v="13"/>
    <x v="11"/>
    <x v="67"/>
    <x v="792"/>
    <x v="1"/>
    <x v="1"/>
    <n v="1836.885"/>
  </r>
  <r>
    <x v="13"/>
    <x v="11"/>
    <x v="67"/>
    <x v="792"/>
    <x v="4"/>
    <x v="1"/>
    <n v="1836.885"/>
  </r>
  <r>
    <x v="16"/>
    <x v="11"/>
    <x v="67"/>
    <x v="793"/>
    <x v="0"/>
    <x v="3"/>
    <n v="1886.5"/>
  </r>
  <r>
    <x v="150"/>
    <x v="11"/>
    <x v="67"/>
    <x v="793"/>
    <x v="0"/>
    <x v="3"/>
    <n v="1886.5"/>
  </r>
  <r>
    <x v="17"/>
    <x v="11"/>
    <x v="67"/>
    <x v="793"/>
    <x v="0"/>
    <x v="3"/>
    <n v="1886.5"/>
  </r>
  <r>
    <x v="13"/>
    <x v="11"/>
    <x v="67"/>
    <x v="793"/>
    <x v="0"/>
    <x v="3"/>
    <n v="1886.5"/>
  </r>
  <r>
    <x v="40"/>
    <x v="11"/>
    <x v="67"/>
    <x v="793"/>
    <x v="0"/>
    <x v="1"/>
    <n v="5640.96"/>
  </r>
  <r>
    <x v="126"/>
    <x v="11"/>
    <x v="67"/>
    <x v="793"/>
    <x v="0"/>
    <x v="1"/>
    <n v="18528.12"/>
  </r>
  <r>
    <x v="118"/>
    <x v="11"/>
    <x v="67"/>
    <x v="793"/>
    <x v="0"/>
    <x v="1"/>
    <n v="18528.12"/>
  </r>
  <r>
    <x v="2"/>
    <x v="11"/>
    <x v="67"/>
    <x v="793"/>
    <x v="0"/>
    <x v="1"/>
    <n v="18528.12"/>
  </r>
  <r>
    <x v="72"/>
    <x v="11"/>
    <x v="67"/>
    <x v="793"/>
    <x v="0"/>
    <x v="3"/>
    <n v="1886.5"/>
  </r>
  <r>
    <x v="138"/>
    <x v="11"/>
    <x v="67"/>
    <x v="794"/>
    <x v="1"/>
    <x v="1"/>
    <n v="469.1"/>
  </r>
  <r>
    <x v="138"/>
    <x v="11"/>
    <x v="67"/>
    <x v="794"/>
    <x v="4"/>
    <x v="1"/>
    <n v="469.1"/>
  </r>
  <r>
    <x v="3"/>
    <x v="11"/>
    <x v="67"/>
    <x v="795"/>
    <x v="1"/>
    <x v="0"/>
    <n v="12350"/>
  </r>
  <r>
    <x v="3"/>
    <x v="11"/>
    <x v="67"/>
    <x v="795"/>
    <x v="2"/>
    <x v="0"/>
    <n v="12350"/>
  </r>
  <r>
    <x v="52"/>
    <x v="11"/>
    <x v="67"/>
    <x v="796"/>
    <x v="1"/>
    <x v="1"/>
    <n v="23456.52"/>
  </r>
  <r>
    <x v="52"/>
    <x v="11"/>
    <x v="67"/>
    <x v="796"/>
    <x v="4"/>
    <x v="1"/>
    <n v="23456.52"/>
  </r>
  <r>
    <x v="3"/>
    <x v="11"/>
    <x v="67"/>
    <x v="797"/>
    <x v="1"/>
    <x v="1"/>
    <n v="2400.8850000000002"/>
  </r>
  <r>
    <x v="3"/>
    <x v="11"/>
    <x v="67"/>
    <x v="797"/>
    <x v="4"/>
    <x v="1"/>
    <n v="2400.8850000000002"/>
  </r>
  <r>
    <x v="138"/>
    <x v="11"/>
    <x v="67"/>
    <x v="798"/>
    <x v="1"/>
    <x v="1"/>
    <n v="427.22"/>
  </r>
  <r>
    <x v="138"/>
    <x v="11"/>
    <x v="67"/>
    <x v="798"/>
    <x v="4"/>
    <x v="1"/>
    <n v="427.22"/>
  </r>
  <r>
    <x v="77"/>
    <x v="11"/>
    <x v="67"/>
    <x v="799"/>
    <x v="1"/>
    <x v="1"/>
    <n v="1515.37"/>
  </r>
  <r>
    <x v="77"/>
    <x v="11"/>
    <x v="67"/>
    <x v="799"/>
    <x v="4"/>
    <x v="1"/>
    <n v="1515.37"/>
  </r>
  <r>
    <x v="106"/>
    <x v="11"/>
    <x v="67"/>
    <x v="799"/>
    <x v="1"/>
    <x v="1"/>
    <n v="9477.2350000000006"/>
  </r>
  <r>
    <x v="79"/>
    <x v="11"/>
    <x v="67"/>
    <x v="799"/>
    <x v="4"/>
    <x v="1"/>
    <n v="9477.2350000000006"/>
  </r>
  <r>
    <x v="27"/>
    <x v="11"/>
    <x v="67"/>
    <x v="800"/>
    <x v="1"/>
    <x v="1"/>
    <n v="5136.2"/>
  </r>
  <r>
    <x v="27"/>
    <x v="11"/>
    <x v="67"/>
    <x v="800"/>
    <x v="4"/>
    <x v="1"/>
    <n v="5136.2"/>
  </r>
  <r>
    <x v="53"/>
    <x v="11"/>
    <x v="67"/>
    <x v="801"/>
    <x v="1"/>
    <x v="1"/>
    <n v="16345.11"/>
  </r>
  <r>
    <x v="53"/>
    <x v="11"/>
    <x v="67"/>
    <x v="801"/>
    <x v="4"/>
    <x v="1"/>
    <n v="16345.11"/>
  </r>
  <r>
    <x v="7"/>
    <x v="11"/>
    <x v="67"/>
    <x v="802"/>
    <x v="1"/>
    <x v="1"/>
    <n v="6372.92"/>
  </r>
  <r>
    <x v="7"/>
    <x v="11"/>
    <x v="67"/>
    <x v="802"/>
    <x v="4"/>
    <x v="1"/>
    <n v="6372.92"/>
  </r>
  <r>
    <x v="27"/>
    <x v="11"/>
    <x v="50"/>
    <x v="803"/>
    <x v="1"/>
    <x v="1"/>
    <n v="987.96"/>
  </r>
  <r>
    <x v="27"/>
    <x v="11"/>
    <x v="50"/>
    <x v="803"/>
    <x v="4"/>
    <x v="1"/>
    <n v="987.96"/>
  </r>
  <r>
    <x v="158"/>
    <x v="11"/>
    <x v="68"/>
    <x v="804"/>
    <x v="0"/>
    <x v="1"/>
    <n v="5770.15"/>
  </r>
  <r>
    <x v="53"/>
    <x v="11"/>
    <x v="68"/>
    <x v="804"/>
    <x v="1"/>
    <x v="1"/>
    <n v="756.75"/>
  </r>
  <r>
    <x v="53"/>
    <x v="11"/>
    <x v="68"/>
    <x v="804"/>
    <x v="4"/>
    <x v="1"/>
    <n v="756.75"/>
  </r>
  <r>
    <x v="52"/>
    <x v="11"/>
    <x v="68"/>
    <x v="805"/>
    <x v="0"/>
    <x v="1"/>
    <n v="1559.85"/>
  </r>
  <r>
    <x v="126"/>
    <x v="11"/>
    <x v="68"/>
    <x v="806"/>
    <x v="0"/>
    <x v="1"/>
    <n v="399.91"/>
  </r>
  <r>
    <x v="158"/>
    <x v="11"/>
    <x v="68"/>
    <x v="807"/>
    <x v="0"/>
    <x v="1"/>
    <n v="3148.48"/>
  </r>
  <r>
    <x v="126"/>
    <x v="11"/>
    <x v="69"/>
    <x v="808"/>
    <x v="1"/>
    <x v="1"/>
    <n v="3714.6366666666668"/>
  </r>
  <r>
    <x v="126"/>
    <x v="11"/>
    <x v="69"/>
    <x v="808"/>
    <x v="3"/>
    <x v="1"/>
    <n v="3714.6366666666668"/>
  </r>
  <r>
    <x v="126"/>
    <x v="11"/>
    <x v="69"/>
    <x v="808"/>
    <x v="2"/>
    <x v="1"/>
    <n v="3714.6366666666668"/>
  </r>
  <r>
    <x v="118"/>
    <x v="11"/>
    <x v="69"/>
    <x v="808"/>
    <x v="1"/>
    <x v="1"/>
    <n v="3714.6366666666668"/>
  </r>
  <r>
    <x v="118"/>
    <x v="11"/>
    <x v="69"/>
    <x v="808"/>
    <x v="3"/>
    <x v="1"/>
    <n v="3714.6366666666668"/>
  </r>
  <r>
    <x v="118"/>
    <x v="11"/>
    <x v="69"/>
    <x v="808"/>
    <x v="2"/>
    <x v="1"/>
    <n v="3714.6366666666668"/>
  </r>
  <r>
    <x v="54"/>
    <x v="11"/>
    <x v="70"/>
    <x v="809"/>
    <x v="1"/>
    <x v="1"/>
    <n v="253.6"/>
  </r>
  <r>
    <x v="54"/>
    <x v="11"/>
    <x v="70"/>
    <x v="809"/>
    <x v="4"/>
    <x v="1"/>
    <n v="253.6"/>
  </r>
  <r>
    <x v="3"/>
    <x v="11"/>
    <x v="70"/>
    <x v="810"/>
    <x v="1"/>
    <x v="1"/>
    <n v="484.86"/>
  </r>
  <r>
    <x v="3"/>
    <x v="11"/>
    <x v="70"/>
    <x v="810"/>
    <x v="4"/>
    <x v="1"/>
    <n v="484.86"/>
  </r>
  <r>
    <x v="144"/>
    <x v="11"/>
    <x v="70"/>
    <x v="810"/>
    <x v="1"/>
    <x v="1"/>
    <n v="484.86"/>
  </r>
  <r>
    <x v="144"/>
    <x v="11"/>
    <x v="70"/>
    <x v="810"/>
    <x v="4"/>
    <x v="1"/>
    <n v="484.86"/>
  </r>
  <r>
    <x v="13"/>
    <x v="11"/>
    <x v="70"/>
    <x v="810"/>
    <x v="1"/>
    <x v="1"/>
    <n v="484.86"/>
  </r>
  <r>
    <x v="13"/>
    <x v="11"/>
    <x v="70"/>
    <x v="810"/>
    <x v="4"/>
    <x v="1"/>
    <n v="484.86"/>
  </r>
  <r>
    <x v="108"/>
    <x v="11"/>
    <x v="70"/>
    <x v="811"/>
    <x v="0"/>
    <x v="1"/>
    <n v="288.16000000000003"/>
  </r>
  <r>
    <x v="108"/>
    <x v="11"/>
    <x v="70"/>
    <x v="811"/>
    <x v="0"/>
    <x v="1"/>
    <n v="325.75"/>
  </r>
  <r>
    <x v="108"/>
    <x v="11"/>
    <x v="70"/>
    <x v="811"/>
    <x v="0"/>
    <x v="1"/>
    <n v="538.46"/>
  </r>
  <r>
    <x v="0"/>
    <x v="11"/>
    <x v="70"/>
    <x v="811"/>
    <x v="0"/>
    <x v="1"/>
    <n v="651.70000000000005"/>
  </r>
  <r>
    <x v="118"/>
    <x v="11"/>
    <x v="70"/>
    <x v="811"/>
    <x v="2"/>
    <x v="1"/>
    <n v="735.34"/>
  </r>
  <r>
    <x v="69"/>
    <x v="11"/>
    <x v="70"/>
    <x v="811"/>
    <x v="1"/>
    <x v="1"/>
    <n v="1039.4000000000001"/>
  </r>
  <r>
    <x v="69"/>
    <x v="11"/>
    <x v="70"/>
    <x v="811"/>
    <x v="4"/>
    <x v="1"/>
    <n v="1039.4000000000001"/>
  </r>
  <r>
    <x v="68"/>
    <x v="11"/>
    <x v="70"/>
    <x v="811"/>
    <x v="0"/>
    <x v="1"/>
    <n v="1295"/>
  </r>
  <r>
    <x v="29"/>
    <x v="11"/>
    <x v="70"/>
    <x v="811"/>
    <x v="4"/>
    <x v="1"/>
    <n v="1393.64"/>
  </r>
  <r>
    <x v="116"/>
    <x v="11"/>
    <x v="70"/>
    <x v="811"/>
    <x v="0"/>
    <x v="1"/>
    <n v="1398"/>
  </r>
  <r>
    <x v="118"/>
    <x v="11"/>
    <x v="70"/>
    <x v="811"/>
    <x v="0"/>
    <x v="1"/>
    <n v="1398"/>
  </r>
  <r>
    <x v="2"/>
    <x v="11"/>
    <x v="70"/>
    <x v="811"/>
    <x v="0"/>
    <x v="1"/>
    <n v="1398"/>
  </r>
  <r>
    <x v="116"/>
    <x v="11"/>
    <x v="70"/>
    <x v="811"/>
    <x v="0"/>
    <x v="1"/>
    <n v="1438"/>
  </r>
  <r>
    <x v="118"/>
    <x v="11"/>
    <x v="70"/>
    <x v="811"/>
    <x v="0"/>
    <x v="1"/>
    <n v="1438"/>
  </r>
  <r>
    <x v="2"/>
    <x v="11"/>
    <x v="70"/>
    <x v="811"/>
    <x v="0"/>
    <x v="1"/>
    <n v="1438"/>
  </r>
  <r>
    <x v="0"/>
    <x v="11"/>
    <x v="70"/>
    <x v="811"/>
    <x v="0"/>
    <x v="1"/>
    <n v="3158.6"/>
  </r>
  <r>
    <x v="69"/>
    <x v="11"/>
    <x v="70"/>
    <x v="811"/>
    <x v="1"/>
    <x v="1"/>
    <n v="5035.3"/>
  </r>
  <r>
    <x v="69"/>
    <x v="11"/>
    <x v="70"/>
    <x v="811"/>
    <x v="4"/>
    <x v="1"/>
    <n v="5035.3"/>
  </r>
  <r>
    <x v="118"/>
    <x v="11"/>
    <x v="70"/>
    <x v="811"/>
    <x v="0"/>
    <x v="1"/>
    <n v="7424.26"/>
  </r>
  <r>
    <x v="2"/>
    <x v="11"/>
    <x v="70"/>
    <x v="811"/>
    <x v="0"/>
    <x v="1"/>
    <n v="7424.26"/>
  </r>
  <r>
    <x v="29"/>
    <x v="11"/>
    <x v="70"/>
    <x v="811"/>
    <x v="4"/>
    <x v="1"/>
    <n v="9507.23"/>
  </r>
  <r>
    <x v="126"/>
    <x v="11"/>
    <x v="70"/>
    <x v="811"/>
    <x v="0"/>
    <x v="1"/>
    <n v="11221.72"/>
  </r>
  <r>
    <x v="29"/>
    <x v="11"/>
    <x v="70"/>
    <x v="811"/>
    <x v="1"/>
    <x v="1"/>
    <n v="18409.759999999998"/>
  </r>
  <r>
    <x v="3"/>
    <x v="11"/>
    <x v="70"/>
    <x v="811"/>
    <x v="0"/>
    <x v="1"/>
    <n v="7424.26"/>
  </r>
  <r>
    <x v="3"/>
    <x v="11"/>
    <x v="70"/>
    <x v="811"/>
    <x v="0"/>
    <x v="1"/>
    <n v="1398"/>
  </r>
  <r>
    <x v="3"/>
    <x v="11"/>
    <x v="70"/>
    <x v="811"/>
    <x v="0"/>
    <x v="1"/>
    <n v="1438"/>
  </r>
  <r>
    <x v="144"/>
    <x v="11"/>
    <x v="70"/>
    <x v="811"/>
    <x v="0"/>
    <x v="1"/>
    <n v="1398"/>
  </r>
  <r>
    <x v="144"/>
    <x v="11"/>
    <x v="70"/>
    <x v="811"/>
    <x v="0"/>
    <x v="1"/>
    <n v="1438"/>
  </r>
  <r>
    <x v="144"/>
    <x v="11"/>
    <x v="70"/>
    <x v="811"/>
    <x v="4"/>
    <x v="1"/>
    <n v="1393.64"/>
  </r>
  <r>
    <x v="3"/>
    <x v="11"/>
    <x v="70"/>
    <x v="811"/>
    <x v="4"/>
    <x v="1"/>
    <n v="1393.64"/>
  </r>
  <r>
    <x v="13"/>
    <x v="11"/>
    <x v="70"/>
    <x v="811"/>
    <x v="4"/>
    <x v="1"/>
    <n v="1393.64"/>
  </r>
  <r>
    <x v="86"/>
    <x v="11"/>
    <x v="70"/>
    <x v="812"/>
    <x v="1"/>
    <x v="1"/>
    <n v="3159.22"/>
  </r>
  <r>
    <x v="86"/>
    <x v="11"/>
    <x v="70"/>
    <x v="812"/>
    <x v="2"/>
    <x v="1"/>
    <n v="3159.22"/>
  </r>
  <r>
    <x v="3"/>
    <x v="11"/>
    <x v="70"/>
    <x v="813"/>
    <x v="1"/>
    <x v="1"/>
    <n v="3525.5749999999998"/>
  </r>
  <r>
    <x v="3"/>
    <x v="11"/>
    <x v="70"/>
    <x v="813"/>
    <x v="4"/>
    <x v="1"/>
    <n v="3525.5749999999998"/>
  </r>
  <r>
    <x v="86"/>
    <x v="11"/>
    <x v="70"/>
    <x v="814"/>
    <x v="1"/>
    <x v="1"/>
    <n v="838.93"/>
  </r>
  <r>
    <x v="86"/>
    <x v="11"/>
    <x v="70"/>
    <x v="814"/>
    <x v="2"/>
    <x v="1"/>
    <n v="838.93"/>
  </r>
  <r>
    <x v="71"/>
    <x v="11"/>
    <x v="70"/>
    <x v="815"/>
    <x v="1"/>
    <x v="1"/>
    <n v="798"/>
  </r>
  <r>
    <x v="71"/>
    <x v="11"/>
    <x v="70"/>
    <x v="815"/>
    <x v="4"/>
    <x v="1"/>
    <n v="798"/>
  </r>
  <r>
    <x v="71"/>
    <x v="11"/>
    <x v="70"/>
    <x v="815"/>
    <x v="3"/>
    <x v="1"/>
    <n v="798"/>
  </r>
  <r>
    <x v="71"/>
    <x v="11"/>
    <x v="70"/>
    <x v="815"/>
    <x v="2"/>
    <x v="1"/>
    <n v="798"/>
  </r>
  <r>
    <x v="2"/>
    <x v="11"/>
    <x v="70"/>
    <x v="815"/>
    <x v="1"/>
    <x v="1"/>
    <n v="798"/>
  </r>
  <r>
    <x v="2"/>
    <x v="11"/>
    <x v="70"/>
    <x v="815"/>
    <x v="4"/>
    <x v="1"/>
    <n v="798"/>
  </r>
  <r>
    <x v="2"/>
    <x v="11"/>
    <x v="70"/>
    <x v="815"/>
    <x v="3"/>
    <x v="1"/>
    <n v="798"/>
  </r>
  <r>
    <x v="2"/>
    <x v="11"/>
    <x v="70"/>
    <x v="815"/>
    <x v="2"/>
    <x v="1"/>
    <n v="798"/>
  </r>
  <r>
    <x v="3"/>
    <x v="11"/>
    <x v="70"/>
    <x v="815"/>
    <x v="1"/>
    <x v="1"/>
    <n v="798"/>
  </r>
  <r>
    <x v="3"/>
    <x v="11"/>
    <x v="70"/>
    <x v="815"/>
    <x v="4"/>
    <x v="1"/>
    <n v="798"/>
  </r>
  <r>
    <x v="3"/>
    <x v="11"/>
    <x v="70"/>
    <x v="815"/>
    <x v="3"/>
    <x v="1"/>
    <n v="798"/>
  </r>
  <r>
    <x v="3"/>
    <x v="11"/>
    <x v="70"/>
    <x v="815"/>
    <x v="2"/>
    <x v="1"/>
    <n v="798"/>
  </r>
  <r>
    <x v="144"/>
    <x v="11"/>
    <x v="70"/>
    <x v="815"/>
    <x v="1"/>
    <x v="1"/>
    <n v="798"/>
  </r>
  <r>
    <x v="144"/>
    <x v="11"/>
    <x v="70"/>
    <x v="815"/>
    <x v="4"/>
    <x v="1"/>
    <n v="798"/>
  </r>
  <r>
    <x v="144"/>
    <x v="11"/>
    <x v="70"/>
    <x v="815"/>
    <x v="3"/>
    <x v="1"/>
    <n v="798"/>
  </r>
  <r>
    <x v="144"/>
    <x v="11"/>
    <x v="70"/>
    <x v="815"/>
    <x v="2"/>
    <x v="1"/>
    <n v="798"/>
  </r>
  <r>
    <x v="13"/>
    <x v="11"/>
    <x v="70"/>
    <x v="815"/>
    <x v="1"/>
    <x v="1"/>
    <n v="798"/>
  </r>
  <r>
    <x v="13"/>
    <x v="11"/>
    <x v="70"/>
    <x v="815"/>
    <x v="4"/>
    <x v="1"/>
    <n v="798"/>
  </r>
  <r>
    <x v="13"/>
    <x v="11"/>
    <x v="70"/>
    <x v="815"/>
    <x v="3"/>
    <x v="1"/>
    <n v="798"/>
  </r>
  <r>
    <x v="13"/>
    <x v="11"/>
    <x v="70"/>
    <x v="815"/>
    <x v="2"/>
    <x v="1"/>
    <n v="798"/>
  </r>
  <r>
    <x v="126"/>
    <x v="11"/>
    <x v="70"/>
    <x v="816"/>
    <x v="0"/>
    <x v="1"/>
    <n v="1687.81"/>
  </r>
  <r>
    <x v="118"/>
    <x v="11"/>
    <x v="70"/>
    <x v="816"/>
    <x v="0"/>
    <x v="1"/>
    <n v="1687.81"/>
  </r>
  <r>
    <x v="2"/>
    <x v="11"/>
    <x v="70"/>
    <x v="816"/>
    <x v="0"/>
    <x v="1"/>
    <n v="1687.81"/>
  </r>
  <r>
    <x v="33"/>
    <x v="11"/>
    <x v="70"/>
    <x v="817"/>
    <x v="0"/>
    <x v="3"/>
    <n v="50000"/>
  </r>
  <r>
    <x v="66"/>
    <x v="11"/>
    <x v="70"/>
    <x v="817"/>
    <x v="0"/>
    <x v="1"/>
    <n v="7000"/>
  </r>
  <r>
    <x v="3"/>
    <x v="11"/>
    <x v="70"/>
    <x v="818"/>
    <x v="1"/>
    <x v="1"/>
    <n v="790.06"/>
  </r>
  <r>
    <x v="3"/>
    <x v="11"/>
    <x v="70"/>
    <x v="818"/>
    <x v="1"/>
    <x v="1"/>
    <n v="443.28"/>
  </r>
  <r>
    <x v="3"/>
    <x v="11"/>
    <x v="70"/>
    <x v="818"/>
    <x v="4"/>
    <x v="1"/>
    <n v="790.06"/>
  </r>
  <r>
    <x v="3"/>
    <x v="11"/>
    <x v="70"/>
    <x v="818"/>
    <x v="1"/>
    <x v="1"/>
    <n v="183.63"/>
  </r>
  <r>
    <x v="3"/>
    <x v="11"/>
    <x v="70"/>
    <x v="818"/>
    <x v="4"/>
    <x v="1"/>
    <n v="443.28"/>
  </r>
  <r>
    <x v="3"/>
    <x v="11"/>
    <x v="70"/>
    <x v="818"/>
    <x v="4"/>
    <x v="1"/>
    <n v="183.63"/>
  </r>
  <r>
    <x v="3"/>
    <x v="11"/>
    <x v="70"/>
    <x v="818"/>
    <x v="1"/>
    <x v="1"/>
    <n v="171"/>
  </r>
  <r>
    <x v="3"/>
    <x v="11"/>
    <x v="70"/>
    <x v="818"/>
    <x v="4"/>
    <x v="1"/>
    <n v="171"/>
  </r>
  <r>
    <x v="33"/>
    <x v="11"/>
    <x v="70"/>
    <x v="819"/>
    <x v="1"/>
    <x v="3"/>
    <n v="1254.395"/>
  </r>
  <r>
    <x v="33"/>
    <x v="11"/>
    <x v="70"/>
    <x v="819"/>
    <x v="4"/>
    <x v="3"/>
    <n v="1254.395"/>
  </r>
  <r>
    <x v="16"/>
    <x v="11"/>
    <x v="70"/>
    <x v="819"/>
    <x v="1"/>
    <x v="3"/>
    <n v="1254.395"/>
  </r>
  <r>
    <x v="16"/>
    <x v="11"/>
    <x v="70"/>
    <x v="819"/>
    <x v="4"/>
    <x v="3"/>
    <n v="1254.395"/>
  </r>
  <r>
    <x v="3"/>
    <x v="11"/>
    <x v="70"/>
    <x v="819"/>
    <x v="1"/>
    <x v="3"/>
    <n v="1254.395"/>
  </r>
  <r>
    <x v="3"/>
    <x v="11"/>
    <x v="70"/>
    <x v="819"/>
    <x v="4"/>
    <x v="3"/>
    <n v="1254.395"/>
  </r>
  <r>
    <x v="144"/>
    <x v="11"/>
    <x v="70"/>
    <x v="819"/>
    <x v="1"/>
    <x v="3"/>
    <n v="1254.395"/>
  </r>
  <r>
    <x v="144"/>
    <x v="11"/>
    <x v="70"/>
    <x v="819"/>
    <x v="4"/>
    <x v="3"/>
    <n v="1254.395"/>
  </r>
  <r>
    <x v="3"/>
    <x v="11"/>
    <x v="70"/>
    <x v="820"/>
    <x v="1"/>
    <x v="1"/>
    <n v="313.64"/>
  </r>
  <r>
    <x v="33"/>
    <x v="11"/>
    <x v="70"/>
    <x v="821"/>
    <x v="1"/>
    <x v="1"/>
    <n v="1243.28"/>
  </r>
  <r>
    <x v="33"/>
    <x v="11"/>
    <x v="70"/>
    <x v="821"/>
    <x v="4"/>
    <x v="1"/>
    <n v="1243.28"/>
  </r>
  <r>
    <x v="106"/>
    <x v="11"/>
    <x v="70"/>
    <x v="822"/>
    <x v="1"/>
    <x v="1"/>
    <n v="8208"/>
  </r>
  <r>
    <x v="106"/>
    <x v="11"/>
    <x v="70"/>
    <x v="822"/>
    <x v="4"/>
    <x v="1"/>
    <n v="8208"/>
  </r>
  <r>
    <x v="3"/>
    <x v="11"/>
    <x v="70"/>
    <x v="823"/>
    <x v="1"/>
    <x v="1"/>
    <n v="1009.415"/>
  </r>
  <r>
    <x v="3"/>
    <x v="11"/>
    <x v="70"/>
    <x v="823"/>
    <x v="4"/>
    <x v="1"/>
    <n v="1009.415"/>
  </r>
  <r>
    <x v="86"/>
    <x v="11"/>
    <x v="14"/>
    <x v="824"/>
    <x v="0"/>
    <x v="0"/>
    <n v="17000"/>
  </r>
  <r>
    <x v="95"/>
    <x v="11"/>
    <x v="71"/>
    <x v="825"/>
    <x v="0"/>
    <x v="0"/>
    <n v="3000"/>
  </r>
  <r>
    <x v="85"/>
    <x v="11"/>
    <x v="71"/>
    <x v="826"/>
    <x v="0"/>
    <x v="1"/>
    <n v="5099.96"/>
  </r>
  <r>
    <x v="39"/>
    <x v="11"/>
    <x v="72"/>
    <x v="827"/>
    <x v="0"/>
    <x v="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36ED3-4CBF-4463-8C3F-C82DE9E0B9CF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H35" firstHeaderRow="1" firstDataRow="2" firstDataCol="1" rowPageCount="2" colPageCount="1"/>
  <pivotFields count="9">
    <pivotField numFmtId="14" showAll="0">
      <items count="160">
        <item x="126"/>
        <item x="21"/>
        <item x="127"/>
        <item x="125"/>
        <item x="64"/>
        <item x="60"/>
        <item x="100"/>
        <item x="43"/>
        <item x="115"/>
        <item x="14"/>
        <item x="130"/>
        <item x="65"/>
        <item x="69"/>
        <item x="116"/>
        <item x="0"/>
        <item x="108"/>
        <item x="153"/>
        <item x="129"/>
        <item x="41"/>
        <item x="68"/>
        <item x="152"/>
        <item x="44"/>
        <item x="128"/>
        <item x="131"/>
        <item x="110"/>
        <item x="70"/>
        <item x="8"/>
        <item x="121"/>
        <item x="45"/>
        <item x="39"/>
        <item x="114"/>
        <item x="118"/>
        <item x="10"/>
        <item x="71"/>
        <item x="46"/>
        <item x="15"/>
        <item x="61"/>
        <item x="132"/>
        <item x="120"/>
        <item x="47"/>
        <item x="31"/>
        <item x="33"/>
        <item x="72"/>
        <item x="34"/>
        <item x="113"/>
        <item x="1"/>
        <item x="73"/>
        <item x="111"/>
        <item x="40"/>
        <item x="74"/>
        <item x="88"/>
        <item x="89"/>
        <item x="90"/>
        <item x="28"/>
        <item x="66"/>
        <item x="91"/>
        <item x="75"/>
        <item x="48"/>
        <item x="56"/>
        <item x="2"/>
        <item x="11"/>
        <item x="38"/>
        <item x="87"/>
        <item x="16"/>
        <item x="62"/>
        <item x="133"/>
        <item x="145"/>
        <item x="49"/>
        <item x="30"/>
        <item x="105"/>
        <item x="57"/>
        <item x="35"/>
        <item x="134"/>
        <item x="112"/>
        <item x="22"/>
        <item x="76"/>
        <item x="119"/>
        <item x="77"/>
        <item x="50"/>
        <item x="146"/>
        <item x="58"/>
        <item x="29"/>
        <item x="78"/>
        <item x="106"/>
        <item x="79"/>
        <item x="101"/>
        <item x="135"/>
        <item x="148"/>
        <item x="80"/>
        <item x="81"/>
        <item x="3"/>
        <item x="150"/>
        <item x="147"/>
        <item x="102"/>
        <item x="151"/>
        <item x="140"/>
        <item x="154"/>
        <item x="149"/>
        <item x="144"/>
        <item x="117"/>
        <item x="143"/>
        <item x="12"/>
        <item x="17"/>
        <item x="36"/>
        <item x="82"/>
        <item x="32"/>
        <item x="124"/>
        <item x="142"/>
        <item x="98"/>
        <item x="9"/>
        <item x="122"/>
        <item x="83"/>
        <item x="23"/>
        <item x="141"/>
        <item x="59"/>
        <item x="99"/>
        <item x="92"/>
        <item x="4"/>
        <item x="6"/>
        <item x="51"/>
        <item x="136"/>
        <item x="137"/>
        <item x="20"/>
        <item x="27"/>
        <item x="109"/>
        <item x="84"/>
        <item x="19"/>
        <item x="158"/>
        <item x="157"/>
        <item x="13"/>
        <item x="52"/>
        <item x="18"/>
        <item x="138"/>
        <item x="42"/>
        <item x="63"/>
        <item x="155"/>
        <item x="53"/>
        <item x="7"/>
        <item x="37"/>
        <item x="85"/>
        <item x="54"/>
        <item x="103"/>
        <item x="139"/>
        <item x="24"/>
        <item x="25"/>
        <item x="93"/>
        <item x="67"/>
        <item x="55"/>
        <item x="123"/>
        <item x="94"/>
        <item x="5"/>
        <item x="26"/>
        <item x="95"/>
        <item x="86"/>
        <item x="156"/>
        <item x="96"/>
        <item x="97"/>
        <item x="107"/>
        <item x="104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 sd="0"/>
      </items>
    </pivotField>
    <pivotField axis="axisRow" showAll="0">
      <items count="74">
        <item x="15"/>
        <item x="16"/>
        <item x="17"/>
        <item x="18"/>
        <item x="19"/>
        <item x="20"/>
        <item x="47"/>
        <item x="58"/>
        <item x="48"/>
        <item x="65"/>
        <item x="66"/>
        <item x="0"/>
        <item x="21"/>
        <item x="7"/>
        <item x="53"/>
        <item x="1"/>
        <item x="22"/>
        <item x="49"/>
        <item x="23"/>
        <item x="24"/>
        <item x="54"/>
        <item x="25"/>
        <item x="26"/>
        <item x="27"/>
        <item x="28"/>
        <item x="29"/>
        <item x="2"/>
        <item x="59"/>
        <item x="60"/>
        <item x="8"/>
        <item x="30"/>
        <item x="67"/>
        <item x="31"/>
        <item x="32"/>
        <item x="33"/>
        <item x="34"/>
        <item x="3"/>
        <item x="61"/>
        <item x="50"/>
        <item x="68"/>
        <item x="4"/>
        <item x="55"/>
        <item x="5"/>
        <item x="9"/>
        <item x="10"/>
        <item x="62"/>
        <item x="11"/>
        <item x="35"/>
        <item x="36"/>
        <item x="63"/>
        <item x="12"/>
        <item x="37"/>
        <item x="69"/>
        <item x="70"/>
        <item x="38"/>
        <item x="39"/>
        <item x="40"/>
        <item x="13"/>
        <item x="41"/>
        <item x="14"/>
        <item x="51"/>
        <item x="71"/>
        <item x="6"/>
        <item x="64"/>
        <item x="42"/>
        <item x="56"/>
        <item x="43"/>
        <item x="46"/>
        <item x="44"/>
        <item x="57"/>
        <item x="45"/>
        <item x="52"/>
        <item x="72"/>
        <item t="default"/>
      </items>
    </pivotField>
    <pivotField axis="axisRow" showAll="0">
      <items count="829">
        <item x="364"/>
        <item x="365"/>
        <item x="202"/>
        <item x="609"/>
        <item x="610"/>
        <item x="108"/>
        <item x="366"/>
        <item x="611"/>
        <item x="612"/>
        <item x="613"/>
        <item x="525"/>
        <item x="367"/>
        <item x="368"/>
        <item x="203"/>
        <item x="204"/>
        <item x="33"/>
        <item x="109"/>
        <item x="52"/>
        <item x="809"/>
        <item x="810"/>
        <item x="811"/>
        <item x="791"/>
        <item x="792"/>
        <item x="614"/>
        <item x="781"/>
        <item x="110"/>
        <item x="205"/>
        <item x="206"/>
        <item x="349"/>
        <item x="28"/>
        <item x="536"/>
        <item x="369"/>
        <item x="370"/>
        <item x="615"/>
        <item x="524"/>
        <item x="475"/>
        <item x="98"/>
        <item x="200"/>
        <item x="616"/>
        <item x="207"/>
        <item x="208"/>
        <item x="209"/>
        <item x="617"/>
        <item x="618"/>
        <item x="164"/>
        <item x="468"/>
        <item x="210"/>
        <item x="88"/>
        <item x="92"/>
        <item x="162"/>
        <item x="211"/>
        <item x="619"/>
        <item x="212"/>
        <item x="213"/>
        <item x="214"/>
        <item x="11"/>
        <item x="620"/>
        <item x="350"/>
        <item x="621"/>
        <item x="62"/>
        <item x="371"/>
        <item x="793"/>
        <item x="622"/>
        <item x="215"/>
        <item x="623"/>
        <item x="624"/>
        <item x="782"/>
        <item x="372"/>
        <item x="625"/>
        <item x="216"/>
        <item x="190"/>
        <item x="191"/>
        <item x="217"/>
        <item x="537"/>
        <item x="783"/>
        <item x="526"/>
        <item x="527"/>
        <item x="528"/>
        <item x="563"/>
        <item x="626"/>
        <item x="627"/>
        <item x="812"/>
        <item x="373"/>
        <item x="628"/>
        <item x="629"/>
        <item x="218"/>
        <item x="219"/>
        <item x="374"/>
        <item x="375"/>
        <item x="630"/>
        <item x="220"/>
        <item x="221"/>
        <item x="631"/>
        <item x="222"/>
        <item x="149"/>
        <item x="632"/>
        <item x="794"/>
        <item x="376"/>
        <item x="223"/>
        <item x="633"/>
        <item x="377"/>
        <item x="224"/>
        <item x="378"/>
        <item x="225"/>
        <item x="148"/>
        <item x="91"/>
        <item x="146"/>
        <item x="379"/>
        <item x="493"/>
        <item x="494"/>
        <item x="380"/>
        <item x="381"/>
        <item x="226"/>
        <item x="12"/>
        <item x="382"/>
        <item x="150"/>
        <item x="634"/>
        <item x="529"/>
        <item x="227"/>
        <item x="383"/>
        <item x="476"/>
        <item x="384"/>
        <item x="385"/>
        <item x="635"/>
        <item x="228"/>
        <item x="386"/>
        <item x="229"/>
        <item x="151"/>
        <item x="636"/>
        <item x="230"/>
        <item x="477"/>
        <item x="231"/>
        <item x="232"/>
        <item x="182"/>
        <item x="637"/>
        <item x="564"/>
        <item x="20"/>
        <item x="233"/>
        <item x="152"/>
        <item x="93"/>
        <item x="94"/>
        <item x="234"/>
        <item x="387"/>
        <item x="235"/>
        <item x="388"/>
        <item x="389"/>
        <item x="638"/>
        <item x="390"/>
        <item x="391"/>
        <item x="392"/>
        <item x="639"/>
        <item x="393"/>
        <item x="111"/>
        <item x="640"/>
        <item x="236"/>
        <item x="97"/>
        <item x="237"/>
        <item x="34"/>
        <item x="35"/>
        <item x="238"/>
        <item x="784"/>
        <item x="112"/>
        <item x="336"/>
        <item x="337"/>
        <item x="351"/>
        <item x="641"/>
        <item x="394"/>
        <item x="239"/>
        <item x="29"/>
        <item x="30"/>
        <item x="338"/>
        <item x="89"/>
        <item x="240"/>
        <item x="478"/>
        <item x="469"/>
        <item x="241"/>
        <item x="395"/>
        <item x="396"/>
        <item x="2"/>
        <item x="21"/>
        <item x="76"/>
        <item x="113"/>
        <item x="13"/>
        <item x="153"/>
        <item x="565"/>
        <item x="242"/>
        <item x="479"/>
        <item x="480"/>
        <item x="481"/>
        <item x="101"/>
        <item x="243"/>
        <item x="244"/>
        <item x="245"/>
        <item x="138"/>
        <item x="397"/>
        <item x="398"/>
        <item x="75"/>
        <item x="642"/>
        <item x="246"/>
        <item x="643"/>
        <item x="825"/>
        <item x="14"/>
        <item x="141"/>
        <item x="482"/>
        <item x="247"/>
        <item x="339"/>
        <item x="38"/>
        <item x="5"/>
        <item x="644"/>
        <item x="645"/>
        <item x="248"/>
        <item x="646"/>
        <item x="647"/>
        <item x="99"/>
        <item x="114"/>
        <item x="491"/>
        <item x="495"/>
        <item x="496"/>
        <item x="497"/>
        <item x="498"/>
        <item x="499"/>
        <item x="500"/>
        <item x="501"/>
        <item x="249"/>
        <item x="804"/>
        <item x="813"/>
        <item x="250"/>
        <item x="251"/>
        <item x="201"/>
        <item x="192"/>
        <item x="399"/>
        <item x="252"/>
        <item x="253"/>
        <item x="165"/>
        <item x="115"/>
        <item x="648"/>
        <item x="502"/>
        <item x="649"/>
        <item x="254"/>
        <item x="255"/>
        <item x="39"/>
        <item x="183"/>
        <item x="66"/>
        <item x="3"/>
        <item x="22"/>
        <item x="780"/>
        <item x="340"/>
        <item x="503"/>
        <item x="83"/>
        <item x="589"/>
        <item x="590"/>
        <item x="591"/>
        <item x="538"/>
        <item x="592"/>
        <item x="593"/>
        <item x="594"/>
        <item x="650"/>
        <item x="256"/>
        <item x="400"/>
        <item x="805"/>
        <item x="492"/>
        <item x="144"/>
        <item x="651"/>
        <item x="652"/>
        <item x="539"/>
        <item x="257"/>
        <item x="504"/>
        <item x="505"/>
        <item x="506"/>
        <item x="653"/>
        <item x="6"/>
        <item x="54"/>
        <item x="68"/>
        <item x="483"/>
        <item x="654"/>
        <item x="71"/>
        <item x="352"/>
        <item x="258"/>
        <item x="655"/>
        <item x="656"/>
        <item x="484"/>
        <item x="540"/>
        <item x="657"/>
        <item x="658"/>
        <item x="814"/>
        <item x="401"/>
        <item x="795"/>
        <item x="659"/>
        <item x="402"/>
        <item x="796"/>
        <item x="660"/>
        <item x="259"/>
        <item x="661"/>
        <item x="662"/>
        <item x="403"/>
        <item x="404"/>
        <item x="405"/>
        <item x="260"/>
        <item x="261"/>
        <item x="663"/>
        <item x="664"/>
        <item x="262"/>
        <item x="139"/>
        <item x="541"/>
        <item x="154"/>
        <item x="53"/>
        <item x="23"/>
        <item x="665"/>
        <item x="406"/>
        <item x="666"/>
        <item x="667"/>
        <item x="116"/>
        <item x="263"/>
        <item x="264"/>
        <item x="36"/>
        <item x="485"/>
        <item x="486"/>
        <item x="265"/>
        <item x="266"/>
        <item x="815"/>
        <item x="816"/>
        <item x="407"/>
        <item x="408"/>
        <item x="117"/>
        <item x="668"/>
        <item x="669"/>
        <item x="670"/>
        <item x="671"/>
        <item x="118"/>
        <item x="470"/>
        <item x="79"/>
        <item x="166"/>
        <item x="167"/>
        <item x="40"/>
        <item x="797"/>
        <item x="798"/>
        <item x="409"/>
        <item x="799"/>
        <item x="672"/>
        <item x="800"/>
        <item x="410"/>
        <item x="577"/>
        <item x="487"/>
        <item x="817"/>
        <item x="471"/>
        <item x="411"/>
        <item x="412"/>
        <item x="267"/>
        <item x="413"/>
        <item x="673"/>
        <item x="674"/>
        <item x="147"/>
        <item x="268"/>
        <item x="353"/>
        <item x="354"/>
        <item x="355"/>
        <item x="675"/>
        <item x="356"/>
        <item x="269"/>
        <item x="676"/>
        <item x="106"/>
        <item x="270"/>
        <item x="77"/>
        <item x="78"/>
        <item x="56"/>
        <item x="65"/>
        <item x="10"/>
        <item x="57"/>
        <item x="32"/>
        <item x="67"/>
        <item x="556"/>
        <item x="557"/>
        <item x="558"/>
        <item x="559"/>
        <item x="560"/>
        <item x="561"/>
        <item x="562"/>
        <item x="55"/>
        <item x="542"/>
        <item x="818"/>
        <item x="414"/>
        <item x="415"/>
        <item x="271"/>
        <item x="578"/>
        <item x="677"/>
        <item x="507"/>
        <item x="272"/>
        <item x="41"/>
        <item x="15"/>
        <item x="7"/>
        <item x="273"/>
        <item x="274"/>
        <item x="275"/>
        <item x="276"/>
        <item x="678"/>
        <item x="119"/>
        <item x="277"/>
        <item x="120"/>
        <item x="121"/>
        <item x="278"/>
        <item x="279"/>
        <item x="168"/>
        <item x="280"/>
        <item x="679"/>
        <item x="281"/>
        <item x="785"/>
        <item x="282"/>
        <item x="416"/>
        <item x="417"/>
        <item x="680"/>
        <item x="681"/>
        <item x="42"/>
        <item x="682"/>
        <item x="418"/>
        <item x="683"/>
        <item x="819"/>
        <item x="820"/>
        <item x="821"/>
        <item x="822"/>
        <item x="419"/>
        <item x="684"/>
        <item x="566"/>
        <item x="567"/>
        <item x="568"/>
        <item x="357"/>
        <item x="685"/>
        <item x="686"/>
        <item x="687"/>
        <item x="688"/>
        <item x="689"/>
        <item x="690"/>
        <item x="420"/>
        <item x="691"/>
        <item x="801"/>
        <item x="692"/>
        <item x="693"/>
        <item x="155"/>
        <item x="156"/>
        <item x="122"/>
        <item x="283"/>
        <item x="169"/>
        <item x="284"/>
        <item x="808"/>
        <item x="421"/>
        <item x="508"/>
        <item x="694"/>
        <item x="16"/>
        <item x="285"/>
        <item x="286"/>
        <item x="422"/>
        <item x="84"/>
        <item x="806"/>
        <item x="287"/>
        <item x="423"/>
        <item x="288"/>
        <item x="289"/>
        <item x="424"/>
        <item x="695"/>
        <item x="696"/>
        <item x="290"/>
        <item x="697"/>
        <item x="698"/>
        <item x="425"/>
        <item x="123"/>
        <item x="341"/>
        <item x="291"/>
        <item x="426"/>
        <item x="107"/>
        <item x="427"/>
        <item x="699"/>
        <item x="786"/>
        <item x="700"/>
        <item x="701"/>
        <item x="702"/>
        <item x="292"/>
        <item x="145"/>
        <item x="58"/>
        <item x="69"/>
        <item x="59"/>
        <item x="703"/>
        <item x="428"/>
        <item x="31"/>
        <item x="342"/>
        <item x="343"/>
        <item x="704"/>
        <item x="705"/>
        <item x="706"/>
        <item x="509"/>
        <item x="293"/>
        <item x="543"/>
        <item x="51"/>
        <item x="595"/>
        <item x="596"/>
        <item x="0"/>
        <item x="597"/>
        <item x="598"/>
        <item x="599"/>
        <item x="600"/>
        <item x="601"/>
        <item x="602"/>
        <item x="105"/>
        <item x="294"/>
        <item x="429"/>
        <item x="73"/>
        <item x="74"/>
        <item x="430"/>
        <item x="807"/>
        <item x="544"/>
        <item x="707"/>
        <item x="545"/>
        <item x="708"/>
        <item x="295"/>
        <item x="510"/>
        <item x="43"/>
        <item x="709"/>
        <item x="710"/>
        <item x="802"/>
        <item x="711"/>
        <item x="17"/>
        <item x="157"/>
        <item x="37"/>
        <item x="511"/>
        <item x="431"/>
        <item x="124"/>
        <item x="582"/>
        <item x="583"/>
        <item x="712"/>
        <item x="584"/>
        <item x="296"/>
        <item x="555"/>
        <item x="713"/>
        <item x="432"/>
        <item x="433"/>
        <item x="714"/>
        <item x="434"/>
        <item x="297"/>
        <item x="715"/>
        <item x="803"/>
        <item x="546"/>
        <item x="298"/>
        <item x="716"/>
        <item x="717"/>
        <item x="579"/>
        <item x="44"/>
        <item x="718"/>
        <item x="102"/>
        <item x="103"/>
        <item x="104"/>
        <item x="45"/>
        <item x="787"/>
        <item x="719"/>
        <item x="569"/>
        <item x="435"/>
        <item x="436"/>
        <item x="720"/>
        <item x="721"/>
        <item x="722"/>
        <item x="437"/>
        <item x="723"/>
        <item x="344"/>
        <item x="90"/>
        <item x="299"/>
        <item x="488"/>
        <item x="438"/>
        <item x="439"/>
        <item x="440"/>
        <item x="46"/>
        <item x="8"/>
        <item x="82"/>
        <item x="9"/>
        <item x="170"/>
        <item x="724"/>
        <item x="725"/>
        <item x="300"/>
        <item x="441"/>
        <item x="24"/>
        <item x="301"/>
        <item x="547"/>
        <item x="548"/>
        <item x="142"/>
        <item x="158"/>
        <item x="442"/>
        <item x="171"/>
        <item x="824"/>
        <item x="358"/>
        <item x="788"/>
        <item x="18"/>
        <item x="603"/>
        <item x="604"/>
        <item x="605"/>
        <item x="606"/>
        <item x="607"/>
        <item x="608"/>
        <item x="193"/>
        <item x="194"/>
        <item x="302"/>
        <item x="489"/>
        <item x="549"/>
        <item x="726"/>
        <item x="172"/>
        <item x="173"/>
        <item x="174"/>
        <item x="175"/>
        <item x="176"/>
        <item x="177"/>
        <item x="303"/>
        <item x="47"/>
        <item x="178"/>
        <item x="179"/>
        <item x="80"/>
        <item x="472"/>
        <item x="143"/>
        <item x="304"/>
        <item x="727"/>
        <item x="305"/>
        <item x="125"/>
        <item x="126"/>
        <item x="306"/>
        <item x="64"/>
        <item x="530"/>
        <item x="531"/>
        <item x="532"/>
        <item x="533"/>
        <item x="728"/>
        <item x="184"/>
        <item x="70"/>
        <item x="95"/>
        <item x="520"/>
        <item x="490"/>
        <item x="729"/>
        <item x="72"/>
        <item x="443"/>
        <item x="307"/>
        <item x="308"/>
        <item x="136"/>
        <item x="48"/>
        <item x="444"/>
        <item x="309"/>
        <item x="445"/>
        <item x="730"/>
        <item x="446"/>
        <item x="512"/>
        <item x="189"/>
        <item x="159"/>
        <item x="534"/>
        <item x="85"/>
        <item x="515"/>
        <item x="516"/>
        <item x="517"/>
        <item x="518"/>
        <item x="519"/>
        <item x="86"/>
        <item x="731"/>
        <item x="127"/>
        <item x="732"/>
        <item x="550"/>
        <item x="570"/>
        <item x="571"/>
        <item x="572"/>
        <item x="186"/>
        <item x="447"/>
        <item x="733"/>
        <item x="128"/>
        <item x="310"/>
        <item x="734"/>
        <item x="735"/>
        <item x="345"/>
        <item x="448"/>
        <item x="449"/>
        <item x="311"/>
        <item x="312"/>
        <item x="185"/>
        <item x="736"/>
        <item x="450"/>
        <item x="313"/>
        <item x="737"/>
        <item x="551"/>
        <item x="738"/>
        <item x="451"/>
        <item x="452"/>
        <item x="140"/>
        <item x="453"/>
        <item x="314"/>
        <item x="315"/>
        <item x="454"/>
        <item x="160"/>
        <item x="25"/>
        <item x="455"/>
        <item x="552"/>
        <item x="456"/>
        <item x="739"/>
        <item x="826"/>
        <item x="129"/>
        <item x="740"/>
        <item x="741"/>
        <item x="26"/>
        <item x="553"/>
        <item x="130"/>
        <item x="585"/>
        <item x="586"/>
        <item x="63"/>
        <item x="587"/>
        <item x="588"/>
        <item x="742"/>
        <item x="316"/>
        <item x="60"/>
        <item x="61"/>
        <item x="27"/>
        <item x="743"/>
        <item x="317"/>
        <item x="744"/>
        <item x="318"/>
        <item x="457"/>
        <item x="319"/>
        <item x="745"/>
        <item x="746"/>
        <item x="747"/>
        <item x="320"/>
        <item x="748"/>
        <item x="49"/>
        <item x="749"/>
        <item x="750"/>
        <item x="751"/>
        <item x="752"/>
        <item x="753"/>
        <item x="458"/>
        <item x="573"/>
        <item x="574"/>
        <item x="575"/>
        <item x="346"/>
        <item x="195"/>
        <item x="321"/>
        <item x="754"/>
        <item x="755"/>
        <item x="19"/>
        <item x="322"/>
        <item x="513"/>
        <item x="459"/>
        <item x="756"/>
        <item x="359"/>
        <item x="757"/>
        <item x="758"/>
        <item x="187"/>
        <item x="580"/>
        <item x="581"/>
        <item x="1"/>
        <item x="163"/>
        <item x="131"/>
        <item x="132"/>
        <item x="789"/>
        <item x="790"/>
        <item x="323"/>
        <item x="324"/>
        <item x="759"/>
        <item x="325"/>
        <item x="196"/>
        <item x="197"/>
        <item x="198"/>
        <item x="760"/>
        <item x="521"/>
        <item x="522"/>
        <item x="523"/>
        <item x="460"/>
        <item x="761"/>
        <item x="762"/>
        <item x="360"/>
        <item x="361"/>
        <item x="763"/>
        <item x="50"/>
        <item x="137"/>
        <item x="461"/>
        <item x="764"/>
        <item x="765"/>
        <item x="326"/>
        <item x="823"/>
        <item x="96"/>
        <item x="188"/>
        <item x="161"/>
        <item x="576"/>
        <item x="199"/>
        <item x="462"/>
        <item x="463"/>
        <item x="766"/>
        <item x="464"/>
        <item x="133"/>
        <item x="87"/>
        <item x="327"/>
        <item x="767"/>
        <item x="465"/>
        <item x="554"/>
        <item x="81"/>
        <item x="768"/>
        <item x="769"/>
        <item x="362"/>
        <item x="180"/>
        <item x="770"/>
        <item x="466"/>
        <item x="771"/>
        <item x="100"/>
        <item x="328"/>
        <item x="514"/>
        <item x="473"/>
        <item x="4"/>
        <item x="329"/>
        <item x="330"/>
        <item x="331"/>
        <item x="134"/>
        <item x="347"/>
        <item x="348"/>
        <item x="181"/>
        <item x="772"/>
        <item x="773"/>
        <item x="135"/>
        <item x="332"/>
        <item x="333"/>
        <item x="774"/>
        <item x="827"/>
        <item x="474"/>
        <item x="775"/>
        <item x="776"/>
        <item x="777"/>
        <item x="778"/>
        <item x="467"/>
        <item x="334"/>
        <item x="779"/>
        <item x="363"/>
        <item x="335"/>
        <item x="535"/>
        <item t="default"/>
      </items>
    </pivotField>
    <pivotField axis="axisPage" showAll="0">
      <items count="7">
        <item x="3"/>
        <item x="4"/>
        <item x="0"/>
        <item x="1"/>
        <item x="2"/>
        <item x="5"/>
        <item t="default"/>
      </items>
    </pivotField>
    <pivotField axis="axisPage" showAll="0">
      <items count="7">
        <item x="5"/>
        <item x="2"/>
        <item x="0"/>
        <item x="3"/>
        <item x="4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"/>
    <field x="2"/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4" hier="-1"/>
    <pageField fld="5" hier="-1"/>
  </pageFields>
  <dataFields count="1">
    <dataField name="Soma de VALOR" fld="6" baseField="0" baseItem="0"/>
  </dataFields>
  <formats count="1">
    <format dxfId="1">
      <pivotArea outline="0" collapsedLevelsAreSubtotals="1" fieldPosition="0">
        <references count="1">
          <reference field="8" count="6" selected="0"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83FD2-6E0D-4294-92F4-716DC49FA5D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H48" firstHeaderRow="1" firstDataRow="2" firstDataCol="1" rowPageCount="1" colPageCount="1"/>
  <pivotFields count="8">
    <pivotField numFmtId="14" showAll="0">
      <items count="92">
        <item x="0"/>
        <item x="46"/>
        <item x="47"/>
        <item x="1"/>
        <item x="3"/>
        <item x="4"/>
        <item x="5"/>
        <item x="48"/>
        <item x="6"/>
        <item x="49"/>
        <item x="7"/>
        <item x="8"/>
        <item x="9"/>
        <item x="11"/>
        <item x="12"/>
        <item x="50"/>
        <item x="13"/>
        <item x="79"/>
        <item x="51"/>
        <item x="14"/>
        <item x="88"/>
        <item x="15"/>
        <item x="16"/>
        <item x="17"/>
        <item x="18"/>
        <item x="19"/>
        <item x="20"/>
        <item x="78"/>
        <item x="21"/>
        <item x="22"/>
        <item x="80"/>
        <item x="52"/>
        <item x="53"/>
        <item x="54"/>
        <item x="55"/>
        <item x="83"/>
        <item x="23"/>
        <item x="24"/>
        <item x="25"/>
        <item x="56"/>
        <item x="26"/>
        <item x="45"/>
        <item x="27"/>
        <item x="28"/>
        <item x="29"/>
        <item x="82"/>
        <item x="30"/>
        <item x="57"/>
        <item x="81"/>
        <item x="58"/>
        <item x="59"/>
        <item x="60"/>
        <item x="61"/>
        <item x="31"/>
        <item x="32"/>
        <item x="33"/>
        <item x="34"/>
        <item x="35"/>
        <item x="36"/>
        <item x="62"/>
        <item x="89"/>
        <item x="90"/>
        <item x="38"/>
        <item x="39"/>
        <item x="63"/>
        <item x="65"/>
        <item x="40"/>
        <item x="66"/>
        <item x="67"/>
        <item x="41"/>
        <item x="68"/>
        <item x="69"/>
        <item x="42"/>
        <item x="70"/>
        <item x="77"/>
        <item x="71"/>
        <item x="37"/>
        <item x="10"/>
        <item x="64"/>
        <item x="87"/>
        <item x="84"/>
        <item x="43"/>
        <item x="2"/>
        <item x="85"/>
        <item x="86"/>
        <item x="72"/>
        <item x="73"/>
        <item x="74"/>
        <item x="44"/>
        <item x="75"/>
        <item x="76"/>
        <item t="default"/>
      </items>
    </pivotField>
    <pivotField axis="axisRow" showAll="0">
      <items count="12">
        <item sd="0" x="0"/>
        <item sd="0" x="2"/>
        <item sd="0" x="3"/>
        <item sd="0" x="4"/>
        <item sd="0" x="5"/>
        <item sd="0" x="1"/>
        <item sd="0" x="7"/>
        <item sd="0" x="8"/>
        <item sd="0" m="1" x="10"/>
        <item x="6"/>
        <item sd="0" x="9"/>
        <item t="default"/>
      </items>
    </pivotField>
    <pivotField axis="axisRow" showAll="0">
      <items count="34">
        <item x="10"/>
        <item sd="0" x="22"/>
        <item x="23"/>
        <item x="16"/>
        <item x="0"/>
        <item x="7"/>
        <item x="11"/>
        <item x="17"/>
        <item x="5"/>
        <item x="18"/>
        <item x="19"/>
        <item x="24"/>
        <item m="1" x="32"/>
        <item x="9"/>
        <item x="25"/>
        <item x="26"/>
        <item x="27"/>
        <item x="20"/>
        <item x="1"/>
        <item x="29"/>
        <item x="30"/>
        <item x="12"/>
        <item x="2"/>
        <item x="13"/>
        <item x="14"/>
        <item x="31"/>
        <item x="4"/>
        <item x="15"/>
        <item x="6"/>
        <item x="8"/>
        <item x="28"/>
        <item x="21"/>
        <item x="3"/>
        <item t="default"/>
      </items>
    </pivotField>
    <pivotField axis="axisRow" showAll="0">
      <items count="115">
        <item x="4"/>
        <item x="68"/>
        <item x="79"/>
        <item x="56"/>
        <item x="25"/>
        <item x="21"/>
        <item x="50"/>
        <item x="53"/>
        <item x="77"/>
        <item x="22"/>
        <item x="1"/>
        <item x="67"/>
        <item x="80"/>
        <item x="93"/>
        <item x="71"/>
        <item x="45"/>
        <item x="7"/>
        <item x="26"/>
        <item x="64"/>
        <item x="81"/>
        <item x="65"/>
        <item x="91"/>
        <item x="95"/>
        <item m="1" x="111"/>
        <item x="101"/>
        <item x="46"/>
        <item x="0"/>
        <item x="5"/>
        <item x="44"/>
        <item x="54"/>
        <item x="19"/>
        <item x="41"/>
        <item x="39"/>
        <item x="51"/>
        <item x="84"/>
        <item x="85"/>
        <item x="18"/>
        <item x="14"/>
        <item x="48"/>
        <item x="49"/>
        <item x="82"/>
        <item m="1" x="113"/>
        <item x="107"/>
        <item x="36"/>
        <item x="37"/>
        <item x="15"/>
        <item x="72"/>
        <item x="38"/>
        <item x="83"/>
        <item x="33"/>
        <item x="17"/>
        <item x="34"/>
        <item x="40"/>
        <item x="52"/>
        <item x="57"/>
        <item x="20"/>
        <item x="47"/>
        <item x="9"/>
        <item x="6"/>
        <item x="98"/>
        <item x="2"/>
        <item x="3"/>
        <item x="73"/>
        <item x="24"/>
        <item x="66"/>
        <item x="75"/>
        <item x="108"/>
        <item x="12"/>
        <item x="8"/>
        <item x="110"/>
        <item x="109"/>
        <item x="11"/>
        <item x="99"/>
        <item x="28"/>
        <item x="10"/>
        <item x="27"/>
        <item x="13"/>
        <item x="16"/>
        <item x="32"/>
        <item x="78"/>
        <item x="102"/>
        <item x="74"/>
        <item x="76"/>
        <item x="58"/>
        <item x="100"/>
        <item x="43"/>
        <item x="103"/>
        <item x="96"/>
        <item x="97"/>
        <item x="70"/>
        <item x="94"/>
        <item x="55"/>
        <item x="23"/>
        <item x="42"/>
        <item x="35"/>
        <item x="59"/>
        <item x="106"/>
        <item x="87"/>
        <item x="29"/>
        <item x="30"/>
        <item x="88"/>
        <item x="89"/>
        <item x="90"/>
        <item x="60"/>
        <item x="61"/>
        <item x="62"/>
        <item x="92"/>
        <item x="69"/>
        <item x="31"/>
        <item x="63"/>
        <item m="1" x="112"/>
        <item x="105"/>
        <item x="104"/>
        <item x="86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"/>
    <field x="2"/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r="1">
      <x/>
    </i>
    <i r="2">
      <x v="14"/>
    </i>
    <i r="1">
      <x v="6"/>
    </i>
    <i r="2">
      <x v="46"/>
    </i>
    <i r="2">
      <x v="62"/>
    </i>
    <i r="1">
      <x v="13"/>
    </i>
    <i r="2">
      <x v="81"/>
    </i>
    <i r="1">
      <x v="21"/>
    </i>
    <i r="2">
      <x v="62"/>
    </i>
    <i r="2">
      <x v="65"/>
    </i>
    <i r="2">
      <x v="111"/>
    </i>
    <i r="1">
      <x v="23"/>
    </i>
    <i r="2">
      <x v="82"/>
    </i>
    <i r="1">
      <x v="24"/>
    </i>
    <i r="2">
      <x v="8"/>
    </i>
    <i r="1">
      <x v="27"/>
    </i>
    <i r="2">
      <x v="79"/>
    </i>
    <i>
      <x v="10"/>
    </i>
    <i t="grand">
      <x/>
    </i>
  </rowItems>
  <colFields count="1">
    <field x="7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" hier="-1"/>
  </pageFields>
  <dataFields count="1">
    <dataField name="Sum of VALOR" fld="5" baseField="0" baseItem="0" numFmtId="166"/>
  </dataFields>
  <formats count="6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" count="0"/>
        </references>
      </pivotArea>
    </format>
    <format dxfId="26">
      <pivotArea field="7" type="button" dataOnly="0" labelOnly="1" outline="0" axis="axisCol" fieldPosition="0"/>
    </format>
    <format dxfId="25">
      <pivotArea type="topRight" dataOnly="0" labelOnly="1" outline="0" fieldPosition="0"/>
    </format>
    <format dxfId="24">
      <pivotArea dataOnly="0" labelOnly="1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  <format dxfId="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61A90-D396-449A-B898-F31F88C5969B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H27" firstHeaderRow="1" firstDataRow="2" firstDataCol="1"/>
  <pivotFields count="7">
    <pivotField numFmtId="164" showAll="0">
      <items count="81">
        <item x="13"/>
        <item x="14"/>
        <item x="63"/>
        <item x="30"/>
        <item x="26"/>
        <item x="60"/>
        <item x="68"/>
        <item x="42"/>
        <item x="57"/>
        <item x="69"/>
        <item x="58"/>
        <item x="61"/>
        <item x="62"/>
        <item x="71"/>
        <item x="34"/>
        <item x="15"/>
        <item x="43"/>
        <item x="59"/>
        <item x="33"/>
        <item x="37"/>
        <item x="27"/>
        <item x="45"/>
        <item x="70"/>
        <item x="50"/>
        <item x="44"/>
        <item x="79"/>
        <item x="39"/>
        <item x="75"/>
        <item x="67"/>
        <item x="72"/>
        <item x="54"/>
        <item x="35"/>
        <item x="40"/>
        <item x="16"/>
        <item x="31"/>
        <item x="38"/>
        <item x="55"/>
        <item x="64"/>
        <item x="51"/>
        <item x="28"/>
        <item x="66"/>
        <item x="1"/>
        <item x="36"/>
        <item x="0"/>
        <item x="2"/>
        <item x="3"/>
        <item x="4"/>
        <item x="77"/>
        <item x="78"/>
        <item x="41"/>
        <item x="6"/>
        <item x="8"/>
        <item x="76"/>
        <item x="65"/>
        <item x="7"/>
        <item x="5"/>
        <item x="17"/>
        <item x="18"/>
        <item x="9"/>
        <item x="10"/>
        <item x="56"/>
        <item x="52"/>
        <item x="53"/>
        <item x="11"/>
        <item x="29"/>
        <item x="12"/>
        <item x="46"/>
        <item x="19"/>
        <item x="20"/>
        <item x="32"/>
        <item x="21"/>
        <item x="47"/>
        <item x="22"/>
        <item x="48"/>
        <item x="23"/>
        <item x="24"/>
        <item x="73"/>
        <item x="25"/>
        <item x="74"/>
        <item x="49"/>
        <item t="default"/>
      </items>
    </pivotField>
    <pivotField axis="axisRow" showAll="0">
      <items count="11">
        <item sd="0" m="1" x="9"/>
        <item sd="0" x="0"/>
        <item sd="0" x="1"/>
        <item sd="0" x="4"/>
        <item sd="0" x="5"/>
        <item sd="0" x="6"/>
        <item sd="0" x="7"/>
        <item sd="0" x="8"/>
        <item sd="0" x="3"/>
        <item sd="0" x="2"/>
        <item t="default"/>
      </items>
    </pivotField>
    <pivotField axis="axisRow" showAll="0">
      <items count="49">
        <item x="27"/>
        <item x="34"/>
        <item m="1" x="47"/>
        <item x="35"/>
        <item x="13"/>
        <item x="20"/>
        <item x="21"/>
        <item x="36"/>
        <item x="0"/>
        <item x="1"/>
        <item x="37"/>
        <item x="14"/>
        <item x="23"/>
        <item x="15"/>
        <item x="28"/>
        <item x="6"/>
        <item x="33"/>
        <item x="8"/>
        <item x="11"/>
        <item x="29"/>
        <item x="2"/>
        <item x="3"/>
        <item x="38"/>
        <item x="39"/>
        <item x="40"/>
        <item x="22"/>
        <item x="30"/>
        <item x="41"/>
        <item x="16"/>
        <item x="31"/>
        <item x="42"/>
        <item x="12"/>
        <item x="9"/>
        <item x="17"/>
        <item x="18"/>
        <item x="43"/>
        <item x="32"/>
        <item x="4"/>
        <item x="44"/>
        <item x="19"/>
        <item x="45"/>
        <item x="46"/>
        <item x="24"/>
        <item x="7"/>
        <item x="25"/>
        <item x="26"/>
        <item x="10"/>
        <item x="5"/>
        <item t="default"/>
      </items>
    </pivotField>
    <pivotField axis="axisRow" showAll="0">
      <items count="53">
        <item x="13"/>
        <item x="32"/>
        <item x="28"/>
        <item x="35"/>
        <item x="42"/>
        <item x="19"/>
        <item x="15"/>
        <item x="29"/>
        <item x="6"/>
        <item x="43"/>
        <item x="44"/>
        <item x="20"/>
        <item x="16"/>
        <item x="18"/>
        <item x="8"/>
        <item x="27"/>
        <item x="25"/>
        <item x="47"/>
        <item x="26"/>
        <item x="2"/>
        <item x="37"/>
        <item x="21"/>
        <item x="17"/>
        <item x="39"/>
        <item x="4"/>
        <item x="7"/>
        <item x="49"/>
        <item x="40"/>
        <item x="41"/>
        <item x="10"/>
        <item x="45"/>
        <item m="1" x="51"/>
        <item x="46"/>
        <item x="48"/>
        <item x="22"/>
        <item x="23"/>
        <item x="9"/>
        <item x="38"/>
        <item x="1"/>
        <item x="36"/>
        <item x="12"/>
        <item x="24"/>
        <item x="30"/>
        <item x="31"/>
        <item x="0"/>
        <item x="14"/>
        <item m="1" x="50"/>
        <item x="3"/>
        <item x="33"/>
        <item x="34"/>
        <item x="11"/>
        <item x="5"/>
        <item t="default"/>
      </items>
    </pivotField>
    <pivotField dataField="1" numFmtId="4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"/>
    <field x="2"/>
    <field x="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VALOR" fld="4" baseField="0" baseItem="0" numFmtId="168"/>
  </dataFields>
  <formats count="10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6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C554-ED07-451C-931C-A862E8497A84}">
  <dimension ref="A1:LH3235"/>
  <sheetViews>
    <sheetView tabSelected="1" topLeftCell="A10" zoomScale="78" zoomScaleNormal="78" workbookViewId="0">
      <selection activeCell="O22" sqref="O22"/>
    </sheetView>
  </sheetViews>
  <sheetFormatPr defaultRowHeight="18" x14ac:dyDescent="0.35"/>
  <cols>
    <col min="1" max="1" width="20" style="27" bestFit="1" customWidth="1"/>
    <col min="2" max="2" width="18.88671875" style="27" bestFit="1" customWidth="1"/>
    <col min="3" max="7" width="11.44140625" style="27" bestFit="1" customWidth="1"/>
    <col min="8" max="8" width="1.21875" style="27" hidden="1" customWidth="1"/>
    <col min="9" max="9" width="12.77734375" style="27" bestFit="1" customWidth="1"/>
    <col min="10" max="10" width="14.33203125" style="65" bestFit="1" customWidth="1"/>
    <col min="11" max="11" width="12.77734375" style="65" bestFit="1" customWidth="1"/>
    <col min="12" max="12" width="12.88671875" style="65" bestFit="1" customWidth="1"/>
    <col min="13" max="13" width="12.77734375" style="27" bestFit="1" customWidth="1"/>
    <col min="14" max="14" width="10" style="27" bestFit="1" customWidth="1"/>
    <col min="15" max="15" width="12.77734375" style="27" bestFit="1" customWidth="1"/>
    <col min="16" max="16" width="10" style="27" bestFit="1" customWidth="1"/>
    <col min="17" max="17" width="12.77734375" style="27" bestFit="1" customWidth="1"/>
    <col min="18" max="18" width="10" style="27" bestFit="1" customWidth="1"/>
    <col min="19" max="19" width="12.77734375" style="27" bestFit="1" customWidth="1"/>
    <col min="20" max="20" width="10" style="27" bestFit="1" customWidth="1"/>
    <col min="21" max="21" width="12.77734375" style="27" bestFit="1" customWidth="1"/>
    <col min="22" max="22" width="10" style="27" bestFit="1" customWidth="1"/>
    <col min="23" max="23" width="12.77734375" style="27" bestFit="1" customWidth="1"/>
    <col min="24" max="24" width="10" style="27" bestFit="1" customWidth="1"/>
    <col min="25" max="25" width="12.77734375" style="27" bestFit="1" customWidth="1"/>
    <col min="26" max="26" width="10" style="27" bestFit="1" customWidth="1"/>
    <col min="27" max="27" width="12.77734375" style="27" bestFit="1" customWidth="1"/>
    <col min="28" max="28" width="10" style="27" bestFit="1" customWidth="1"/>
    <col min="29" max="29" width="12.77734375" style="27" bestFit="1" customWidth="1"/>
    <col min="30" max="30" width="10" style="27" bestFit="1" customWidth="1"/>
    <col min="31" max="31" width="12.77734375" style="27" bestFit="1" customWidth="1"/>
    <col min="32" max="32" width="10" style="27" bestFit="1" customWidth="1"/>
    <col min="33" max="33" width="12.77734375" style="27" bestFit="1" customWidth="1"/>
    <col min="34" max="34" width="10" style="27" bestFit="1" customWidth="1"/>
    <col min="35" max="35" width="12.77734375" style="27" bestFit="1" customWidth="1"/>
    <col min="36" max="36" width="10" style="27" bestFit="1" customWidth="1"/>
    <col min="37" max="37" width="12.77734375" style="27" bestFit="1" customWidth="1"/>
    <col min="38" max="38" width="10" style="27" bestFit="1" customWidth="1"/>
    <col min="39" max="39" width="12.77734375" style="27" bestFit="1" customWidth="1"/>
    <col min="40" max="40" width="10" style="27" bestFit="1" customWidth="1"/>
    <col min="41" max="41" width="12.77734375" style="27" bestFit="1" customWidth="1"/>
    <col min="42" max="42" width="10" style="27" bestFit="1" customWidth="1"/>
    <col min="43" max="43" width="12.77734375" style="27" bestFit="1" customWidth="1"/>
    <col min="44" max="44" width="10" style="27" bestFit="1" customWidth="1"/>
    <col min="45" max="45" width="12.77734375" style="27" bestFit="1" customWidth="1"/>
    <col min="46" max="46" width="10" style="27" bestFit="1" customWidth="1"/>
    <col min="47" max="47" width="12.77734375" style="27" bestFit="1" customWidth="1"/>
    <col min="48" max="48" width="10" style="27" bestFit="1" customWidth="1"/>
    <col min="49" max="49" width="12.77734375" style="27" bestFit="1" customWidth="1"/>
    <col min="50" max="50" width="10" style="27" bestFit="1" customWidth="1"/>
    <col min="51" max="51" width="12.77734375" style="27" bestFit="1" customWidth="1"/>
    <col min="52" max="52" width="10" style="27" bestFit="1" customWidth="1"/>
    <col min="53" max="53" width="12.77734375" style="27" bestFit="1" customWidth="1"/>
    <col min="54" max="54" width="10" style="27" bestFit="1" customWidth="1"/>
    <col min="55" max="55" width="12.77734375" style="27" bestFit="1" customWidth="1"/>
    <col min="56" max="56" width="10" style="27" bestFit="1" customWidth="1"/>
    <col min="57" max="57" width="12.77734375" style="27" bestFit="1" customWidth="1"/>
    <col min="58" max="58" width="10" style="27" bestFit="1" customWidth="1"/>
    <col min="59" max="59" width="12.77734375" style="27" bestFit="1" customWidth="1"/>
    <col min="60" max="60" width="10" style="27" bestFit="1" customWidth="1"/>
    <col min="61" max="61" width="12.77734375" style="27" bestFit="1" customWidth="1"/>
    <col min="62" max="62" width="10" style="27" bestFit="1" customWidth="1"/>
    <col min="63" max="63" width="12.77734375" style="27" bestFit="1" customWidth="1"/>
    <col min="64" max="64" width="10" style="27" bestFit="1" customWidth="1"/>
    <col min="65" max="65" width="12.77734375" style="27" bestFit="1" customWidth="1"/>
    <col min="66" max="66" width="10" style="27" bestFit="1" customWidth="1"/>
    <col min="67" max="67" width="12.77734375" style="27" bestFit="1" customWidth="1"/>
    <col min="68" max="68" width="10" style="27" bestFit="1" customWidth="1"/>
    <col min="69" max="69" width="12.77734375" style="27" bestFit="1" customWidth="1"/>
    <col min="70" max="70" width="10" style="27" bestFit="1" customWidth="1"/>
    <col min="71" max="71" width="12.77734375" style="27" bestFit="1" customWidth="1"/>
    <col min="72" max="72" width="10" style="27" bestFit="1" customWidth="1"/>
    <col min="73" max="73" width="12.77734375" style="27" bestFit="1" customWidth="1"/>
    <col min="74" max="74" width="10" style="27" bestFit="1" customWidth="1"/>
    <col min="75" max="75" width="12.77734375" style="27" bestFit="1" customWidth="1"/>
    <col min="76" max="76" width="10" style="27" bestFit="1" customWidth="1"/>
    <col min="77" max="77" width="12.77734375" style="27" bestFit="1" customWidth="1"/>
    <col min="78" max="78" width="10" style="27" bestFit="1" customWidth="1"/>
    <col min="79" max="79" width="12.77734375" style="27" bestFit="1" customWidth="1"/>
    <col min="80" max="80" width="10" style="27" bestFit="1" customWidth="1"/>
    <col min="81" max="81" width="12.77734375" style="27" bestFit="1" customWidth="1"/>
    <col min="82" max="82" width="10" style="27" bestFit="1" customWidth="1"/>
    <col min="83" max="83" width="12.77734375" style="27" bestFit="1" customWidth="1"/>
    <col min="84" max="84" width="10" style="27" bestFit="1" customWidth="1"/>
    <col min="85" max="85" width="12.77734375" style="27" bestFit="1" customWidth="1"/>
    <col min="86" max="86" width="10" style="27" bestFit="1" customWidth="1"/>
    <col min="87" max="87" width="12.77734375" style="27" bestFit="1" customWidth="1"/>
    <col min="88" max="88" width="10" style="27" bestFit="1" customWidth="1"/>
    <col min="89" max="89" width="12.77734375" style="27" bestFit="1" customWidth="1"/>
    <col min="90" max="90" width="10" style="27" bestFit="1" customWidth="1"/>
    <col min="91" max="91" width="12.77734375" style="27" bestFit="1" customWidth="1"/>
    <col min="92" max="92" width="10" style="27" bestFit="1" customWidth="1"/>
    <col min="93" max="93" width="12.77734375" style="27" bestFit="1" customWidth="1"/>
    <col min="94" max="94" width="10" style="27" bestFit="1" customWidth="1"/>
    <col min="95" max="95" width="12.77734375" style="27" bestFit="1" customWidth="1"/>
    <col min="96" max="96" width="10" style="27" bestFit="1" customWidth="1"/>
    <col min="97" max="97" width="12.77734375" style="27" bestFit="1" customWidth="1"/>
    <col min="98" max="98" width="10" style="27" bestFit="1" customWidth="1"/>
    <col min="99" max="99" width="12.77734375" style="27" bestFit="1" customWidth="1"/>
    <col min="100" max="100" width="10" style="27" bestFit="1" customWidth="1"/>
    <col min="101" max="101" width="12.77734375" style="27" bestFit="1" customWidth="1"/>
    <col min="102" max="102" width="10" style="27" bestFit="1" customWidth="1"/>
    <col min="103" max="103" width="12.77734375" style="27" bestFit="1" customWidth="1"/>
    <col min="104" max="104" width="10" style="27" bestFit="1" customWidth="1"/>
    <col min="105" max="105" width="12.77734375" style="27" bestFit="1" customWidth="1"/>
    <col min="106" max="106" width="10" style="27" bestFit="1" customWidth="1"/>
    <col min="107" max="107" width="12.77734375" style="27" bestFit="1" customWidth="1"/>
    <col min="108" max="108" width="10" style="27" bestFit="1" customWidth="1"/>
    <col min="109" max="109" width="12.77734375" style="27" bestFit="1" customWidth="1"/>
    <col min="110" max="110" width="10" style="27" bestFit="1" customWidth="1"/>
    <col min="111" max="111" width="12.77734375" style="27" bestFit="1" customWidth="1"/>
    <col min="112" max="112" width="10" style="27" bestFit="1" customWidth="1"/>
    <col min="113" max="113" width="12.77734375" style="27" bestFit="1" customWidth="1"/>
    <col min="114" max="114" width="10" style="27" bestFit="1" customWidth="1"/>
    <col min="115" max="115" width="12.77734375" style="27" bestFit="1" customWidth="1"/>
    <col min="116" max="116" width="10" style="27" bestFit="1" customWidth="1"/>
    <col min="117" max="117" width="12.77734375" style="27" bestFit="1" customWidth="1"/>
    <col min="118" max="118" width="10" style="27" bestFit="1" customWidth="1"/>
    <col min="119" max="119" width="12.77734375" style="27" bestFit="1" customWidth="1"/>
    <col min="120" max="120" width="10" style="27" bestFit="1" customWidth="1"/>
    <col min="121" max="121" width="12.77734375" style="27" bestFit="1" customWidth="1"/>
    <col min="122" max="122" width="10" style="27" bestFit="1" customWidth="1"/>
    <col min="123" max="123" width="12.77734375" style="27" bestFit="1" customWidth="1"/>
    <col min="124" max="124" width="10" style="27" bestFit="1" customWidth="1"/>
    <col min="125" max="125" width="12.77734375" style="27" bestFit="1" customWidth="1"/>
    <col min="126" max="126" width="10" style="27" bestFit="1" customWidth="1"/>
    <col min="127" max="127" width="12.77734375" style="27" bestFit="1" customWidth="1"/>
    <col min="128" max="128" width="10" style="27" bestFit="1" customWidth="1"/>
    <col min="129" max="129" width="12.77734375" style="27" bestFit="1" customWidth="1"/>
    <col min="130" max="130" width="10" style="27" bestFit="1" customWidth="1"/>
    <col min="131" max="131" width="12.77734375" style="27" bestFit="1" customWidth="1"/>
    <col min="132" max="132" width="10" style="27" bestFit="1" customWidth="1"/>
    <col min="133" max="133" width="12.77734375" style="27" bestFit="1" customWidth="1"/>
    <col min="134" max="134" width="10" style="27" bestFit="1" customWidth="1"/>
    <col min="135" max="135" width="12.77734375" style="27" bestFit="1" customWidth="1"/>
    <col min="136" max="136" width="10" style="27" bestFit="1" customWidth="1"/>
    <col min="137" max="137" width="12.77734375" style="27" bestFit="1" customWidth="1"/>
    <col min="138" max="138" width="10" style="27" bestFit="1" customWidth="1"/>
    <col min="139" max="139" width="12.77734375" style="27" bestFit="1" customWidth="1"/>
    <col min="140" max="140" width="10" style="27" bestFit="1" customWidth="1"/>
    <col min="141" max="141" width="12.77734375" style="27" bestFit="1" customWidth="1"/>
    <col min="142" max="142" width="10" style="27" bestFit="1" customWidth="1"/>
    <col min="143" max="143" width="12.77734375" style="27" bestFit="1" customWidth="1"/>
    <col min="144" max="144" width="10" style="27" bestFit="1" customWidth="1"/>
    <col min="145" max="145" width="12.77734375" style="27" bestFit="1" customWidth="1"/>
    <col min="146" max="146" width="10" style="27" bestFit="1" customWidth="1"/>
    <col min="147" max="147" width="12.77734375" style="27" bestFit="1" customWidth="1"/>
    <col min="148" max="148" width="10" style="27" bestFit="1" customWidth="1"/>
    <col min="149" max="149" width="12.77734375" style="27" bestFit="1" customWidth="1"/>
    <col min="150" max="150" width="10" style="27" bestFit="1" customWidth="1"/>
    <col min="151" max="151" width="12.77734375" style="27" bestFit="1" customWidth="1"/>
    <col min="152" max="152" width="10" style="27" bestFit="1" customWidth="1"/>
    <col min="153" max="153" width="12.77734375" style="27" bestFit="1" customWidth="1"/>
    <col min="154" max="154" width="10" style="27" bestFit="1" customWidth="1"/>
    <col min="155" max="155" width="12.77734375" style="27" bestFit="1" customWidth="1"/>
    <col min="156" max="156" width="10" style="27" bestFit="1" customWidth="1"/>
    <col min="157" max="157" width="12.77734375" style="27" bestFit="1" customWidth="1"/>
    <col min="158" max="158" width="10" style="27" bestFit="1" customWidth="1"/>
    <col min="159" max="159" width="12.77734375" style="27" bestFit="1" customWidth="1"/>
    <col min="160" max="160" width="10" style="27" bestFit="1" customWidth="1"/>
    <col min="161" max="161" width="12.77734375" style="27" bestFit="1" customWidth="1"/>
    <col min="162" max="162" width="10" style="27" bestFit="1" customWidth="1"/>
    <col min="163" max="163" width="12.77734375" style="27" bestFit="1" customWidth="1"/>
    <col min="164" max="164" width="10" style="27" bestFit="1" customWidth="1"/>
    <col min="165" max="165" width="12.77734375" style="27" bestFit="1" customWidth="1"/>
    <col min="166" max="166" width="10" style="27" bestFit="1" customWidth="1"/>
    <col min="167" max="167" width="12.77734375" style="27" bestFit="1" customWidth="1"/>
    <col min="168" max="168" width="10" style="27" bestFit="1" customWidth="1"/>
    <col min="169" max="169" width="12.77734375" style="27" bestFit="1" customWidth="1"/>
    <col min="170" max="170" width="10" style="27" bestFit="1" customWidth="1"/>
    <col min="171" max="171" width="12.77734375" style="27" bestFit="1" customWidth="1"/>
    <col min="172" max="172" width="10" style="27" bestFit="1" customWidth="1"/>
    <col min="173" max="173" width="12.77734375" style="27" bestFit="1" customWidth="1"/>
    <col min="174" max="174" width="10" style="27" bestFit="1" customWidth="1"/>
    <col min="175" max="175" width="12.77734375" style="27" bestFit="1" customWidth="1"/>
    <col min="176" max="176" width="10" style="27" bestFit="1" customWidth="1"/>
    <col min="177" max="177" width="12.77734375" style="27" bestFit="1" customWidth="1"/>
    <col min="178" max="178" width="10" style="27" bestFit="1" customWidth="1"/>
    <col min="179" max="179" width="12.77734375" style="27" bestFit="1" customWidth="1"/>
    <col min="180" max="180" width="10" style="27" bestFit="1" customWidth="1"/>
    <col min="181" max="181" width="12.77734375" style="27" bestFit="1" customWidth="1"/>
    <col min="182" max="182" width="10" style="27" bestFit="1" customWidth="1"/>
    <col min="183" max="183" width="12.77734375" style="27" bestFit="1" customWidth="1"/>
    <col min="184" max="184" width="10" style="27" bestFit="1" customWidth="1"/>
    <col min="185" max="185" width="12.77734375" style="27" bestFit="1" customWidth="1"/>
    <col min="186" max="186" width="10" style="27" bestFit="1" customWidth="1"/>
    <col min="187" max="187" width="12.77734375" style="27" bestFit="1" customWidth="1"/>
    <col min="188" max="188" width="10" style="27" bestFit="1" customWidth="1"/>
    <col min="189" max="189" width="12.77734375" style="27" bestFit="1" customWidth="1"/>
    <col min="190" max="190" width="10" style="27" bestFit="1" customWidth="1"/>
    <col min="191" max="191" width="12.77734375" style="27" bestFit="1" customWidth="1"/>
    <col min="192" max="192" width="10" style="27" bestFit="1" customWidth="1"/>
    <col min="193" max="193" width="12.77734375" style="27" bestFit="1" customWidth="1"/>
    <col min="194" max="194" width="10" style="27" bestFit="1" customWidth="1"/>
    <col min="195" max="195" width="12.77734375" style="27" bestFit="1" customWidth="1"/>
    <col min="196" max="196" width="10" style="27" bestFit="1" customWidth="1"/>
    <col min="197" max="197" width="12.77734375" style="27" bestFit="1" customWidth="1"/>
    <col min="198" max="198" width="10" style="27" bestFit="1" customWidth="1"/>
    <col min="199" max="199" width="12.77734375" style="27" bestFit="1" customWidth="1"/>
    <col min="200" max="200" width="10" style="27" bestFit="1" customWidth="1"/>
    <col min="201" max="201" width="12.77734375" style="27" bestFit="1" customWidth="1"/>
    <col min="202" max="202" width="10" style="27" bestFit="1" customWidth="1"/>
    <col min="203" max="203" width="12.77734375" style="27" bestFit="1" customWidth="1"/>
    <col min="204" max="204" width="10" style="27" bestFit="1" customWidth="1"/>
    <col min="205" max="205" width="12.77734375" style="27" bestFit="1" customWidth="1"/>
    <col min="206" max="206" width="10" style="27" bestFit="1" customWidth="1"/>
    <col min="207" max="207" width="12.77734375" style="27" bestFit="1" customWidth="1"/>
    <col min="208" max="208" width="10" style="27" bestFit="1" customWidth="1"/>
    <col min="209" max="209" width="12.77734375" style="27" bestFit="1" customWidth="1"/>
    <col min="210" max="210" width="10" style="27" bestFit="1" customWidth="1"/>
    <col min="211" max="211" width="12.77734375" style="27" bestFit="1" customWidth="1"/>
    <col min="212" max="212" width="10" style="27" bestFit="1" customWidth="1"/>
    <col min="213" max="213" width="12.77734375" style="27" bestFit="1" customWidth="1"/>
    <col min="214" max="214" width="10" style="27" bestFit="1" customWidth="1"/>
    <col min="215" max="215" width="12.77734375" style="27" bestFit="1" customWidth="1"/>
    <col min="216" max="216" width="10" style="27" bestFit="1" customWidth="1"/>
    <col min="217" max="217" width="12.77734375" style="27" bestFit="1" customWidth="1"/>
    <col min="218" max="218" width="10" style="27" bestFit="1" customWidth="1"/>
    <col min="219" max="219" width="12.77734375" style="27" bestFit="1" customWidth="1"/>
    <col min="220" max="220" width="10" style="27" bestFit="1" customWidth="1"/>
    <col min="221" max="221" width="12.77734375" style="27" bestFit="1" customWidth="1"/>
    <col min="222" max="222" width="10" style="27" bestFit="1" customWidth="1"/>
    <col min="223" max="223" width="12.77734375" style="27" bestFit="1" customWidth="1"/>
    <col min="224" max="224" width="10" style="27" bestFit="1" customWidth="1"/>
    <col min="225" max="225" width="12.77734375" style="27" bestFit="1" customWidth="1"/>
    <col min="226" max="226" width="10" style="27" bestFit="1" customWidth="1"/>
    <col min="227" max="227" width="12.77734375" style="27" bestFit="1" customWidth="1"/>
    <col min="228" max="228" width="10" style="27" bestFit="1" customWidth="1"/>
    <col min="229" max="229" width="12.77734375" style="27" bestFit="1" customWidth="1"/>
    <col min="230" max="230" width="10" style="27" bestFit="1" customWidth="1"/>
    <col min="231" max="231" width="12.77734375" style="27" bestFit="1" customWidth="1"/>
    <col min="232" max="232" width="10" style="27" bestFit="1" customWidth="1"/>
    <col min="233" max="233" width="12.77734375" style="27" bestFit="1" customWidth="1"/>
    <col min="234" max="234" width="10" style="27" bestFit="1" customWidth="1"/>
    <col min="235" max="235" width="12.77734375" style="27" bestFit="1" customWidth="1"/>
    <col min="236" max="236" width="10" style="27" bestFit="1" customWidth="1"/>
    <col min="237" max="237" width="12.77734375" style="27" bestFit="1" customWidth="1"/>
    <col min="238" max="238" width="10" style="27" bestFit="1" customWidth="1"/>
    <col min="239" max="239" width="12.77734375" style="27" bestFit="1" customWidth="1"/>
    <col min="240" max="240" width="10" style="27" bestFit="1" customWidth="1"/>
    <col min="241" max="241" width="12.77734375" style="27" bestFit="1" customWidth="1"/>
    <col min="242" max="242" width="10" style="27" bestFit="1" customWidth="1"/>
    <col min="243" max="243" width="12.77734375" style="27" bestFit="1" customWidth="1"/>
    <col min="244" max="244" width="10" style="27" bestFit="1" customWidth="1"/>
    <col min="245" max="245" width="12.77734375" style="27" bestFit="1" customWidth="1"/>
    <col min="246" max="246" width="10" style="27" bestFit="1" customWidth="1"/>
    <col min="247" max="247" width="12.77734375" style="27" bestFit="1" customWidth="1"/>
    <col min="248" max="248" width="10" style="27" bestFit="1" customWidth="1"/>
    <col min="249" max="249" width="12.77734375" style="27" bestFit="1" customWidth="1"/>
    <col min="250" max="250" width="10" style="27" bestFit="1" customWidth="1"/>
    <col min="251" max="251" width="12.77734375" style="27" bestFit="1" customWidth="1"/>
    <col min="252" max="252" width="10" style="27" bestFit="1" customWidth="1"/>
    <col min="253" max="253" width="12.77734375" style="27" bestFit="1" customWidth="1"/>
    <col min="254" max="254" width="10" style="27" bestFit="1" customWidth="1"/>
    <col min="255" max="255" width="12.77734375" style="27" bestFit="1" customWidth="1"/>
    <col min="256" max="256" width="10" style="27" bestFit="1" customWidth="1"/>
    <col min="257" max="257" width="12.77734375" style="27" bestFit="1" customWidth="1"/>
    <col min="258" max="258" width="10" style="27" bestFit="1" customWidth="1"/>
    <col min="259" max="259" width="12.77734375" style="27" bestFit="1" customWidth="1"/>
    <col min="260" max="260" width="10" style="27" bestFit="1" customWidth="1"/>
    <col min="261" max="261" width="12.77734375" style="27" bestFit="1" customWidth="1"/>
    <col min="262" max="262" width="10" style="27" bestFit="1" customWidth="1"/>
    <col min="263" max="263" width="12.77734375" style="27" bestFit="1" customWidth="1"/>
    <col min="264" max="264" width="10" style="27" bestFit="1" customWidth="1"/>
    <col min="265" max="265" width="12.77734375" style="27" bestFit="1" customWidth="1"/>
    <col min="266" max="266" width="10" style="27" bestFit="1" customWidth="1"/>
    <col min="267" max="267" width="12.77734375" style="27" bestFit="1" customWidth="1"/>
    <col min="268" max="268" width="10" style="27" bestFit="1" customWidth="1"/>
    <col min="269" max="269" width="12.77734375" style="27" bestFit="1" customWidth="1"/>
    <col min="270" max="270" width="10" style="27" bestFit="1" customWidth="1"/>
    <col min="271" max="271" width="12.77734375" style="27" bestFit="1" customWidth="1"/>
    <col min="272" max="272" width="10" style="27" bestFit="1" customWidth="1"/>
    <col min="273" max="273" width="12.77734375" style="27" bestFit="1" customWidth="1"/>
    <col min="274" max="274" width="10" style="27" bestFit="1" customWidth="1"/>
    <col min="275" max="275" width="12.77734375" style="27" bestFit="1" customWidth="1"/>
    <col min="276" max="276" width="10" style="27" bestFit="1" customWidth="1"/>
    <col min="277" max="277" width="12.77734375" style="27" bestFit="1" customWidth="1"/>
    <col min="278" max="278" width="10" style="27" bestFit="1" customWidth="1"/>
    <col min="279" max="279" width="12.77734375" style="27" bestFit="1" customWidth="1"/>
    <col min="280" max="280" width="10" style="27" bestFit="1" customWidth="1"/>
    <col min="281" max="281" width="12.77734375" style="27" bestFit="1" customWidth="1"/>
    <col min="282" max="282" width="10" style="27" bestFit="1" customWidth="1"/>
    <col min="283" max="283" width="12.77734375" style="27" bestFit="1" customWidth="1"/>
    <col min="284" max="284" width="10" style="27" bestFit="1" customWidth="1"/>
    <col min="285" max="285" width="12.77734375" style="27" bestFit="1" customWidth="1"/>
    <col min="286" max="286" width="10" style="27" bestFit="1" customWidth="1"/>
    <col min="287" max="287" width="12.77734375" style="27" bestFit="1" customWidth="1"/>
    <col min="288" max="288" width="10" style="27" bestFit="1" customWidth="1"/>
    <col min="289" max="289" width="12.77734375" style="27" bestFit="1" customWidth="1"/>
    <col min="290" max="290" width="10" style="27" bestFit="1" customWidth="1"/>
    <col min="291" max="291" width="12.77734375" style="27" bestFit="1" customWidth="1"/>
    <col min="292" max="292" width="10" style="27" bestFit="1" customWidth="1"/>
    <col min="293" max="293" width="12.77734375" style="27" bestFit="1" customWidth="1"/>
    <col min="294" max="294" width="10" style="27" bestFit="1" customWidth="1"/>
    <col min="295" max="295" width="12.77734375" style="27" bestFit="1" customWidth="1"/>
    <col min="296" max="296" width="10" style="27" bestFit="1" customWidth="1"/>
    <col min="297" max="297" width="12.77734375" style="27" bestFit="1" customWidth="1"/>
    <col min="298" max="298" width="10" style="27" bestFit="1" customWidth="1"/>
    <col min="299" max="299" width="12.77734375" style="27" bestFit="1" customWidth="1"/>
    <col min="300" max="300" width="10" style="27" bestFit="1" customWidth="1"/>
    <col min="301" max="301" width="12.77734375" style="27" bestFit="1" customWidth="1"/>
    <col min="302" max="302" width="10" style="27" bestFit="1" customWidth="1"/>
    <col min="303" max="303" width="12.77734375" style="27" bestFit="1" customWidth="1"/>
    <col min="304" max="304" width="10" style="27" bestFit="1" customWidth="1"/>
    <col min="305" max="305" width="12.77734375" style="27" bestFit="1" customWidth="1"/>
    <col min="306" max="306" width="10" style="27" bestFit="1" customWidth="1"/>
    <col min="307" max="307" width="12.77734375" style="27" bestFit="1" customWidth="1"/>
    <col min="308" max="308" width="10" style="27" bestFit="1" customWidth="1"/>
    <col min="309" max="309" width="12.77734375" style="27" bestFit="1" customWidth="1"/>
    <col min="310" max="310" width="10" style="27" bestFit="1" customWidth="1"/>
    <col min="311" max="311" width="12.77734375" style="27" bestFit="1" customWidth="1"/>
    <col min="312" max="312" width="10" style="27" bestFit="1" customWidth="1"/>
    <col min="313" max="313" width="12.77734375" style="27" bestFit="1" customWidth="1"/>
    <col min="314" max="314" width="10" style="27" bestFit="1" customWidth="1"/>
    <col min="315" max="315" width="12.77734375" style="27" bestFit="1" customWidth="1"/>
    <col min="316" max="316" width="10" style="27" bestFit="1" customWidth="1"/>
    <col min="317" max="317" width="12.77734375" style="27" bestFit="1" customWidth="1"/>
    <col min="318" max="318" width="10" style="27" bestFit="1" customWidth="1"/>
    <col min="319" max="319" width="12.77734375" style="27" bestFit="1" customWidth="1"/>
    <col min="320" max="320" width="10" style="27" bestFit="1" customWidth="1"/>
    <col min="321" max="16384" width="8.88671875" style="27"/>
  </cols>
  <sheetData>
    <row r="1" spans="1:78" x14ac:dyDescent="0.35">
      <c r="A1" s="26"/>
      <c r="B1" s="26"/>
      <c r="C1" s="26"/>
      <c r="I1" s="97" t="s">
        <v>1166</v>
      </c>
      <c r="J1" s="97"/>
      <c r="K1" s="102" t="s">
        <v>1167</v>
      </c>
      <c r="L1" s="103"/>
    </row>
    <row r="2" spans="1:78" s="28" customFormat="1" ht="15.6" x14ac:dyDescent="0.3">
      <c r="A2" s="61" t="s">
        <v>644</v>
      </c>
      <c r="B2" s="61" t="s">
        <v>279</v>
      </c>
      <c r="C2" s="61" t="s">
        <v>280</v>
      </c>
      <c r="D2" s="61" t="s">
        <v>281</v>
      </c>
      <c r="E2" s="61" t="s">
        <v>699</v>
      </c>
      <c r="F2" s="61" t="s">
        <v>866</v>
      </c>
      <c r="G2" s="61" t="s">
        <v>1153</v>
      </c>
      <c r="H2" s="58" t="s">
        <v>971</v>
      </c>
      <c r="I2" s="98" t="s">
        <v>642</v>
      </c>
      <c r="J2" s="99" t="s">
        <v>1174</v>
      </c>
      <c r="K2" s="104" t="s">
        <v>643</v>
      </c>
      <c r="L2" s="105" t="s">
        <v>1172</v>
      </c>
    </row>
    <row r="3" spans="1:78" x14ac:dyDescent="0.35">
      <c r="A3" s="53" t="s">
        <v>618</v>
      </c>
      <c r="B3" s="57">
        <v>21471.929999999997</v>
      </c>
      <c r="C3" s="57">
        <v>39846.019999999997</v>
      </c>
      <c r="D3" s="57">
        <v>37455.93</v>
      </c>
      <c r="E3" s="57">
        <v>53545.670000000013</v>
      </c>
      <c r="F3" s="57">
        <v>45365.120000000003</v>
      </c>
      <c r="G3" s="57">
        <v>41828.479999999996</v>
      </c>
      <c r="H3" s="57">
        <v>239513.15000000002</v>
      </c>
      <c r="I3" s="57">
        <f>SUM(E3:G3)/3</f>
        <v>46913.090000000004</v>
      </c>
      <c r="J3" s="62">
        <f t="shared" ref="J3:J15" si="0">G3-I3</f>
        <v>-5084.6100000000079</v>
      </c>
      <c r="K3" s="62">
        <f>SUM(B3:G3)/6</f>
        <v>39918.858333333337</v>
      </c>
      <c r="L3" s="62">
        <f>G3-K3</f>
        <v>1909.6216666666587</v>
      </c>
    </row>
    <row r="4" spans="1:78" x14ac:dyDescent="0.35">
      <c r="A4" s="53" t="s">
        <v>873</v>
      </c>
      <c r="B4" s="57">
        <v>13585.649999999998</v>
      </c>
      <c r="C4" s="57">
        <v>20690.420000000006</v>
      </c>
      <c r="D4" s="57">
        <v>15337.159999999998</v>
      </c>
      <c r="E4" s="57">
        <v>18842.46</v>
      </c>
      <c r="F4" s="57">
        <v>18060.650000000001</v>
      </c>
      <c r="G4" s="57">
        <v>18483.090000000004</v>
      </c>
      <c r="H4" s="57">
        <v>104999.43</v>
      </c>
      <c r="I4" s="57">
        <f t="shared" ref="I4:I15" si="1">SUM(E4:G4)/3</f>
        <v>18462.066666666669</v>
      </c>
      <c r="J4" s="62">
        <f t="shared" si="0"/>
        <v>21.023333333334449</v>
      </c>
      <c r="K4" s="62">
        <f t="shared" ref="K4:K15" si="2">SUM(B4:G4)/6</f>
        <v>17499.904999999999</v>
      </c>
      <c r="L4" s="62">
        <f t="shared" ref="L4:L15" si="3">G4-K4</f>
        <v>983.18500000000495</v>
      </c>
    </row>
    <row r="5" spans="1:78" x14ac:dyDescent="0.35">
      <c r="A5" s="53" t="s">
        <v>619</v>
      </c>
      <c r="B5" s="57">
        <v>8317.0299999999988</v>
      </c>
      <c r="C5" s="57">
        <v>8332.5</v>
      </c>
      <c r="D5" s="57">
        <v>10622.899999999998</v>
      </c>
      <c r="E5" s="57">
        <v>3425.45</v>
      </c>
      <c r="F5" s="57">
        <v>708.02</v>
      </c>
      <c r="G5" s="57"/>
      <c r="H5" s="57">
        <v>31405.899999999998</v>
      </c>
      <c r="I5" s="57">
        <f t="shared" si="1"/>
        <v>1377.823333333333</v>
      </c>
      <c r="J5" s="62">
        <f t="shared" si="0"/>
        <v>-1377.823333333333</v>
      </c>
      <c r="K5" s="62">
        <f t="shared" si="2"/>
        <v>5234.3166666666666</v>
      </c>
      <c r="L5" s="62">
        <f t="shared" si="3"/>
        <v>-5234.3166666666666</v>
      </c>
    </row>
    <row r="6" spans="1:78" x14ac:dyDescent="0.35">
      <c r="A6" s="53" t="s">
        <v>620</v>
      </c>
      <c r="B6" s="57">
        <v>4022.16</v>
      </c>
      <c r="C6" s="57">
        <v>4317.5199999999995</v>
      </c>
      <c r="D6" s="57">
        <v>4330.32</v>
      </c>
      <c r="E6" s="57">
        <v>4329.6900000000005</v>
      </c>
      <c r="F6" s="57">
        <v>4330.8599999999997</v>
      </c>
      <c r="G6" s="57">
        <v>4325.6000000000004</v>
      </c>
      <c r="H6" s="57">
        <v>25656.15</v>
      </c>
      <c r="I6" s="57">
        <f t="shared" si="1"/>
        <v>4328.7166666666662</v>
      </c>
      <c r="J6" s="62">
        <f t="shared" si="0"/>
        <v>-3.1166666666658784</v>
      </c>
      <c r="K6" s="62">
        <f t="shared" si="2"/>
        <v>4276.0250000000005</v>
      </c>
      <c r="L6" s="62">
        <f t="shared" si="3"/>
        <v>49.574999999999818</v>
      </c>
    </row>
    <row r="7" spans="1:78" x14ac:dyDescent="0.35">
      <c r="A7" s="53" t="s">
        <v>621</v>
      </c>
      <c r="B7" s="57">
        <v>2288.8000000000002</v>
      </c>
      <c r="C7" s="57">
        <v>2349.2600000000002</v>
      </c>
      <c r="D7" s="57">
        <v>3558.36</v>
      </c>
      <c r="E7" s="57">
        <v>3740.2799999999997</v>
      </c>
      <c r="F7" s="57">
        <v>102.5</v>
      </c>
      <c r="G7" s="57">
        <v>520.78</v>
      </c>
      <c r="H7" s="57">
        <v>12559.980000000001</v>
      </c>
      <c r="I7" s="57">
        <f t="shared" si="1"/>
        <v>1454.5199999999998</v>
      </c>
      <c r="J7" s="62">
        <f t="shared" si="0"/>
        <v>-933.73999999999978</v>
      </c>
      <c r="K7" s="62">
        <f t="shared" si="2"/>
        <v>2093.3300000000004</v>
      </c>
      <c r="L7" s="62">
        <f t="shared" si="3"/>
        <v>-1572.5500000000004</v>
      </c>
    </row>
    <row r="8" spans="1:78" x14ac:dyDescent="0.35">
      <c r="A8" s="53" t="s">
        <v>48</v>
      </c>
      <c r="B8" s="57">
        <v>28058.89</v>
      </c>
      <c r="C8" s="57">
        <v>28290.780000000002</v>
      </c>
      <c r="D8" s="57">
        <v>33895.870000000003</v>
      </c>
      <c r="E8" s="57">
        <v>35139.599999999999</v>
      </c>
      <c r="F8" s="57">
        <v>41999.67</v>
      </c>
      <c r="G8" s="57">
        <v>34261.829999999994</v>
      </c>
      <c r="H8" s="57">
        <v>201646.63999999998</v>
      </c>
      <c r="I8" s="57">
        <f t="shared" si="1"/>
        <v>37133.69999999999</v>
      </c>
      <c r="J8" s="62">
        <f t="shared" si="0"/>
        <v>-2871.8699999999953</v>
      </c>
      <c r="K8" s="62">
        <f t="shared" si="2"/>
        <v>33607.773333333331</v>
      </c>
      <c r="L8" s="62">
        <f t="shared" si="3"/>
        <v>654.05666666666366</v>
      </c>
    </row>
    <row r="9" spans="1:78" x14ac:dyDescent="0.35">
      <c r="A9" s="53" t="s">
        <v>34</v>
      </c>
      <c r="B9" s="57">
        <v>16346.58</v>
      </c>
      <c r="C9" s="57">
        <v>9622.4700000000012</v>
      </c>
      <c r="D9" s="57">
        <v>21823.73</v>
      </c>
      <c r="E9" s="57">
        <v>2642.4900000000016</v>
      </c>
      <c r="F9" s="57">
        <v>9897.68</v>
      </c>
      <c r="G9" s="57">
        <v>14383.58</v>
      </c>
      <c r="H9" s="57">
        <v>196396.53</v>
      </c>
      <c r="I9" s="57">
        <f t="shared" si="1"/>
        <v>8974.5833333333339</v>
      </c>
      <c r="J9" s="62">
        <f t="shared" si="0"/>
        <v>5408.996666666666</v>
      </c>
      <c r="K9" s="62">
        <f t="shared" si="2"/>
        <v>12452.754999999999</v>
      </c>
      <c r="L9" s="62">
        <f t="shared" si="3"/>
        <v>1930.8250000000007</v>
      </c>
    </row>
    <row r="10" spans="1:78" x14ac:dyDescent="0.35">
      <c r="A10" s="53" t="s">
        <v>55</v>
      </c>
      <c r="B10" s="57">
        <v>2924</v>
      </c>
      <c r="C10" s="57">
        <v>3219</v>
      </c>
      <c r="D10" s="57">
        <v>3308.5</v>
      </c>
      <c r="E10" s="57">
        <v>2016</v>
      </c>
      <c r="F10" s="57">
        <v>4530.54</v>
      </c>
      <c r="G10" s="57">
        <v>2336</v>
      </c>
      <c r="H10" s="57">
        <v>18334.04</v>
      </c>
      <c r="I10" s="57">
        <f t="shared" si="1"/>
        <v>2960.8466666666668</v>
      </c>
      <c r="J10" s="62">
        <f t="shared" si="0"/>
        <v>-624.84666666666681</v>
      </c>
      <c r="K10" s="62">
        <f t="shared" si="2"/>
        <v>3055.6733333333336</v>
      </c>
      <c r="L10" s="62">
        <f t="shared" si="3"/>
        <v>-719.67333333333363</v>
      </c>
    </row>
    <row r="11" spans="1:78" x14ac:dyDescent="0.35">
      <c r="A11" s="53" t="s">
        <v>51</v>
      </c>
      <c r="B11" s="57">
        <v>64170.140000000021</v>
      </c>
      <c r="C11" s="57">
        <v>64008.040000000023</v>
      </c>
      <c r="D11" s="57">
        <v>48275.19</v>
      </c>
      <c r="E11" s="57">
        <v>344477.78000000009</v>
      </c>
      <c r="F11" s="57">
        <v>99441.739999999991</v>
      </c>
      <c r="G11" s="57">
        <v>70339.839999999997</v>
      </c>
      <c r="H11" s="57">
        <v>690712.7300000001</v>
      </c>
      <c r="I11" s="57">
        <f t="shared" si="1"/>
        <v>171419.78666666671</v>
      </c>
      <c r="J11" s="62">
        <f t="shared" si="0"/>
        <v>-101079.94666666671</v>
      </c>
      <c r="K11" s="62">
        <f t="shared" si="2"/>
        <v>115118.78833333334</v>
      </c>
      <c r="L11" s="62">
        <f t="shared" si="3"/>
        <v>-44778.948333333348</v>
      </c>
    </row>
    <row r="12" spans="1:78" x14ac:dyDescent="0.35">
      <c r="A12" s="53" t="s">
        <v>36</v>
      </c>
      <c r="B12" s="57">
        <v>9260.59</v>
      </c>
      <c r="C12" s="57">
        <v>17819.390000000003</v>
      </c>
      <c r="D12" s="57">
        <v>22277.21</v>
      </c>
      <c r="E12" s="57">
        <v>12955.849999999999</v>
      </c>
      <c r="F12" s="57">
        <v>12834.74</v>
      </c>
      <c r="G12" s="57">
        <v>12709.11</v>
      </c>
      <c r="H12" s="57">
        <v>87856.89</v>
      </c>
      <c r="I12" s="57">
        <f t="shared" si="1"/>
        <v>12833.233333333332</v>
      </c>
      <c r="J12" s="62">
        <f t="shared" si="0"/>
        <v>-124.12333333333117</v>
      </c>
      <c r="K12" s="62">
        <f t="shared" si="2"/>
        <v>14642.815000000001</v>
      </c>
      <c r="L12" s="62">
        <f t="shared" si="3"/>
        <v>-1933.7049999999999</v>
      </c>
    </row>
    <row r="13" spans="1:78" x14ac:dyDescent="0.35">
      <c r="A13" s="53" t="s">
        <v>66</v>
      </c>
      <c r="B13" s="57">
        <v>59833.71</v>
      </c>
      <c r="C13" s="57">
        <v>13312.680000000004</v>
      </c>
      <c r="D13" s="57">
        <v>21184.450000000008</v>
      </c>
      <c r="E13" s="57">
        <v>13043.670000000011</v>
      </c>
      <c r="F13" s="57">
        <v>16066.220000000014</v>
      </c>
      <c r="G13" s="57">
        <v>13209.760000000013</v>
      </c>
      <c r="H13" s="57">
        <v>136650.49000000005</v>
      </c>
      <c r="I13" s="57">
        <f t="shared" si="1"/>
        <v>14106.550000000012</v>
      </c>
      <c r="J13" s="62">
        <f t="shared" si="0"/>
        <v>-896.78999999999905</v>
      </c>
      <c r="K13" s="62">
        <f t="shared" si="2"/>
        <v>22775.081666666676</v>
      </c>
      <c r="L13" s="62">
        <f t="shared" si="3"/>
        <v>-9565.3216666666631</v>
      </c>
    </row>
    <row r="14" spans="1:78" x14ac:dyDescent="0.35">
      <c r="A14" s="53" t="s">
        <v>134</v>
      </c>
      <c r="B14" s="57">
        <v>131420.53000000003</v>
      </c>
      <c r="C14" s="57">
        <v>135607.15999999997</v>
      </c>
      <c r="D14" s="57">
        <v>145315.10999999999</v>
      </c>
      <c r="E14" s="57">
        <v>68074.729999999967</v>
      </c>
      <c r="F14" s="57">
        <v>73148.349999999991</v>
      </c>
      <c r="G14" s="57">
        <v>260540.58999999997</v>
      </c>
      <c r="H14" s="57">
        <v>814106.47</v>
      </c>
      <c r="I14" s="57">
        <f t="shared" si="1"/>
        <v>133921.2233333333</v>
      </c>
      <c r="J14" s="62">
        <f t="shared" si="0"/>
        <v>126619.36666666667</v>
      </c>
      <c r="K14" s="62">
        <f t="shared" si="2"/>
        <v>135684.41166666665</v>
      </c>
      <c r="L14" s="62">
        <f t="shared" si="3"/>
        <v>124856.17833333332</v>
      </c>
    </row>
    <row r="15" spans="1:78" x14ac:dyDescent="0.35">
      <c r="A15" s="59" t="s">
        <v>971</v>
      </c>
      <c r="B15" s="60">
        <v>361700.01</v>
      </c>
      <c r="C15" s="60">
        <v>347415.24</v>
      </c>
      <c r="D15" s="60">
        <v>367384.73</v>
      </c>
      <c r="E15" s="60">
        <v>562233.67000000004</v>
      </c>
      <c r="F15" s="60">
        <v>326486.08999999997</v>
      </c>
      <c r="G15" s="60">
        <v>472938.66</v>
      </c>
      <c r="H15" s="60">
        <v>2559838.4000000004</v>
      </c>
      <c r="I15" s="100">
        <f t="shared" si="1"/>
        <v>453886.13999999996</v>
      </c>
      <c r="J15" s="101">
        <f t="shared" si="0"/>
        <v>19052.520000000019</v>
      </c>
      <c r="K15" s="106">
        <f t="shared" si="2"/>
        <v>406359.73333333334</v>
      </c>
      <c r="L15" s="106">
        <f t="shared" si="3"/>
        <v>66578.926666666637</v>
      </c>
    </row>
    <row r="16" spans="1:78" x14ac:dyDescent="0.35">
      <c r="A16"/>
      <c r="B16"/>
      <c r="C16" s="28"/>
      <c r="D16" s="28"/>
      <c r="E16" s="28"/>
      <c r="F16" s="28"/>
      <c r="G16" s="28"/>
      <c r="H16" s="28"/>
      <c r="I16" s="28"/>
      <c r="J16" s="64"/>
      <c r="K16" s="64"/>
      <c r="L16" s="64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</row>
    <row r="17" spans="1:320" x14ac:dyDescent="0.35">
      <c r="A17"/>
      <c r="B17"/>
      <c r="C17" s="28"/>
      <c r="D17" s="28"/>
      <c r="E17" s="28"/>
      <c r="F17" s="28"/>
      <c r="G17" s="28"/>
      <c r="H17" s="28"/>
      <c r="I17" s="28"/>
      <c r="J17" s="64"/>
      <c r="K17" s="64"/>
      <c r="L17" s="64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</row>
    <row r="18" spans="1:320" x14ac:dyDescent="0.35">
      <c r="A18" s="29" t="s">
        <v>32</v>
      </c>
      <c r="B18" t="s">
        <v>972</v>
      </c>
      <c r="C18" s="28"/>
      <c r="D18" s="28"/>
      <c r="E18" s="28"/>
    </row>
    <row r="19" spans="1:320" x14ac:dyDescent="0.35">
      <c r="A19" s="29" t="s">
        <v>655</v>
      </c>
      <c r="B19" t="s">
        <v>972</v>
      </c>
      <c r="C19"/>
      <c r="D19"/>
      <c r="E19"/>
      <c r="F19"/>
      <c r="G19"/>
      <c r="H19"/>
      <c r="I19"/>
      <c r="J19" s="64"/>
      <c r="K19" s="64"/>
      <c r="L19" s="64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</row>
    <row r="20" spans="1:320" x14ac:dyDescent="0.35">
      <c r="A20"/>
      <c r="B20"/>
      <c r="C20"/>
      <c r="D20"/>
      <c r="E20"/>
      <c r="F20"/>
      <c r="G20"/>
      <c r="H20"/>
      <c r="I20"/>
      <c r="J20" s="64"/>
      <c r="K20" s="64"/>
      <c r="L20" s="64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</row>
    <row r="21" spans="1:320" x14ac:dyDescent="0.35">
      <c r="A21" s="29" t="s">
        <v>1163</v>
      </c>
      <c r="B21" s="29" t="s">
        <v>969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</row>
    <row r="22" spans="1:320" x14ac:dyDescent="0.35">
      <c r="A22" s="29" t="s">
        <v>970</v>
      </c>
      <c r="B22" t="s">
        <v>279</v>
      </c>
      <c r="C22" t="s">
        <v>280</v>
      </c>
      <c r="D22" t="s">
        <v>281</v>
      </c>
      <c r="E22" t="s">
        <v>699</v>
      </c>
      <c r="F22" t="s">
        <v>866</v>
      </c>
      <c r="G22" t="s">
        <v>1153</v>
      </c>
      <c r="H22" t="s">
        <v>971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</row>
    <row r="23" spans="1:320" x14ac:dyDescent="0.35">
      <c r="A23" s="32" t="s">
        <v>618</v>
      </c>
      <c r="B23" s="42">
        <v>21471.929999999997</v>
      </c>
      <c r="C23" s="42">
        <v>39846.019999999997</v>
      </c>
      <c r="D23" s="42">
        <v>37455.93</v>
      </c>
      <c r="E23" s="42">
        <v>53545.670000000013</v>
      </c>
      <c r="F23" s="42">
        <v>45365.120000000003</v>
      </c>
      <c r="G23" s="42">
        <v>41828.479999999996</v>
      </c>
      <c r="H23" s="107">
        <v>239513.15000000002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</row>
    <row r="24" spans="1:320" x14ac:dyDescent="0.35">
      <c r="A24" s="32" t="s">
        <v>873</v>
      </c>
      <c r="B24" s="42">
        <v>13585.649999999998</v>
      </c>
      <c r="C24" s="42">
        <v>20690.420000000006</v>
      </c>
      <c r="D24" s="42">
        <v>15337.159999999998</v>
      </c>
      <c r="E24" s="42">
        <v>18842.46</v>
      </c>
      <c r="F24" s="42">
        <v>18060.650000000001</v>
      </c>
      <c r="G24" s="42">
        <v>18483.090000000004</v>
      </c>
      <c r="H24" s="107">
        <v>104999.43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</row>
    <row r="25" spans="1:320" x14ac:dyDescent="0.35">
      <c r="A25" s="32" t="s">
        <v>619</v>
      </c>
      <c r="B25" s="42">
        <v>8317.0299999999988</v>
      </c>
      <c r="C25" s="42">
        <v>8332.5</v>
      </c>
      <c r="D25" s="42">
        <v>10622.899999999998</v>
      </c>
      <c r="E25" s="42">
        <v>3425.45</v>
      </c>
      <c r="F25" s="42">
        <v>708.02</v>
      </c>
      <c r="G25" s="42"/>
      <c r="H25" s="107">
        <v>31405.899999999998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</row>
    <row r="26" spans="1:320" x14ac:dyDescent="0.35">
      <c r="A26" s="32" t="s">
        <v>620</v>
      </c>
      <c r="B26" s="42">
        <v>4022.16</v>
      </c>
      <c r="C26" s="42">
        <v>4317.5199999999995</v>
      </c>
      <c r="D26" s="42">
        <v>4330.32</v>
      </c>
      <c r="E26" s="42">
        <v>4329.6900000000005</v>
      </c>
      <c r="F26" s="42">
        <v>4330.8599999999997</v>
      </c>
      <c r="G26" s="42">
        <v>4325.6000000000004</v>
      </c>
      <c r="H26" s="107">
        <v>25656.15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</row>
    <row r="27" spans="1:320" x14ac:dyDescent="0.35">
      <c r="A27" s="32" t="s">
        <v>621</v>
      </c>
      <c r="B27" s="42">
        <v>2288.8000000000002</v>
      </c>
      <c r="C27" s="42">
        <v>2349.2600000000002</v>
      </c>
      <c r="D27" s="42">
        <v>3558.36</v>
      </c>
      <c r="E27" s="42">
        <v>3740.2799999999997</v>
      </c>
      <c r="F27" s="42">
        <v>102.5</v>
      </c>
      <c r="G27" s="42">
        <v>520.78</v>
      </c>
      <c r="H27" s="107">
        <v>12559.980000000001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</row>
    <row r="28" spans="1:320" x14ac:dyDescent="0.35">
      <c r="A28" s="32" t="s">
        <v>48</v>
      </c>
      <c r="B28" s="42">
        <v>28058.89</v>
      </c>
      <c r="C28" s="42">
        <v>28290.780000000002</v>
      </c>
      <c r="D28" s="42">
        <v>33895.870000000003</v>
      </c>
      <c r="E28" s="42">
        <v>35139.599999999999</v>
      </c>
      <c r="F28" s="42">
        <v>41999.67</v>
      </c>
      <c r="G28" s="42">
        <v>34261.829999999994</v>
      </c>
      <c r="H28" s="107">
        <v>201646.63999999998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</row>
    <row r="29" spans="1:320" x14ac:dyDescent="0.35">
      <c r="A29" s="32" t="s">
        <v>34</v>
      </c>
      <c r="B29" s="42">
        <v>16346.58</v>
      </c>
      <c r="C29" s="42">
        <v>9622.4700000000012</v>
      </c>
      <c r="D29" s="42">
        <v>21823.73</v>
      </c>
      <c r="E29" s="42">
        <v>2642.4900000000016</v>
      </c>
      <c r="F29" s="42">
        <v>9897.68</v>
      </c>
      <c r="G29" s="42">
        <v>14383.58</v>
      </c>
      <c r="H29" s="107">
        <v>74716.53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</row>
    <row r="30" spans="1:320" x14ac:dyDescent="0.35">
      <c r="A30" s="32" t="s">
        <v>55</v>
      </c>
      <c r="B30" s="42">
        <v>2924</v>
      </c>
      <c r="C30" s="42">
        <v>3219</v>
      </c>
      <c r="D30" s="42">
        <v>3308.5</v>
      </c>
      <c r="E30" s="42">
        <v>2016</v>
      </c>
      <c r="F30" s="42">
        <v>4530.54</v>
      </c>
      <c r="G30" s="42">
        <v>2336</v>
      </c>
      <c r="H30" s="107">
        <v>18334.04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</row>
    <row r="31" spans="1:320" x14ac:dyDescent="0.35">
      <c r="A31" s="32" t="s">
        <v>51</v>
      </c>
      <c r="B31" s="42">
        <v>64170.140000000021</v>
      </c>
      <c r="C31" s="42">
        <v>64008.040000000023</v>
      </c>
      <c r="D31" s="42">
        <v>48275.19</v>
      </c>
      <c r="E31" s="42">
        <v>344477.78000000009</v>
      </c>
      <c r="F31" s="42">
        <v>99441.739999999991</v>
      </c>
      <c r="G31" s="42">
        <v>70339.839999999997</v>
      </c>
      <c r="H31" s="107">
        <v>690712.7300000001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</row>
    <row r="32" spans="1:320" x14ac:dyDescent="0.35">
      <c r="A32" s="32" t="s">
        <v>36</v>
      </c>
      <c r="B32" s="42">
        <v>9260.59</v>
      </c>
      <c r="C32" s="42">
        <v>17819.390000000003</v>
      </c>
      <c r="D32" s="42">
        <v>22277.21</v>
      </c>
      <c r="E32" s="42">
        <v>12955.849999999999</v>
      </c>
      <c r="F32" s="42">
        <v>12834.74</v>
      </c>
      <c r="G32" s="42">
        <v>12709.11</v>
      </c>
      <c r="H32" s="107">
        <v>87856.89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</row>
    <row r="33" spans="1:320" x14ac:dyDescent="0.35">
      <c r="A33" s="32" t="s">
        <v>66</v>
      </c>
      <c r="B33" s="42">
        <v>59833.71</v>
      </c>
      <c r="C33" s="42">
        <v>13312.680000000004</v>
      </c>
      <c r="D33" s="42">
        <v>21184.450000000008</v>
      </c>
      <c r="E33" s="42">
        <v>13043.670000000011</v>
      </c>
      <c r="F33" s="42">
        <v>16066.220000000014</v>
      </c>
      <c r="G33" s="42">
        <v>13209.760000000013</v>
      </c>
      <c r="H33" s="107">
        <v>136650.49000000005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</row>
    <row r="34" spans="1:320" x14ac:dyDescent="0.35">
      <c r="A34" s="32" t="s">
        <v>134</v>
      </c>
      <c r="B34" s="42">
        <v>131420.53000000003</v>
      </c>
      <c r="C34" s="42">
        <v>135607.15999999997</v>
      </c>
      <c r="D34" s="42">
        <v>145315.10999999999</v>
      </c>
      <c r="E34" s="42">
        <v>68074.729999999967</v>
      </c>
      <c r="F34" s="42">
        <v>73148.349999999991</v>
      </c>
      <c r="G34" s="42">
        <v>260540.58999999997</v>
      </c>
      <c r="H34" s="107">
        <v>814106.47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</row>
    <row r="35" spans="1:320" x14ac:dyDescent="0.35">
      <c r="A35" s="32" t="s">
        <v>971</v>
      </c>
      <c r="B35" s="42">
        <v>361700.01</v>
      </c>
      <c r="C35" s="42">
        <v>347415.24</v>
      </c>
      <c r="D35" s="42">
        <v>367384.73</v>
      </c>
      <c r="E35" s="42">
        <v>562233.67000000004</v>
      </c>
      <c r="F35" s="42">
        <v>326486.08999999997</v>
      </c>
      <c r="G35" s="42">
        <v>472938.66</v>
      </c>
      <c r="H35" s="107">
        <v>2438158.4000000004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</row>
    <row r="36" spans="1:320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</row>
    <row r="37" spans="1:320" x14ac:dyDescent="0.35">
      <c r="A37"/>
      <c r="B37"/>
      <c r="C37"/>
      <c r="D37"/>
      <c r="E37"/>
      <c r="F37"/>
      <c r="G37"/>
      <c r="H37"/>
    </row>
    <row r="38" spans="1:320" x14ac:dyDescent="0.35">
      <c r="A38"/>
      <c r="B38"/>
      <c r="C38"/>
      <c r="D38"/>
      <c r="E38"/>
      <c r="F38"/>
      <c r="G38"/>
      <c r="H38"/>
    </row>
    <row r="39" spans="1:320" x14ac:dyDescent="0.35">
      <c r="A39"/>
      <c r="B39"/>
      <c r="C39"/>
      <c r="D39"/>
      <c r="E39"/>
      <c r="F39"/>
      <c r="G39"/>
      <c r="H39"/>
    </row>
    <row r="40" spans="1:320" x14ac:dyDescent="0.35">
      <c r="A40"/>
      <c r="B40"/>
      <c r="C40"/>
      <c r="D40"/>
      <c r="E40"/>
      <c r="F40"/>
      <c r="G40"/>
      <c r="H40"/>
    </row>
    <row r="41" spans="1:320" x14ac:dyDescent="0.35">
      <c r="A41"/>
      <c r="B41"/>
      <c r="C41"/>
      <c r="D41"/>
      <c r="E41"/>
      <c r="F41"/>
      <c r="G41"/>
      <c r="H41"/>
    </row>
    <row r="42" spans="1:320" x14ac:dyDescent="0.35">
      <c r="A42"/>
      <c r="B42"/>
      <c r="C42"/>
      <c r="D42"/>
      <c r="E42"/>
      <c r="F42"/>
      <c r="G42"/>
      <c r="H42"/>
    </row>
    <row r="43" spans="1:320" x14ac:dyDescent="0.35">
      <c r="A43"/>
      <c r="B43"/>
      <c r="C43"/>
      <c r="D43"/>
      <c r="E43"/>
      <c r="F43"/>
      <c r="G43"/>
      <c r="H43"/>
    </row>
    <row r="44" spans="1:320" x14ac:dyDescent="0.35">
      <c r="A44"/>
      <c r="B44"/>
      <c r="C44"/>
      <c r="D44"/>
      <c r="E44"/>
      <c r="F44"/>
      <c r="G44"/>
      <c r="H44"/>
    </row>
    <row r="45" spans="1:320" x14ac:dyDescent="0.35">
      <c r="A45"/>
      <c r="B45"/>
      <c r="C45"/>
      <c r="D45"/>
      <c r="E45"/>
      <c r="F45"/>
      <c r="G45"/>
      <c r="H45"/>
    </row>
    <row r="46" spans="1:320" x14ac:dyDescent="0.35">
      <c r="A46"/>
      <c r="B46"/>
      <c r="C46"/>
      <c r="D46"/>
      <c r="E46"/>
      <c r="F46"/>
      <c r="G46"/>
      <c r="H46"/>
    </row>
    <row r="47" spans="1:320" x14ac:dyDescent="0.35">
      <c r="A47"/>
      <c r="B47"/>
      <c r="C47"/>
      <c r="D47"/>
      <c r="E47"/>
      <c r="F47"/>
      <c r="G47"/>
      <c r="H47"/>
    </row>
    <row r="48" spans="1:320" x14ac:dyDescent="0.35">
      <c r="A48"/>
      <c r="B48"/>
      <c r="C48"/>
      <c r="D48"/>
      <c r="E48"/>
      <c r="F48"/>
      <c r="G48"/>
      <c r="H48"/>
    </row>
    <row r="49" spans="1:8" x14ac:dyDescent="0.35">
      <c r="A49"/>
      <c r="B49"/>
      <c r="C49"/>
      <c r="D49"/>
      <c r="E49"/>
      <c r="F49"/>
      <c r="G49"/>
      <c r="H49"/>
    </row>
    <row r="50" spans="1:8" x14ac:dyDescent="0.35">
      <c r="A50"/>
      <c r="B50"/>
      <c r="C50"/>
      <c r="D50"/>
      <c r="E50"/>
      <c r="F50"/>
      <c r="G50"/>
      <c r="H50"/>
    </row>
    <row r="51" spans="1:8" x14ac:dyDescent="0.35">
      <c r="A51"/>
      <c r="B51"/>
      <c r="C51"/>
      <c r="D51"/>
      <c r="E51"/>
      <c r="F51"/>
      <c r="G51"/>
      <c r="H51"/>
    </row>
    <row r="52" spans="1:8" x14ac:dyDescent="0.35">
      <c r="A52"/>
      <c r="B52"/>
      <c r="C52"/>
      <c r="D52"/>
      <c r="E52"/>
      <c r="F52"/>
      <c r="G52"/>
      <c r="H52"/>
    </row>
    <row r="53" spans="1:8" x14ac:dyDescent="0.35">
      <c r="A53"/>
      <c r="B53"/>
      <c r="C53"/>
      <c r="D53"/>
      <c r="E53"/>
      <c r="F53"/>
      <c r="G53"/>
      <c r="H53"/>
    </row>
    <row r="54" spans="1:8" x14ac:dyDescent="0.35">
      <c r="A54"/>
      <c r="B54"/>
      <c r="C54"/>
      <c r="D54"/>
      <c r="E54"/>
      <c r="F54"/>
      <c r="G54"/>
      <c r="H54"/>
    </row>
    <row r="55" spans="1:8" x14ac:dyDescent="0.35">
      <c r="A55"/>
      <c r="B55"/>
      <c r="C55"/>
      <c r="D55"/>
      <c r="E55"/>
      <c r="F55"/>
      <c r="G55"/>
      <c r="H55"/>
    </row>
    <row r="56" spans="1:8" x14ac:dyDescent="0.35">
      <c r="A56"/>
      <c r="B56"/>
      <c r="C56"/>
      <c r="D56"/>
      <c r="E56"/>
      <c r="F56"/>
      <c r="G56"/>
      <c r="H56"/>
    </row>
    <row r="57" spans="1:8" x14ac:dyDescent="0.35">
      <c r="A57"/>
      <c r="B57"/>
      <c r="C57"/>
      <c r="D57"/>
      <c r="E57"/>
      <c r="F57"/>
      <c r="G57"/>
      <c r="H57"/>
    </row>
    <row r="58" spans="1:8" x14ac:dyDescent="0.35">
      <c r="A58"/>
      <c r="B58"/>
      <c r="C58"/>
      <c r="D58"/>
      <c r="E58"/>
      <c r="F58"/>
      <c r="G58"/>
      <c r="H58"/>
    </row>
    <row r="59" spans="1:8" x14ac:dyDescent="0.35">
      <c r="A59"/>
      <c r="B59"/>
      <c r="C59"/>
      <c r="D59"/>
      <c r="E59"/>
      <c r="F59"/>
      <c r="G59"/>
      <c r="H59"/>
    </row>
    <row r="60" spans="1:8" x14ac:dyDescent="0.35">
      <c r="A60"/>
      <c r="B60"/>
      <c r="C60"/>
      <c r="D60"/>
      <c r="E60"/>
      <c r="F60"/>
      <c r="G60"/>
      <c r="H60"/>
    </row>
    <row r="61" spans="1:8" x14ac:dyDescent="0.35">
      <c r="A61"/>
      <c r="B61"/>
      <c r="C61"/>
      <c r="D61"/>
      <c r="E61"/>
      <c r="F61"/>
      <c r="G61"/>
      <c r="H61"/>
    </row>
    <row r="62" spans="1:8" x14ac:dyDescent="0.35">
      <c r="A62"/>
      <c r="B62"/>
      <c r="C62"/>
      <c r="D62"/>
      <c r="E62"/>
      <c r="F62"/>
      <c r="G62"/>
      <c r="H62"/>
    </row>
    <row r="63" spans="1:8" x14ac:dyDescent="0.35">
      <c r="A63"/>
      <c r="B63"/>
      <c r="C63"/>
      <c r="D63"/>
      <c r="E63"/>
      <c r="F63"/>
      <c r="G63"/>
      <c r="H63"/>
    </row>
    <row r="64" spans="1:8" x14ac:dyDescent="0.35">
      <c r="A64"/>
      <c r="B64"/>
      <c r="C64"/>
      <c r="D64"/>
      <c r="E64"/>
      <c r="F64"/>
      <c r="G64"/>
      <c r="H64"/>
    </row>
    <row r="65" spans="1:8" x14ac:dyDescent="0.35">
      <c r="A65"/>
      <c r="B65"/>
      <c r="C65"/>
      <c r="D65"/>
      <c r="E65"/>
      <c r="F65"/>
      <c r="G65"/>
      <c r="H65"/>
    </row>
    <row r="66" spans="1:8" x14ac:dyDescent="0.35">
      <c r="A66"/>
      <c r="B66"/>
      <c r="C66"/>
      <c r="D66"/>
      <c r="E66"/>
      <c r="F66"/>
      <c r="G66"/>
      <c r="H66"/>
    </row>
    <row r="67" spans="1:8" x14ac:dyDescent="0.35">
      <c r="A67"/>
      <c r="B67"/>
      <c r="C67"/>
      <c r="D67"/>
      <c r="E67"/>
      <c r="F67"/>
      <c r="G67"/>
      <c r="H67"/>
    </row>
    <row r="68" spans="1:8" x14ac:dyDescent="0.35">
      <c r="A68"/>
      <c r="B68"/>
      <c r="C68"/>
      <c r="D68"/>
      <c r="E68"/>
      <c r="F68"/>
      <c r="G68"/>
      <c r="H68"/>
    </row>
    <row r="69" spans="1:8" x14ac:dyDescent="0.35">
      <c r="A69"/>
      <c r="B69"/>
      <c r="C69"/>
      <c r="D69"/>
      <c r="E69"/>
      <c r="F69"/>
      <c r="G69"/>
      <c r="H69"/>
    </row>
    <row r="70" spans="1:8" x14ac:dyDescent="0.35">
      <c r="A70"/>
      <c r="B70"/>
      <c r="C70"/>
      <c r="D70"/>
      <c r="E70"/>
      <c r="F70"/>
      <c r="G70"/>
      <c r="H70"/>
    </row>
    <row r="71" spans="1:8" x14ac:dyDescent="0.35">
      <c r="A71"/>
      <c r="B71"/>
      <c r="C71"/>
      <c r="D71"/>
      <c r="E71"/>
      <c r="F71"/>
      <c r="G71"/>
      <c r="H71"/>
    </row>
    <row r="72" spans="1:8" x14ac:dyDescent="0.35">
      <c r="A72"/>
      <c r="B72"/>
      <c r="C72"/>
      <c r="D72"/>
      <c r="E72"/>
      <c r="F72"/>
      <c r="G72"/>
      <c r="H72"/>
    </row>
    <row r="73" spans="1:8" x14ac:dyDescent="0.35">
      <c r="A73"/>
      <c r="B73"/>
      <c r="C73"/>
      <c r="D73"/>
      <c r="E73"/>
      <c r="F73"/>
      <c r="G73"/>
      <c r="H73"/>
    </row>
    <row r="74" spans="1:8" x14ac:dyDescent="0.35">
      <c r="A74"/>
      <c r="B74"/>
      <c r="C74"/>
      <c r="D74"/>
      <c r="E74"/>
      <c r="F74"/>
      <c r="G74"/>
      <c r="H74"/>
    </row>
    <row r="75" spans="1:8" x14ac:dyDescent="0.35">
      <c r="A75"/>
      <c r="B75"/>
      <c r="C75"/>
      <c r="D75"/>
      <c r="E75"/>
      <c r="F75"/>
      <c r="G75"/>
      <c r="H75"/>
    </row>
    <row r="76" spans="1:8" x14ac:dyDescent="0.35">
      <c r="A76"/>
      <c r="B76"/>
      <c r="C76"/>
      <c r="D76"/>
      <c r="E76"/>
      <c r="F76"/>
      <c r="G76"/>
      <c r="H76"/>
    </row>
    <row r="77" spans="1:8" x14ac:dyDescent="0.35">
      <c r="A77"/>
      <c r="B77"/>
      <c r="C77"/>
      <c r="D77"/>
      <c r="E77"/>
      <c r="F77"/>
      <c r="G77"/>
      <c r="H77"/>
    </row>
    <row r="78" spans="1:8" x14ac:dyDescent="0.35">
      <c r="A78"/>
      <c r="B78"/>
      <c r="C78"/>
      <c r="D78"/>
      <c r="E78"/>
      <c r="F78"/>
      <c r="G78"/>
      <c r="H78"/>
    </row>
    <row r="79" spans="1:8" x14ac:dyDescent="0.35">
      <c r="A79"/>
      <c r="B79"/>
      <c r="C79"/>
      <c r="D79"/>
      <c r="E79"/>
      <c r="F79"/>
      <c r="G79"/>
      <c r="H79"/>
    </row>
    <row r="80" spans="1:8" x14ac:dyDescent="0.35">
      <c r="A80"/>
      <c r="B80"/>
      <c r="C80"/>
      <c r="D80"/>
      <c r="E80"/>
      <c r="F80"/>
      <c r="G80"/>
      <c r="H80"/>
    </row>
    <row r="81" spans="1:8" x14ac:dyDescent="0.35">
      <c r="A81"/>
      <c r="B81"/>
      <c r="C81"/>
      <c r="D81"/>
      <c r="E81"/>
      <c r="F81"/>
      <c r="G81"/>
      <c r="H81"/>
    </row>
    <row r="82" spans="1:8" x14ac:dyDescent="0.35">
      <c r="A82"/>
      <c r="B82"/>
      <c r="C82"/>
      <c r="D82"/>
      <c r="E82"/>
      <c r="F82"/>
      <c r="G82"/>
      <c r="H82"/>
    </row>
    <row r="83" spans="1:8" x14ac:dyDescent="0.35">
      <c r="A83"/>
      <c r="B83"/>
      <c r="C83"/>
      <c r="D83"/>
      <c r="E83"/>
      <c r="F83"/>
      <c r="G83"/>
      <c r="H83"/>
    </row>
    <row r="84" spans="1:8" x14ac:dyDescent="0.35">
      <c r="A84"/>
      <c r="B84"/>
      <c r="C84"/>
      <c r="D84"/>
      <c r="E84"/>
      <c r="F84"/>
      <c r="G84"/>
      <c r="H84"/>
    </row>
    <row r="85" spans="1:8" x14ac:dyDescent="0.35">
      <c r="A85"/>
      <c r="B85"/>
      <c r="C85"/>
      <c r="D85"/>
      <c r="E85"/>
      <c r="F85"/>
      <c r="G85"/>
      <c r="H85"/>
    </row>
    <row r="86" spans="1:8" x14ac:dyDescent="0.35">
      <c r="A86"/>
      <c r="B86"/>
      <c r="C86"/>
      <c r="D86"/>
      <c r="E86"/>
      <c r="F86"/>
      <c r="G86"/>
      <c r="H86"/>
    </row>
    <row r="87" spans="1:8" x14ac:dyDescent="0.35">
      <c r="A87"/>
      <c r="B87"/>
      <c r="C87"/>
      <c r="D87"/>
      <c r="E87"/>
      <c r="F87"/>
      <c r="G87"/>
      <c r="H87"/>
    </row>
    <row r="88" spans="1:8" x14ac:dyDescent="0.35">
      <c r="A88"/>
      <c r="B88"/>
      <c r="C88"/>
      <c r="D88"/>
      <c r="E88"/>
      <c r="F88"/>
      <c r="G88"/>
      <c r="H88"/>
    </row>
    <row r="89" spans="1:8" x14ac:dyDescent="0.35">
      <c r="A89"/>
      <c r="B89"/>
      <c r="C89"/>
      <c r="D89"/>
      <c r="E89"/>
      <c r="F89"/>
      <c r="G89"/>
      <c r="H89"/>
    </row>
    <row r="90" spans="1:8" x14ac:dyDescent="0.35">
      <c r="A90"/>
      <c r="B90"/>
      <c r="C90"/>
      <c r="D90"/>
      <c r="E90"/>
      <c r="F90"/>
      <c r="G90"/>
      <c r="H90"/>
    </row>
    <row r="91" spans="1:8" x14ac:dyDescent="0.35">
      <c r="A91"/>
      <c r="B91"/>
      <c r="C91"/>
      <c r="D91"/>
      <c r="E91"/>
      <c r="F91"/>
      <c r="G91"/>
      <c r="H91"/>
    </row>
    <row r="92" spans="1:8" x14ac:dyDescent="0.35">
      <c r="A92"/>
      <c r="B92"/>
      <c r="C92"/>
      <c r="D92"/>
      <c r="E92"/>
      <c r="F92"/>
      <c r="G92"/>
      <c r="H92"/>
    </row>
    <row r="93" spans="1:8" x14ac:dyDescent="0.35">
      <c r="A93"/>
      <c r="B93"/>
      <c r="C93"/>
      <c r="D93"/>
      <c r="E93"/>
      <c r="F93"/>
      <c r="G93"/>
      <c r="H93"/>
    </row>
    <row r="94" spans="1:8" x14ac:dyDescent="0.35">
      <c r="A94"/>
      <c r="B94"/>
      <c r="C94"/>
      <c r="D94"/>
      <c r="E94"/>
      <c r="F94"/>
      <c r="G94"/>
      <c r="H94"/>
    </row>
    <row r="95" spans="1:8" x14ac:dyDescent="0.35">
      <c r="A95"/>
      <c r="B95"/>
      <c r="C95"/>
      <c r="D95"/>
      <c r="E95"/>
      <c r="F95"/>
      <c r="G95"/>
      <c r="H95"/>
    </row>
    <row r="96" spans="1:8" x14ac:dyDescent="0.35">
      <c r="A96"/>
      <c r="B96"/>
      <c r="C96"/>
      <c r="D96"/>
      <c r="E96"/>
      <c r="F96"/>
      <c r="G96"/>
      <c r="H96"/>
    </row>
    <row r="97" spans="1:8" x14ac:dyDescent="0.35">
      <c r="A97"/>
      <c r="B97"/>
      <c r="C97"/>
      <c r="D97"/>
      <c r="E97"/>
      <c r="F97"/>
      <c r="G97"/>
      <c r="H97"/>
    </row>
    <row r="98" spans="1:8" x14ac:dyDescent="0.35">
      <c r="A98"/>
      <c r="B98"/>
      <c r="C98"/>
      <c r="D98"/>
      <c r="E98"/>
      <c r="F98"/>
      <c r="G98"/>
      <c r="H98"/>
    </row>
    <row r="99" spans="1:8" x14ac:dyDescent="0.35">
      <c r="A99"/>
      <c r="B99"/>
      <c r="C99"/>
      <c r="D99"/>
      <c r="E99"/>
      <c r="F99"/>
      <c r="G99"/>
      <c r="H99"/>
    </row>
    <row r="100" spans="1:8" x14ac:dyDescent="0.35">
      <c r="A100"/>
      <c r="B100"/>
      <c r="C100"/>
      <c r="D100"/>
      <c r="E100"/>
      <c r="F100"/>
      <c r="G100"/>
      <c r="H100"/>
    </row>
    <row r="101" spans="1:8" x14ac:dyDescent="0.35">
      <c r="A101"/>
      <c r="B101"/>
      <c r="C101"/>
      <c r="D101"/>
      <c r="E101"/>
      <c r="F101"/>
      <c r="G101"/>
      <c r="H101"/>
    </row>
    <row r="102" spans="1:8" x14ac:dyDescent="0.35">
      <c r="A102"/>
      <c r="B102"/>
      <c r="C102"/>
      <c r="D102"/>
      <c r="E102"/>
      <c r="F102"/>
      <c r="G102"/>
      <c r="H102"/>
    </row>
    <row r="103" spans="1:8" x14ac:dyDescent="0.35">
      <c r="A103"/>
      <c r="B103"/>
      <c r="C103"/>
      <c r="D103"/>
      <c r="E103"/>
      <c r="F103"/>
      <c r="G103"/>
      <c r="H103"/>
    </row>
    <row r="104" spans="1:8" x14ac:dyDescent="0.35">
      <c r="A104"/>
      <c r="B104"/>
      <c r="C104"/>
      <c r="D104"/>
      <c r="E104"/>
      <c r="F104"/>
      <c r="G104"/>
      <c r="H104"/>
    </row>
    <row r="105" spans="1:8" x14ac:dyDescent="0.35">
      <c r="A105"/>
      <c r="B105"/>
      <c r="C105"/>
      <c r="D105"/>
      <c r="E105"/>
      <c r="F105"/>
      <c r="G105"/>
      <c r="H105"/>
    </row>
    <row r="106" spans="1:8" x14ac:dyDescent="0.35">
      <c r="A106"/>
      <c r="B106"/>
      <c r="C106"/>
      <c r="D106"/>
      <c r="E106"/>
      <c r="F106"/>
      <c r="G106"/>
      <c r="H106"/>
    </row>
    <row r="107" spans="1:8" x14ac:dyDescent="0.35">
      <c r="A107"/>
      <c r="B107"/>
      <c r="C107"/>
      <c r="D107"/>
      <c r="E107"/>
      <c r="F107"/>
      <c r="G107"/>
      <c r="H107"/>
    </row>
    <row r="108" spans="1:8" x14ac:dyDescent="0.35">
      <c r="A108"/>
      <c r="B108"/>
      <c r="C108"/>
      <c r="D108"/>
      <c r="E108"/>
      <c r="F108"/>
      <c r="G108"/>
      <c r="H108"/>
    </row>
    <row r="109" spans="1:8" x14ac:dyDescent="0.35">
      <c r="A109"/>
      <c r="B109"/>
      <c r="C109"/>
      <c r="D109"/>
      <c r="E109"/>
      <c r="F109"/>
      <c r="G109"/>
      <c r="H109"/>
    </row>
    <row r="110" spans="1:8" x14ac:dyDescent="0.35">
      <c r="A110"/>
      <c r="B110"/>
      <c r="C110"/>
      <c r="D110"/>
      <c r="E110"/>
      <c r="F110"/>
      <c r="G110"/>
      <c r="H110"/>
    </row>
    <row r="111" spans="1:8" x14ac:dyDescent="0.35">
      <c r="A111"/>
      <c r="B111"/>
      <c r="C111"/>
      <c r="D111"/>
      <c r="E111"/>
      <c r="F111"/>
      <c r="G111"/>
      <c r="H111"/>
    </row>
    <row r="112" spans="1:8" x14ac:dyDescent="0.35">
      <c r="A112"/>
      <c r="B112"/>
      <c r="C112"/>
      <c r="D112"/>
      <c r="E112"/>
      <c r="F112"/>
      <c r="G112"/>
      <c r="H112"/>
    </row>
    <row r="113" spans="1:8" x14ac:dyDescent="0.35">
      <c r="A113"/>
      <c r="B113"/>
      <c r="C113"/>
      <c r="D113"/>
      <c r="E113"/>
      <c r="F113"/>
      <c r="G113"/>
      <c r="H113"/>
    </row>
    <row r="114" spans="1:8" x14ac:dyDescent="0.35">
      <c r="A114"/>
      <c r="B114"/>
      <c r="C114"/>
      <c r="D114"/>
      <c r="E114"/>
      <c r="F114"/>
      <c r="G114"/>
      <c r="H114"/>
    </row>
    <row r="115" spans="1:8" x14ac:dyDescent="0.35">
      <c r="A115"/>
      <c r="B115"/>
      <c r="C115"/>
      <c r="D115"/>
      <c r="E115"/>
      <c r="F115"/>
      <c r="G115"/>
      <c r="H115"/>
    </row>
    <row r="116" spans="1:8" x14ac:dyDescent="0.35">
      <c r="A116"/>
      <c r="B116"/>
      <c r="C116"/>
      <c r="D116"/>
      <c r="E116"/>
      <c r="F116"/>
      <c r="G116"/>
      <c r="H116"/>
    </row>
    <row r="117" spans="1:8" x14ac:dyDescent="0.35">
      <c r="A117"/>
      <c r="B117"/>
      <c r="C117"/>
      <c r="D117"/>
      <c r="E117"/>
      <c r="F117"/>
      <c r="G117"/>
      <c r="H117"/>
    </row>
    <row r="118" spans="1:8" x14ac:dyDescent="0.35">
      <c r="A118"/>
      <c r="B118"/>
      <c r="C118"/>
      <c r="D118"/>
      <c r="E118"/>
      <c r="F118"/>
      <c r="G118"/>
      <c r="H118"/>
    </row>
    <row r="119" spans="1:8" x14ac:dyDescent="0.35">
      <c r="A119"/>
      <c r="B119"/>
      <c r="C119"/>
      <c r="D119"/>
      <c r="E119"/>
      <c r="F119"/>
      <c r="G119"/>
      <c r="H119"/>
    </row>
    <row r="120" spans="1:8" x14ac:dyDescent="0.35">
      <c r="A120"/>
      <c r="B120"/>
      <c r="C120"/>
      <c r="D120"/>
      <c r="E120"/>
      <c r="F120"/>
      <c r="G120"/>
      <c r="H120"/>
    </row>
    <row r="121" spans="1:8" x14ac:dyDescent="0.35">
      <c r="A121"/>
      <c r="B121"/>
      <c r="C121"/>
      <c r="D121"/>
      <c r="E121"/>
      <c r="F121"/>
      <c r="G121"/>
      <c r="H121"/>
    </row>
    <row r="122" spans="1:8" x14ac:dyDescent="0.35">
      <c r="A122"/>
      <c r="B122"/>
      <c r="C122"/>
      <c r="D122"/>
      <c r="E122"/>
      <c r="F122"/>
      <c r="G122"/>
      <c r="H122"/>
    </row>
    <row r="123" spans="1:8" x14ac:dyDescent="0.35">
      <c r="A123"/>
      <c r="B123"/>
      <c r="C123"/>
      <c r="D123"/>
      <c r="E123"/>
      <c r="F123"/>
      <c r="G123"/>
      <c r="H123"/>
    </row>
    <row r="124" spans="1:8" x14ac:dyDescent="0.35">
      <c r="A124"/>
      <c r="B124"/>
      <c r="C124"/>
      <c r="D124"/>
      <c r="E124"/>
      <c r="F124"/>
      <c r="G124"/>
      <c r="H124"/>
    </row>
    <row r="125" spans="1:8" x14ac:dyDescent="0.35">
      <c r="A125"/>
      <c r="B125"/>
      <c r="C125"/>
      <c r="D125"/>
      <c r="E125"/>
      <c r="F125"/>
      <c r="G125"/>
      <c r="H125"/>
    </row>
    <row r="126" spans="1:8" x14ac:dyDescent="0.35">
      <c r="A126"/>
      <c r="B126"/>
      <c r="C126"/>
      <c r="D126"/>
      <c r="E126"/>
      <c r="F126"/>
      <c r="G126"/>
      <c r="H126"/>
    </row>
    <row r="127" spans="1:8" x14ac:dyDescent="0.35">
      <c r="A127"/>
      <c r="B127"/>
      <c r="C127"/>
      <c r="D127"/>
      <c r="E127"/>
      <c r="F127"/>
      <c r="G127"/>
      <c r="H127"/>
    </row>
    <row r="128" spans="1:8" x14ac:dyDescent="0.35">
      <c r="A128"/>
      <c r="B128"/>
      <c r="C128"/>
      <c r="D128"/>
      <c r="E128"/>
      <c r="F128"/>
      <c r="G128"/>
      <c r="H128"/>
    </row>
    <row r="129" spans="1:8" x14ac:dyDescent="0.35">
      <c r="A129"/>
      <c r="B129"/>
      <c r="C129"/>
      <c r="D129"/>
      <c r="E129"/>
      <c r="F129"/>
      <c r="G129"/>
      <c r="H129"/>
    </row>
    <row r="130" spans="1:8" x14ac:dyDescent="0.35">
      <c r="A130"/>
      <c r="B130"/>
      <c r="C130"/>
      <c r="D130"/>
      <c r="E130"/>
      <c r="F130"/>
      <c r="G130"/>
      <c r="H130"/>
    </row>
    <row r="131" spans="1:8" x14ac:dyDescent="0.35">
      <c r="A131"/>
      <c r="B131"/>
      <c r="C131"/>
      <c r="D131"/>
      <c r="E131"/>
      <c r="F131"/>
      <c r="G131"/>
      <c r="H131"/>
    </row>
    <row r="132" spans="1:8" x14ac:dyDescent="0.35">
      <c r="A132"/>
      <c r="B132"/>
      <c r="C132"/>
      <c r="D132"/>
      <c r="E132"/>
      <c r="F132"/>
      <c r="G132"/>
      <c r="H132"/>
    </row>
    <row r="133" spans="1:8" x14ac:dyDescent="0.35">
      <c r="A133"/>
      <c r="B133"/>
      <c r="C133"/>
      <c r="D133"/>
      <c r="E133"/>
      <c r="F133"/>
      <c r="G133"/>
      <c r="H133"/>
    </row>
    <row r="134" spans="1:8" x14ac:dyDescent="0.35">
      <c r="A134"/>
      <c r="B134"/>
      <c r="C134"/>
      <c r="D134"/>
      <c r="E134"/>
      <c r="F134"/>
      <c r="G134"/>
      <c r="H134"/>
    </row>
    <row r="135" spans="1:8" x14ac:dyDescent="0.35">
      <c r="A135"/>
      <c r="B135"/>
      <c r="C135"/>
      <c r="D135"/>
      <c r="E135"/>
      <c r="F135"/>
      <c r="G135"/>
      <c r="H135"/>
    </row>
    <row r="136" spans="1:8" x14ac:dyDescent="0.35">
      <c r="A136"/>
      <c r="B136"/>
      <c r="C136"/>
      <c r="D136"/>
      <c r="E136"/>
      <c r="F136"/>
      <c r="G136"/>
      <c r="H136"/>
    </row>
    <row r="137" spans="1:8" x14ac:dyDescent="0.35">
      <c r="A137"/>
      <c r="B137"/>
      <c r="C137"/>
      <c r="D137"/>
      <c r="E137"/>
      <c r="F137"/>
      <c r="G137"/>
      <c r="H137"/>
    </row>
    <row r="138" spans="1:8" x14ac:dyDescent="0.35">
      <c r="A138"/>
      <c r="B138"/>
      <c r="C138"/>
      <c r="D138"/>
      <c r="E138"/>
      <c r="F138"/>
      <c r="G138"/>
      <c r="H138"/>
    </row>
    <row r="139" spans="1:8" x14ac:dyDescent="0.35">
      <c r="A139"/>
      <c r="B139"/>
      <c r="C139"/>
      <c r="D139"/>
      <c r="E139"/>
      <c r="F139"/>
      <c r="G139"/>
      <c r="H139"/>
    </row>
    <row r="140" spans="1:8" x14ac:dyDescent="0.35">
      <c r="A140"/>
      <c r="B140"/>
      <c r="C140"/>
      <c r="D140"/>
      <c r="E140"/>
      <c r="F140"/>
      <c r="G140"/>
      <c r="H140"/>
    </row>
    <row r="141" spans="1:8" x14ac:dyDescent="0.35">
      <c r="A141"/>
      <c r="B141"/>
      <c r="C141"/>
      <c r="D141"/>
      <c r="E141"/>
      <c r="F141"/>
      <c r="G141"/>
      <c r="H141"/>
    </row>
    <row r="142" spans="1:8" x14ac:dyDescent="0.35">
      <c r="A142"/>
      <c r="B142"/>
      <c r="C142"/>
      <c r="D142"/>
      <c r="E142"/>
      <c r="F142"/>
      <c r="G142"/>
      <c r="H142"/>
    </row>
    <row r="143" spans="1:8" x14ac:dyDescent="0.35">
      <c r="A143"/>
      <c r="B143"/>
      <c r="C143"/>
      <c r="D143"/>
      <c r="E143"/>
      <c r="F143"/>
      <c r="G143"/>
      <c r="H143"/>
    </row>
    <row r="144" spans="1:8" x14ac:dyDescent="0.35">
      <c r="A144"/>
      <c r="B144"/>
      <c r="C144"/>
      <c r="D144"/>
      <c r="E144"/>
      <c r="F144"/>
      <c r="G144"/>
      <c r="H144"/>
    </row>
    <row r="145" spans="1:8" x14ac:dyDescent="0.35">
      <c r="A145"/>
      <c r="B145"/>
      <c r="C145"/>
      <c r="D145"/>
      <c r="E145"/>
      <c r="F145"/>
      <c r="G145"/>
      <c r="H145"/>
    </row>
    <row r="146" spans="1:8" x14ac:dyDescent="0.35">
      <c r="A146"/>
      <c r="B146"/>
      <c r="C146"/>
      <c r="D146"/>
      <c r="E146"/>
      <c r="F146"/>
      <c r="G146"/>
      <c r="H146"/>
    </row>
    <row r="147" spans="1:8" x14ac:dyDescent="0.35">
      <c r="A147"/>
      <c r="B147"/>
      <c r="C147"/>
      <c r="D147"/>
      <c r="E147"/>
      <c r="F147"/>
      <c r="G147"/>
      <c r="H147"/>
    </row>
    <row r="148" spans="1:8" x14ac:dyDescent="0.35">
      <c r="A148"/>
      <c r="B148"/>
      <c r="C148"/>
      <c r="D148"/>
      <c r="E148"/>
      <c r="F148"/>
      <c r="G148"/>
      <c r="H148"/>
    </row>
    <row r="149" spans="1:8" x14ac:dyDescent="0.35">
      <c r="A149"/>
      <c r="B149"/>
      <c r="C149"/>
      <c r="D149"/>
      <c r="E149"/>
      <c r="F149"/>
      <c r="G149"/>
      <c r="H149"/>
    </row>
    <row r="150" spans="1:8" x14ac:dyDescent="0.35">
      <c r="A150"/>
      <c r="B150"/>
      <c r="C150"/>
      <c r="D150"/>
      <c r="E150"/>
      <c r="F150"/>
      <c r="G150"/>
      <c r="H150"/>
    </row>
    <row r="151" spans="1:8" x14ac:dyDescent="0.35">
      <c r="A151"/>
      <c r="B151"/>
      <c r="C151"/>
      <c r="D151"/>
      <c r="E151"/>
      <c r="F151"/>
      <c r="G151"/>
      <c r="H151"/>
    </row>
    <row r="152" spans="1:8" x14ac:dyDescent="0.35">
      <c r="A152"/>
      <c r="B152"/>
      <c r="C152"/>
      <c r="D152"/>
      <c r="E152"/>
      <c r="F152"/>
      <c r="G152"/>
      <c r="H152"/>
    </row>
    <row r="153" spans="1:8" x14ac:dyDescent="0.35">
      <c r="A153"/>
      <c r="B153"/>
      <c r="C153"/>
      <c r="D153"/>
      <c r="E153"/>
      <c r="F153"/>
      <c r="G153"/>
      <c r="H153"/>
    </row>
    <row r="154" spans="1:8" x14ac:dyDescent="0.35">
      <c r="A154"/>
      <c r="B154"/>
      <c r="C154"/>
      <c r="D154"/>
      <c r="E154"/>
      <c r="F154"/>
      <c r="G154"/>
      <c r="H154"/>
    </row>
    <row r="155" spans="1:8" x14ac:dyDescent="0.35">
      <c r="A155"/>
      <c r="B155"/>
      <c r="C155"/>
      <c r="D155"/>
      <c r="E155"/>
      <c r="F155"/>
      <c r="G155"/>
      <c r="H155"/>
    </row>
    <row r="156" spans="1:8" x14ac:dyDescent="0.35">
      <c r="A156"/>
      <c r="B156"/>
      <c r="C156"/>
      <c r="D156"/>
      <c r="E156"/>
      <c r="F156"/>
      <c r="G156"/>
      <c r="H156"/>
    </row>
    <row r="157" spans="1:8" x14ac:dyDescent="0.35">
      <c r="A157"/>
      <c r="B157"/>
      <c r="C157"/>
      <c r="D157"/>
      <c r="E157"/>
      <c r="F157"/>
      <c r="G157"/>
      <c r="H157"/>
    </row>
    <row r="158" spans="1:8" x14ac:dyDescent="0.35">
      <c r="A158"/>
      <c r="B158"/>
      <c r="C158"/>
      <c r="D158"/>
      <c r="E158"/>
      <c r="F158"/>
      <c r="G158"/>
      <c r="H158"/>
    </row>
    <row r="159" spans="1:8" x14ac:dyDescent="0.35">
      <c r="A159"/>
      <c r="B159"/>
      <c r="C159"/>
      <c r="D159"/>
      <c r="E159"/>
      <c r="F159"/>
      <c r="G159"/>
      <c r="H159"/>
    </row>
    <row r="160" spans="1:8" x14ac:dyDescent="0.35">
      <c r="A160"/>
      <c r="B160"/>
      <c r="C160"/>
      <c r="D160"/>
      <c r="E160"/>
      <c r="F160"/>
      <c r="G160"/>
      <c r="H160"/>
    </row>
    <row r="161" spans="1:8" x14ac:dyDescent="0.35">
      <c r="A161"/>
      <c r="B161"/>
      <c r="C161"/>
      <c r="D161"/>
      <c r="E161"/>
      <c r="F161"/>
      <c r="G161"/>
      <c r="H161"/>
    </row>
    <row r="162" spans="1:8" x14ac:dyDescent="0.35">
      <c r="A162"/>
      <c r="B162"/>
      <c r="C162"/>
      <c r="D162"/>
      <c r="E162"/>
      <c r="F162"/>
      <c r="G162"/>
      <c r="H162"/>
    </row>
    <row r="163" spans="1:8" x14ac:dyDescent="0.35">
      <c r="A163"/>
      <c r="B163"/>
      <c r="C163"/>
      <c r="D163"/>
      <c r="E163"/>
      <c r="F163"/>
      <c r="G163"/>
      <c r="H163"/>
    </row>
    <row r="164" spans="1:8" x14ac:dyDescent="0.35">
      <c r="A164"/>
      <c r="B164"/>
      <c r="C164"/>
      <c r="D164"/>
      <c r="E164"/>
      <c r="F164"/>
      <c r="G164"/>
      <c r="H164"/>
    </row>
    <row r="165" spans="1:8" x14ac:dyDescent="0.35">
      <c r="A165"/>
      <c r="B165"/>
      <c r="C165"/>
      <c r="D165"/>
      <c r="E165"/>
      <c r="F165"/>
      <c r="G165"/>
      <c r="H165"/>
    </row>
    <row r="166" spans="1:8" x14ac:dyDescent="0.35">
      <c r="A166"/>
      <c r="B166"/>
      <c r="C166"/>
      <c r="D166"/>
      <c r="E166"/>
      <c r="F166"/>
      <c r="G166"/>
      <c r="H166"/>
    </row>
    <row r="167" spans="1:8" x14ac:dyDescent="0.35">
      <c r="A167"/>
      <c r="B167"/>
      <c r="C167"/>
      <c r="D167"/>
      <c r="E167"/>
      <c r="F167"/>
      <c r="G167"/>
      <c r="H167"/>
    </row>
    <row r="168" spans="1:8" x14ac:dyDescent="0.35">
      <c r="A168"/>
      <c r="B168"/>
      <c r="C168"/>
      <c r="D168"/>
      <c r="E168"/>
      <c r="F168"/>
      <c r="G168"/>
      <c r="H168"/>
    </row>
    <row r="169" spans="1:8" x14ac:dyDescent="0.35">
      <c r="A169"/>
      <c r="B169"/>
      <c r="C169"/>
      <c r="D169"/>
      <c r="E169"/>
      <c r="F169"/>
      <c r="G169"/>
      <c r="H169"/>
    </row>
    <row r="170" spans="1:8" x14ac:dyDescent="0.35">
      <c r="A170"/>
      <c r="B170"/>
      <c r="C170"/>
      <c r="D170"/>
      <c r="E170"/>
      <c r="F170"/>
      <c r="G170"/>
      <c r="H170"/>
    </row>
    <row r="171" spans="1:8" x14ac:dyDescent="0.35">
      <c r="A171"/>
      <c r="B171"/>
      <c r="C171"/>
      <c r="D171"/>
      <c r="E171"/>
      <c r="F171"/>
      <c r="G171"/>
      <c r="H171"/>
    </row>
    <row r="172" spans="1:8" x14ac:dyDescent="0.35">
      <c r="A172"/>
      <c r="B172"/>
      <c r="C172"/>
      <c r="D172"/>
      <c r="E172"/>
      <c r="F172"/>
      <c r="G172"/>
      <c r="H172"/>
    </row>
    <row r="173" spans="1:8" x14ac:dyDescent="0.35">
      <c r="A173"/>
      <c r="B173"/>
      <c r="C173"/>
      <c r="D173"/>
      <c r="E173"/>
      <c r="F173"/>
      <c r="G173"/>
      <c r="H173"/>
    </row>
    <row r="174" spans="1:8" x14ac:dyDescent="0.35">
      <c r="A174"/>
      <c r="B174"/>
      <c r="C174"/>
      <c r="D174"/>
      <c r="E174"/>
      <c r="F174"/>
      <c r="G174"/>
      <c r="H174"/>
    </row>
    <row r="175" spans="1:8" x14ac:dyDescent="0.35">
      <c r="A175"/>
      <c r="B175"/>
      <c r="C175"/>
      <c r="D175"/>
      <c r="E175"/>
      <c r="F175"/>
      <c r="G175"/>
      <c r="H175"/>
    </row>
    <row r="176" spans="1:8" x14ac:dyDescent="0.35">
      <c r="A176"/>
      <c r="B176"/>
      <c r="C176"/>
      <c r="D176"/>
      <c r="E176"/>
      <c r="F176"/>
      <c r="G176"/>
      <c r="H176"/>
    </row>
    <row r="177" spans="1:8" x14ac:dyDescent="0.35">
      <c r="A177"/>
      <c r="B177"/>
      <c r="C177"/>
      <c r="D177"/>
      <c r="E177"/>
      <c r="F177"/>
      <c r="G177"/>
      <c r="H177"/>
    </row>
    <row r="178" spans="1:8" x14ac:dyDescent="0.35">
      <c r="A178"/>
      <c r="B178"/>
      <c r="C178"/>
      <c r="D178"/>
      <c r="E178"/>
      <c r="F178"/>
      <c r="G178"/>
      <c r="H178"/>
    </row>
    <row r="179" spans="1:8" x14ac:dyDescent="0.35">
      <c r="A179"/>
      <c r="B179"/>
      <c r="C179"/>
      <c r="D179"/>
      <c r="E179"/>
      <c r="F179"/>
      <c r="G179"/>
      <c r="H179"/>
    </row>
    <row r="180" spans="1:8" x14ac:dyDescent="0.35">
      <c r="A180"/>
      <c r="B180"/>
      <c r="C180"/>
      <c r="D180"/>
      <c r="E180"/>
      <c r="F180"/>
      <c r="G180"/>
      <c r="H180"/>
    </row>
    <row r="181" spans="1:8" x14ac:dyDescent="0.35">
      <c r="A181"/>
      <c r="B181"/>
      <c r="C181"/>
      <c r="D181"/>
      <c r="E181"/>
      <c r="F181"/>
      <c r="G181"/>
      <c r="H181"/>
    </row>
    <row r="182" spans="1:8" x14ac:dyDescent="0.35">
      <c r="A182"/>
      <c r="B182"/>
      <c r="C182"/>
      <c r="D182"/>
      <c r="E182"/>
      <c r="F182"/>
      <c r="G182"/>
      <c r="H182"/>
    </row>
    <row r="183" spans="1:8" x14ac:dyDescent="0.35">
      <c r="A183"/>
      <c r="B183"/>
      <c r="C183"/>
      <c r="D183"/>
      <c r="E183"/>
      <c r="F183"/>
      <c r="G183"/>
      <c r="H183"/>
    </row>
    <row r="184" spans="1:8" x14ac:dyDescent="0.35">
      <c r="A184"/>
      <c r="B184"/>
      <c r="C184"/>
      <c r="D184"/>
      <c r="E184"/>
      <c r="F184"/>
      <c r="G184"/>
      <c r="H184"/>
    </row>
    <row r="185" spans="1:8" x14ac:dyDescent="0.35">
      <c r="A185"/>
      <c r="B185"/>
      <c r="C185"/>
      <c r="D185"/>
      <c r="E185"/>
      <c r="F185"/>
      <c r="G185"/>
      <c r="H185"/>
    </row>
    <row r="186" spans="1:8" x14ac:dyDescent="0.35">
      <c r="A186"/>
      <c r="B186"/>
      <c r="C186"/>
      <c r="D186"/>
      <c r="E186"/>
      <c r="F186"/>
      <c r="G186"/>
      <c r="H186"/>
    </row>
    <row r="187" spans="1:8" x14ac:dyDescent="0.35">
      <c r="A187"/>
      <c r="B187"/>
      <c r="C187"/>
      <c r="D187"/>
      <c r="E187"/>
      <c r="F187"/>
      <c r="G187"/>
      <c r="H187"/>
    </row>
    <row r="188" spans="1:8" x14ac:dyDescent="0.35">
      <c r="A188"/>
      <c r="B188"/>
      <c r="C188"/>
      <c r="D188"/>
      <c r="E188"/>
      <c r="F188"/>
      <c r="G188"/>
      <c r="H188"/>
    </row>
    <row r="189" spans="1:8" x14ac:dyDescent="0.35">
      <c r="A189"/>
      <c r="B189"/>
      <c r="C189"/>
      <c r="D189"/>
      <c r="E189"/>
      <c r="F189"/>
      <c r="G189"/>
      <c r="H189"/>
    </row>
    <row r="190" spans="1:8" x14ac:dyDescent="0.35">
      <c r="A190"/>
      <c r="B190"/>
      <c r="C190"/>
      <c r="D190"/>
      <c r="E190"/>
      <c r="F190"/>
      <c r="G190"/>
      <c r="H190"/>
    </row>
    <row r="191" spans="1:8" x14ac:dyDescent="0.35">
      <c r="A191"/>
      <c r="B191"/>
      <c r="C191"/>
      <c r="D191"/>
      <c r="E191"/>
      <c r="F191"/>
      <c r="G191"/>
      <c r="H191"/>
    </row>
    <row r="192" spans="1:8" x14ac:dyDescent="0.35">
      <c r="A192"/>
      <c r="B192"/>
      <c r="C192"/>
      <c r="D192"/>
      <c r="E192"/>
      <c r="F192"/>
      <c r="G192"/>
      <c r="H192"/>
    </row>
    <row r="193" spans="1:8" x14ac:dyDescent="0.35">
      <c r="A193"/>
      <c r="B193"/>
      <c r="C193"/>
      <c r="D193"/>
      <c r="E193"/>
      <c r="F193"/>
      <c r="G193"/>
      <c r="H193"/>
    </row>
    <row r="194" spans="1:8" x14ac:dyDescent="0.35">
      <c r="A194"/>
      <c r="B194"/>
      <c r="C194"/>
      <c r="D194"/>
      <c r="E194"/>
      <c r="F194"/>
      <c r="G194"/>
      <c r="H194"/>
    </row>
    <row r="195" spans="1:8" x14ac:dyDescent="0.35">
      <c r="A195"/>
      <c r="B195"/>
      <c r="C195"/>
      <c r="D195"/>
      <c r="E195"/>
      <c r="F195"/>
      <c r="G195"/>
      <c r="H195"/>
    </row>
    <row r="196" spans="1:8" x14ac:dyDescent="0.35">
      <c r="A196"/>
      <c r="B196"/>
      <c r="C196"/>
      <c r="D196"/>
      <c r="E196"/>
      <c r="F196"/>
      <c r="G196"/>
      <c r="H196"/>
    </row>
    <row r="197" spans="1:8" x14ac:dyDescent="0.35">
      <c r="A197"/>
      <c r="B197"/>
      <c r="C197"/>
      <c r="D197"/>
      <c r="E197"/>
      <c r="F197"/>
      <c r="G197"/>
      <c r="H197"/>
    </row>
    <row r="198" spans="1:8" x14ac:dyDescent="0.35">
      <c r="A198"/>
      <c r="B198"/>
      <c r="C198"/>
      <c r="D198"/>
      <c r="E198"/>
      <c r="F198"/>
      <c r="G198"/>
      <c r="H198"/>
    </row>
    <row r="199" spans="1:8" x14ac:dyDescent="0.35">
      <c r="A199"/>
      <c r="B199"/>
      <c r="C199"/>
      <c r="D199"/>
      <c r="E199"/>
      <c r="F199"/>
      <c r="G199"/>
      <c r="H199"/>
    </row>
    <row r="200" spans="1:8" x14ac:dyDescent="0.35">
      <c r="A200"/>
      <c r="B200"/>
      <c r="C200"/>
      <c r="D200"/>
      <c r="E200"/>
      <c r="F200"/>
      <c r="G200"/>
      <c r="H200"/>
    </row>
    <row r="201" spans="1:8" x14ac:dyDescent="0.35">
      <c r="A201"/>
      <c r="B201"/>
      <c r="C201"/>
      <c r="D201"/>
      <c r="E201"/>
      <c r="F201"/>
      <c r="G201"/>
      <c r="H201"/>
    </row>
    <row r="202" spans="1:8" x14ac:dyDescent="0.35">
      <c r="A202"/>
      <c r="B202"/>
      <c r="C202"/>
      <c r="D202"/>
      <c r="E202"/>
      <c r="F202"/>
      <c r="G202"/>
      <c r="H202"/>
    </row>
    <row r="203" spans="1:8" x14ac:dyDescent="0.35">
      <c r="A203"/>
      <c r="B203"/>
      <c r="C203"/>
      <c r="D203"/>
      <c r="E203"/>
      <c r="F203"/>
      <c r="G203"/>
      <c r="H203"/>
    </row>
    <row r="204" spans="1:8" x14ac:dyDescent="0.35">
      <c r="A204"/>
      <c r="B204"/>
      <c r="C204"/>
      <c r="D204"/>
      <c r="E204"/>
      <c r="F204"/>
      <c r="G204"/>
      <c r="H204"/>
    </row>
    <row r="205" spans="1:8" x14ac:dyDescent="0.35">
      <c r="A205"/>
      <c r="B205"/>
      <c r="C205"/>
      <c r="D205"/>
      <c r="E205"/>
      <c r="F205"/>
      <c r="G205"/>
      <c r="H205"/>
    </row>
    <row r="206" spans="1:8" x14ac:dyDescent="0.35">
      <c r="A206"/>
      <c r="B206"/>
      <c r="C206"/>
      <c r="D206"/>
      <c r="E206"/>
      <c r="F206"/>
      <c r="G206"/>
      <c r="H206"/>
    </row>
    <row r="207" spans="1:8" x14ac:dyDescent="0.35">
      <c r="A207"/>
      <c r="B207"/>
      <c r="C207"/>
      <c r="D207"/>
      <c r="E207"/>
      <c r="F207"/>
      <c r="G207"/>
      <c r="H207"/>
    </row>
    <row r="208" spans="1:8" x14ac:dyDescent="0.35">
      <c r="A208"/>
      <c r="B208"/>
      <c r="C208"/>
      <c r="D208"/>
      <c r="E208"/>
      <c r="F208"/>
      <c r="G208"/>
      <c r="H208"/>
    </row>
    <row r="209" spans="1:8" x14ac:dyDescent="0.35">
      <c r="A209"/>
      <c r="B209"/>
      <c r="C209"/>
      <c r="D209"/>
      <c r="E209"/>
      <c r="F209"/>
      <c r="G209"/>
      <c r="H209"/>
    </row>
    <row r="210" spans="1:8" x14ac:dyDescent="0.35">
      <c r="A210"/>
      <c r="B210"/>
      <c r="C210"/>
      <c r="D210"/>
      <c r="E210"/>
      <c r="F210"/>
      <c r="G210"/>
      <c r="H210"/>
    </row>
    <row r="211" spans="1:8" x14ac:dyDescent="0.35">
      <c r="A211"/>
      <c r="B211"/>
      <c r="C211"/>
      <c r="D211"/>
      <c r="E211"/>
      <c r="F211"/>
      <c r="G211"/>
      <c r="H211"/>
    </row>
    <row r="212" spans="1:8" x14ac:dyDescent="0.35">
      <c r="A212"/>
      <c r="B212"/>
      <c r="C212"/>
      <c r="D212"/>
      <c r="E212"/>
      <c r="F212"/>
      <c r="G212"/>
      <c r="H212"/>
    </row>
    <row r="213" spans="1:8" x14ac:dyDescent="0.35">
      <c r="A213"/>
      <c r="B213"/>
      <c r="C213"/>
      <c r="D213"/>
      <c r="E213"/>
      <c r="F213"/>
      <c r="G213"/>
      <c r="H213"/>
    </row>
    <row r="214" spans="1:8" x14ac:dyDescent="0.35">
      <c r="A214"/>
      <c r="B214"/>
      <c r="C214"/>
      <c r="D214"/>
      <c r="E214"/>
      <c r="F214"/>
      <c r="G214"/>
      <c r="H214"/>
    </row>
    <row r="215" spans="1:8" x14ac:dyDescent="0.35">
      <c r="A215"/>
      <c r="B215"/>
      <c r="C215"/>
      <c r="D215"/>
      <c r="E215"/>
      <c r="F215"/>
      <c r="G215"/>
      <c r="H215"/>
    </row>
    <row r="216" spans="1:8" x14ac:dyDescent="0.35">
      <c r="A216"/>
      <c r="B216"/>
      <c r="C216"/>
      <c r="D216"/>
      <c r="E216"/>
      <c r="F216"/>
      <c r="G216"/>
      <c r="H216"/>
    </row>
    <row r="217" spans="1:8" x14ac:dyDescent="0.35">
      <c r="A217"/>
      <c r="B217"/>
      <c r="C217"/>
      <c r="D217"/>
      <c r="E217"/>
      <c r="F217"/>
      <c r="G217"/>
      <c r="H217"/>
    </row>
    <row r="218" spans="1:8" x14ac:dyDescent="0.35">
      <c r="A218"/>
      <c r="B218"/>
      <c r="C218"/>
      <c r="D218"/>
      <c r="E218"/>
      <c r="F218"/>
      <c r="G218"/>
      <c r="H218"/>
    </row>
    <row r="219" spans="1:8" x14ac:dyDescent="0.35">
      <c r="A219"/>
      <c r="B219"/>
      <c r="C219"/>
      <c r="D219"/>
      <c r="E219"/>
      <c r="F219"/>
      <c r="G219"/>
      <c r="H219"/>
    </row>
    <row r="220" spans="1:8" x14ac:dyDescent="0.35">
      <c r="A220"/>
      <c r="B220"/>
      <c r="C220"/>
      <c r="D220"/>
      <c r="E220"/>
      <c r="F220"/>
      <c r="G220"/>
      <c r="H220"/>
    </row>
    <row r="221" spans="1:8" x14ac:dyDescent="0.35">
      <c r="A221"/>
      <c r="B221"/>
      <c r="C221"/>
      <c r="D221"/>
      <c r="E221"/>
      <c r="F221"/>
      <c r="G221"/>
      <c r="H221"/>
    </row>
    <row r="222" spans="1:8" x14ac:dyDescent="0.35">
      <c r="A222"/>
      <c r="B222"/>
      <c r="C222"/>
      <c r="D222"/>
      <c r="E222"/>
      <c r="F222"/>
      <c r="G222"/>
      <c r="H222"/>
    </row>
    <row r="223" spans="1:8" x14ac:dyDescent="0.35">
      <c r="A223"/>
      <c r="B223"/>
      <c r="C223"/>
      <c r="D223"/>
      <c r="E223"/>
      <c r="F223"/>
      <c r="G223"/>
      <c r="H223"/>
    </row>
    <row r="224" spans="1:8" x14ac:dyDescent="0.35">
      <c r="A224"/>
      <c r="B224"/>
      <c r="C224"/>
      <c r="D224"/>
      <c r="E224"/>
      <c r="F224"/>
      <c r="G224"/>
      <c r="H224"/>
    </row>
    <row r="225" spans="1:8" x14ac:dyDescent="0.35">
      <c r="A225"/>
      <c r="B225"/>
      <c r="C225"/>
      <c r="D225"/>
      <c r="E225"/>
      <c r="F225"/>
      <c r="G225"/>
      <c r="H225"/>
    </row>
    <row r="226" spans="1:8" x14ac:dyDescent="0.35">
      <c r="A226"/>
      <c r="B226"/>
      <c r="C226"/>
      <c r="D226"/>
      <c r="E226"/>
      <c r="F226"/>
      <c r="G226"/>
      <c r="H226"/>
    </row>
    <row r="227" spans="1:8" x14ac:dyDescent="0.35">
      <c r="A227"/>
      <c r="B227"/>
      <c r="C227"/>
      <c r="D227"/>
      <c r="E227"/>
      <c r="F227"/>
      <c r="G227"/>
      <c r="H227"/>
    </row>
    <row r="228" spans="1:8" x14ac:dyDescent="0.35">
      <c r="A228"/>
      <c r="B228"/>
      <c r="C228"/>
      <c r="D228"/>
      <c r="E228"/>
      <c r="F228"/>
      <c r="G228"/>
      <c r="H228"/>
    </row>
    <row r="229" spans="1:8" x14ac:dyDescent="0.35">
      <c r="A229"/>
      <c r="B229"/>
      <c r="C229"/>
      <c r="D229"/>
      <c r="E229"/>
      <c r="F229"/>
      <c r="G229"/>
      <c r="H229"/>
    </row>
    <row r="230" spans="1:8" x14ac:dyDescent="0.35">
      <c r="A230"/>
      <c r="B230"/>
      <c r="C230"/>
      <c r="D230"/>
      <c r="E230"/>
      <c r="F230"/>
      <c r="G230"/>
      <c r="H230"/>
    </row>
    <row r="231" spans="1:8" x14ac:dyDescent="0.35">
      <c r="A231"/>
      <c r="B231"/>
      <c r="C231"/>
      <c r="D231"/>
      <c r="E231"/>
      <c r="F231"/>
      <c r="G231"/>
      <c r="H231"/>
    </row>
    <row r="232" spans="1:8" x14ac:dyDescent="0.35">
      <c r="A232"/>
      <c r="B232"/>
      <c r="C232"/>
      <c r="D232"/>
      <c r="E232"/>
      <c r="F232"/>
      <c r="G232"/>
      <c r="H232"/>
    </row>
    <row r="233" spans="1:8" x14ac:dyDescent="0.35">
      <c r="A233"/>
      <c r="B233"/>
      <c r="C233"/>
      <c r="D233"/>
      <c r="E233"/>
      <c r="F233"/>
      <c r="G233"/>
      <c r="H233"/>
    </row>
    <row r="234" spans="1:8" x14ac:dyDescent="0.35">
      <c r="A234"/>
      <c r="B234"/>
      <c r="C234"/>
      <c r="D234"/>
      <c r="E234"/>
      <c r="F234"/>
      <c r="G234"/>
      <c r="H234"/>
    </row>
    <row r="235" spans="1:8" x14ac:dyDescent="0.35">
      <c r="A235"/>
      <c r="B235"/>
      <c r="C235"/>
      <c r="D235"/>
      <c r="E235"/>
      <c r="F235"/>
      <c r="G235"/>
      <c r="H235"/>
    </row>
    <row r="236" spans="1:8" x14ac:dyDescent="0.35">
      <c r="A236"/>
      <c r="B236"/>
      <c r="C236"/>
      <c r="D236"/>
      <c r="E236"/>
      <c r="F236"/>
      <c r="G236"/>
      <c r="H236"/>
    </row>
    <row r="237" spans="1:8" x14ac:dyDescent="0.35">
      <c r="A237"/>
      <c r="B237"/>
      <c r="C237"/>
      <c r="D237"/>
      <c r="E237"/>
      <c r="F237"/>
      <c r="G237"/>
      <c r="H237"/>
    </row>
    <row r="238" spans="1:8" x14ac:dyDescent="0.35">
      <c r="A238"/>
      <c r="B238"/>
      <c r="C238"/>
      <c r="D238"/>
      <c r="E238"/>
      <c r="F238"/>
      <c r="G238"/>
      <c r="H238"/>
    </row>
    <row r="239" spans="1:8" x14ac:dyDescent="0.35">
      <c r="A239"/>
      <c r="B239"/>
      <c r="C239"/>
      <c r="D239"/>
      <c r="E239"/>
      <c r="F239"/>
      <c r="G239"/>
      <c r="H239"/>
    </row>
    <row r="240" spans="1:8" x14ac:dyDescent="0.35">
      <c r="A240"/>
      <c r="B240"/>
      <c r="C240"/>
      <c r="D240"/>
      <c r="E240"/>
      <c r="F240"/>
      <c r="G240"/>
      <c r="H240"/>
    </row>
    <row r="241" spans="1:8" x14ac:dyDescent="0.35">
      <c r="A241"/>
      <c r="B241"/>
      <c r="C241"/>
      <c r="D241"/>
      <c r="E241"/>
      <c r="F241"/>
      <c r="G241"/>
      <c r="H241"/>
    </row>
    <row r="242" spans="1:8" x14ac:dyDescent="0.35">
      <c r="A242"/>
      <c r="B242"/>
      <c r="C242"/>
      <c r="D242"/>
      <c r="E242"/>
      <c r="F242"/>
      <c r="G242"/>
      <c r="H242"/>
    </row>
    <row r="243" spans="1:8" x14ac:dyDescent="0.35">
      <c r="A243"/>
      <c r="B243"/>
      <c r="C243"/>
      <c r="D243"/>
      <c r="E243"/>
      <c r="F243"/>
      <c r="G243"/>
      <c r="H243"/>
    </row>
    <row r="244" spans="1:8" x14ac:dyDescent="0.35">
      <c r="A244"/>
      <c r="B244"/>
      <c r="C244"/>
      <c r="D244"/>
      <c r="E244"/>
      <c r="F244"/>
      <c r="G244"/>
      <c r="H244"/>
    </row>
    <row r="245" spans="1:8" x14ac:dyDescent="0.35">
      <c r="A245"/>
      <c r="B245"/>
      <c r="C245"/>
      <c r="D245"/>
      <c r="E245"/>
      <c r="F245"/>
      <c r="G245"/>
      <c r="H245"/>
    </row>
    <row r="246" spans="1:8" x14ac:dyDescent="0.35">
      <c r="A246"/>
      <c r="B246"/>
      <c r="C246"/>
      <c r="D246"/>
      <c r="E246"/>
      <c r="F246"/>
      <c r="G246"/>
      <c r="H246"/>
    </row>
    <row r="247" spans="1:8" x14ac:dyDescent="0.35">
      <c r="A247"/>
      <c r="B247"/>
      <c r="C247"/>
      <c r="D247"/>
      <c r="E247"/>
      <c r="F247"/>
      <c r="G247"/>
      <c r="H247"/>
    </row>
    <row r="248" spans="1:8" x14ac:dyDescent="0.35">
      <c r="A248"/>
      <c r="B248"/>
      <c r="C248"/>
      <c r="D248"/>
      <c r="E248"/>
      <c r="F248"/>
      <c r="G248"/>
      <c r="H248"/>
    </row>
    <row r="249" spans="1:8" x14ac:dyDescent="0.35">
      <c r="A249"/>
      <c r="B249"/>
      <c r="C249"/>
      <c r="D249"/>
      <c r="E249"/>
      <c r="F249"/>
      <c r="G249"/>
      <c r="H249"/>
    </row>
    <row r="250" spans="1:8" x14ac:dyDescent="0.35">
      <c r="A250"/>
      <c r="B250"/>
      <c r="C250"/>
      <c r="D250"/>
      <c r="E250"/>
      <c r="F250"/>
      <c r="G250"/>
      <c r="H250"/>
    </row>
    <row r="251" spans="1:8" x14ac:dyDescent="0.35">
      <c r="A251"/>
      <c r="B251"/>
      <c r="C251"/>
      <c r="D251"/>
      <c r="E251"/>
      <c r="F251"/>
      <c r="G251"/>
      <c r="H251"/>
    </row>
    <row r="252" spans="1:8" x14ac:dyDescent="0.35">
      <c r="A252"/>
      <c r="B252"/>
      <c r="C252"/>
      <c r="D252"/>
      <c r="E252"/>
      <c r="F252"/>
      <c r="G252"/>
      <c r="H252"/>
    </row>
    <row r="253" spans="1:8" x14ac:dyDescent="0.35">
      <c r="A253"/>
      <c r="B253"/>
      <c r="C253"/>
      <c r="D253"/>
      <c r="E253"/>
      <c r="F253"/>
      <c r="G253"/>
      <c r="H253"/>
    </row>
    <row r="254" spans="1:8" x14ac:dyDescent="0.35">
      <c r="A254"/>
      <c r="B254"/>
      <c r="C254"/>
      <c r="D254"/>
      <c r="E254"/>
      <c r="F254"/>
      <c r="G254"/>
      <c r="H254"/>
    </row>
    <row r="255" spans="1:8" x14ac:dyDescent="0.35">
      <c r="A255"/>
      <c r="B255"/>
      <c r="C255"/>
      <c r="D255"/>
      <c r="E255"/>
      <c r="F255"/>
      <c r="G255"/>
      <c r="H255"/>
    </row>
    <row r="256" spans="1:8" x14ac:dyDescent="0.35">
      <c r="A256"/>
      <c r="B256"/>
      <c r="C256"/>
      <c r="D256"/>
      <c r="E256"/>
      <c r="F256"/>
      <c r="G256"/>
      <c r="H256"/>
    </row>
    <row r="257" spans="1:8" x14ac:dyDescent="0.35">
      <c r="A257"/>
      <c r="B257"/>
      <c r="C257"/>
      <c r="D257"/>
      <c r="E257"/>
      <c r="F257"/>
      <c r="G257"/>
      <c r="H257"/>
    </row>
    <row r="258" spans="1:8" x14ac:dyDescent="0.35">
      <c r="A258"/>
      <c r="B258"/>
      <c r="C258"/>
      <c r="D258"/>
      <c r="E258"/>
      <c r="F258"/>
      <c r="G258"/>
      <c r="H258"/>
    </row>
    <row r="259" spans="1:8" x14ac:dyDescent="0.35">
      <c r="A259"/>
      <c r="B259"/>
      <c r="C259"/>
      <c r="D259"/>
      <c r="E259"/>
      <c r="F259"/>
      <c r="G259"/>
      <c r="H259"/>
    </row>
    <row r="260" spans="1:8" x14ac:dyDescent="0.35">
      <c r="A260"/>
      <c r="B260"/>
      <c r="C260"/>
      <c r="D260"/>
      <c r="E260"/>
      <c r="F260"/>
      <c r="G260"/>
      <c r="H260"/>
    </row>
    <row r="261" spans="1:8" x14ac:dyDescent="0.35">
      <c r="A261"/>
      <c r="B261"/>
      <c r="C261"/>
      <c r="D261"/>
      <c r="E261"/>
      <c r="F261"/>
      <c r="G261"/>
      <c r="H261"/>
    </row>
    <row r="262" spans="1:8" x14ac:dyDescent="0.35">
      <c r="A262"/>
      <c r="B262"/>
      <c r="C262"/>
      <c r="D262"/>
      <c r="E262"/>
      <c r="F262"/>
      <c r="G262"/>
      <c r="H262"/>
    </row>
    <row r="263" spans="1:8" x14ac:dyDescent="0.35">
      <c r="A263"/>
      <c r="B263"/>
      <c r="C263"/>
      <c r="D263"/>
      <c r="E263"/>
      <c r="F263"/>
      <c r="G263"/>
      <c r="H263"/>
    </row>
    <row r="264" spans="1:8" x14ac:dyDescent="0.35">
      <c r="A264"/>
      <c r="B264"/>
      <c r="C264"/>
      <c r="D264"/>
      <c r="E264"/>
      <c r="F264"/>
      <c r="G264"/>
      <c r="H264"/>
    </row>
    <row r="265" spans="1:8" x14ac:dyDescent="0.35">
      <c r="A265"/>
      <c r="B265"/>
      <c r="C265"/>
      <c r="D265"/>
      <c r="E265"/>
      <c r="F265"/>
      <c r="G265"/>
      <c r="H265"/>
    </row>
    <row r="266" spans="1:8" x14ac:dyDescent="0.35">
      <c r="A266"/>
      <c r="B266"/>
      <c r="C266"/>
      <c r="D266"/>
      <c r="E266"/>
      <c r="F266"/>
      <c r="G266"/>
      <c r="H266"/>
    </row>
    <row r="267" spans="1:8" x14ac:dyDescent="0.35">
      <c r="A267"/>
      <c r="B267"/>
      <c r="C267"/>
      <c r="D267"/>
      <c r="E267"/>
      <c r="F267"/>
      <c r="G267"/>
      <c r="H267"/>
    </row>
    <row r="268" spans="1:8" x14ac:dyDescent="0.35">
      <c r="A268"/>
      <c r="B268"/>
      <c r="C268"/>
      <c r="D268"/>
      <c r="E268"/>
      <c r="F268"/>
      <c r="G268"/>
      <c r="H268"/>
    </row>
    <row r="269" spans="1:8" x14ac:dyDescent="0.35">
      <c r="A269"/>
      <c r="B269"/>
      <c r="C269"/>
      <c r="D269"/>
      <c r="E269"/>
      <c r="F269"/>
      <c r="G269"/>
      <c r="H269"/>
    </row>
    <row r="270" spans="1:8" x14ac:dyDescent="0.35">
      <c r="A270"/>
      <c r="B270"/>
      <c r="C270"/>
      <c r="D270"/>
      <c r="E270"/>
      <c r="F270"/>
      <c r="G270"/>
      <c r="H270"/>
    </row>
    <row r="271" spans="1:8" x14ac:dyDescent="0.35">
      <c r="A271"/>
      <c r="B271"/>
      <c r="C271"/>
      <c r="D271"/>
      <c r="E271"/>
      <c r="F271"/>
      <c r="G271"/>
      <c r="H271"/>
    </row>
    <row r="272" spans="1:8" x14ac:dyDescent="0.35">
      <c r="A272"/>
      <c r="B272"/>
      <c r="C272"/>
      <c r="D272"/>
      <c r="E272"/>
      <c r="F272"/>
      <c r="G272"/>
      <c r="H272"/>
    </row>
    <row r="273" spans="1:8" x14ac:dyDescent="0.35">
      <c r="A273"/>
      <c r="B273"/>
      <c r="C273"/>
      <c r="D273"/>
      <c r="E273"/>
      <c r="F273"/>
      <c r="G273"/>
      <c r="H273"/>
    </row>
    <row r="274" spans="1:8" x14ac:dyDescent="0.35">
      <c r="A274"/>
      <c r="B274"/>
      <c r="C274"/>
      <c r="D274"/>
      <c r="E274"/>
      <c r="F274"/>
      <c r="G274"/>
      <c r="H274"/>
    </row>
    <row r="275" spans="1:8" x14ac:dyDescent="0.35">
      <c r="A275"/>
      <c r="B275"/>
      <c r="C275"/>
      <c r="D275"/>
      <c r="E275"/>
      <c r="F275"/>
      <c r="G275"/>
      <c r="H275"/>
    </row>
    <row r="276" spans="1:8" x14ac:dyDescent="0.35">
      <c r="A276"/>
      <c r="B276"/>
      <c r="C276"/>
      <c r="D276"/>
      <c r="E276"/>
      <c r="F276"/>
      <c r="G276"/>
      <c r="H276"/>
    </row>
    <row r="277" spans="1:8" x14ac:dyDescent="0.35">
      <c r="A277"/>
      <c r="B277"/>
      <c r="C277"/>
      <c r="D277"/>
      <c r="E277"/>
      <c r="F277"/>
      <c r="G277"/>
      <c r="H277"/>
    </row>
    <row r="278" spans="1:8" x14ac:dyDescent="0.35">
      <c r="A278"/>
      <c r="B278"/>
      <c r="C278"/>
      <c r="D278"/>
      <c r="E278"/>
      <c r="F278"/>
      <c r="G278"/>
      <c r="H278"/>
    </row>
    <row r="279" spans="1:8" x14ac:dyDescent="0.35">
      <c r="A279"/>
      <c r="B279"/>
      <c r="C279"/>
      <c r="D279"/>
      <c r="E279"/>
      <c r="F279"/>
      <c r="G279"/>
      <c r="H279"/>
    </row>
    <row r="280" spans="1:8" x14ac:dyDescent="0.35">
      <c r="A280"/>
      <c r="B280"/>
      <c r="C280"/>
      <c r="D280"/>
      <c r="E280"/>
      <c r="F280"/>
      <c r="G280"/>
      <c r="H280"/>
    </row>
    <row r="281" spans="1:8" x14ac:dyDescent="0.35">
      <c r="A281"/>
      <c r="B281"/>
      <c r="C281"/>
      <c r="D281"/>
      <c r="E281"/>
      <c r="F281"/>
      <c r="G281"/>
      <c r="H281"/>
    </row>
    <row r="282" spans="1:8" x14ac:dyDescent="0.35">
      <c r="A282"/>
      <c r="B282"/>
      <c r="C282"/>
      <c r="D282"/>
      <c r="E282"/>
      <c r="F282"/>
      <c r="G282"/>
      <c r="H282"/>
    </row>
    <row r="283" spans="1:8" x14ac:dyDescent="0.35">
      <c r="A283"/>
      <c r="B283"/>
      <c r="C283"/>
      <c r="D283"/>
      <c r="E283"/>
      <c r="F283"/>
      <c r="G283"/>
      <c r="H283"/>
    </row>
    <row r="284" spans="1:8" x14ac:dyDescent="0.35">
      <c r="A284"/>
      <c r="B284"/>
      <c r="C284"/>
      <c r="D284"/>
      <c r="E284"/>
      <c r="F284"/>
      <c r="G284"/>
      <c r="H284"/>
    </row>
    <row r="285" spans="1:8" x14ac:dyDescent="0.35">
      <c r="A285"/>
      <c r="B285"/>
      <c r="C285"/>
      <c r="D285"/>
      <c r="E285"/>
      <c r="F285"/>
      <c r="G285"/>
      <c r="H285"/>
    </row>
    <row r="286" spans="1:8" x14ac:dyDescent="0.35">
      <c r="A286"/>
      <c r="B286"/>
      <c r="C286"/>
      <c r="D286"/>
      <c r="E286"/>
      <c r="F286"/>
      <c r="G286"/>
      <c r="H286"/>
    </row>
    <row r="287" spans="1:8" x14ac:dyDescent="0.35">
      <c r="A287"/>
      <c r="B287"/>
      <c r="C287"/>
      <c r="D287"/>
      <c r="E287"/>
      <c r="F287"/>
      <c r="G287"/>
      <c r="H287"/>
    </row>
    <row r="288" spans="1:8" x14ac:dyDescent="0.35">
      <c r="A288"/>
      <c r="B288"/>
      <c r="C288"/>
      <c r="D288"/>
      <c r="E288"/>
      <c r="F288"/>
      <c r="G288"/>
      <c r="H288"/>
    </row>
    <row r="289" spans="1:8" x14ac:dyDescent="0.35">
      <c r="A289"/>
      <c r="B289"/>
      <c r="C289"/>
      <c r="D289"/>
      <c r="E289"/>
      <c r="F289"/>
      <c r="G289"/>
      <c r="H289"/>
    </row>
    <row r="290" spans="1:8" x14ac:dyDescent="0.35">
      <c r="A290"/>
      <c r="B290"/>
      <c r="C290"/>
      <c r="D290"/>
      <c r="E290"/>
      <c r="F290"/>
      <c r="G290"/>
      <c r="H290"/>
    </row>
    <row r="291" spans="1:8" x14ac:dyDescent="0.35">
      <c r="A291"/>
      <c r="B291"/>
      <c r="C291"/>
      <c r="D291"/>
      <c r="E291"/>
      <c r="F291"/>
      <c r="G291"/>
      <c r="H291"/>
    </row>
    <row r="292" spans="1:8" x14ac:dyDescent="0.35">
      <c r="A292"/>
      <c r="B292"/>
      <c r="C292"/>
      <c r="D292"/>
      <c r="E292"/>
      <c r="F292"/>
      <c r="G292"/>
      <c r="H292"/>
    </row>
    <row r="293" spans="1:8" x14ac:dyDescent="0.35">
      <c r="A293"/>
      <c r="B293"/>
      <c r="C293"/>
      <c r="D293"/>
      <c r="E293"/>
      <c r="F293"/>
      <c r="G293"/>
      <c r="H293"/>
    </row>
    <row r="294" spans="1:8" x14ac:dyDescent="0.35">
      <c r="A294"/>
      <c r="B294"/>
      <c r="C294"/>
      <c r="D294"/>
      <c r="E294"/>
      <c r="F294"/>
      <c r="G294"/>
      <c r="H294"/>
    </row>
    <row r="295" spans="1:8" x14ac:dyDescent="0.35">
      <c r="A295"/>
      <c r="B295"/>
      <c r="C295"/>
      <c r="D295"/>
      <c r="E295"/>
      <c r="F295"/>
      <c r="G295"/>
      <c r="H295"/>
    </row>
    <row r="296" spans="1:8" x14ac:dyDescent="0.35">
      <c r="A296"/>
      <c r="B296"/>
      <c r="C296"/>
      <c r="D296"/>
      <c r="E296"/>
      <c r="F296"/>
      <c r="G296"/>
      <c r="H296"/>
    </row>
    <row r="297" spans="1:8" x14ac:dyDescent="0.35">
      <c r="A297"/>
      <c r="B297"/>
      <c r="C297"/>
      <c r="D297"/>
      <c r="E297"/>
      <c r="F297"/>
      <c r="G297"/>
      <c r="H297"/>
    </row>
    <row r="298" spans="1:8" x14ac:dyDescent="0.35">
      <c r="A298"/>
      <c r="B298"/>
      <c r="C298"/>
      <c r="D298"/>
      <c r="E298"/>
      <c r="F298"/>
      <c r="G298"/>
      <c r="H298"/>
    </row>
    <row r="299" spans="1:8" x14ac:dyDescent="0.35">
      <c r="A299"/>
      <c r="B299"/>
      <c r="C299"/>
      <c r="D299"/>
      <c r="E299"/>
      <c r="F299"/>
      <c r="G299"/>
      <c r="H299"/>
    </row>
    <row r="300" spans="1:8" x14ac:dyDescent="0.35">
      <c r="A300"/>
      <c r="B300"/>
      <c r="C300"/>
      <c r="D300"/>
      <c r="E300"/>
      <c r="F300"/>
      <c r="G300"/>
      <c r="H300"/>
    </row>
    <row r="301" spans="1:8" x14ac:dyDescent="0.35">
      <c r="A301"/>
      <c r="B301"/>
      <c r="C301"/>
      <c r="D301"/>
      <c r="E301"/>
      <c r="F301"/>
      <c r="G301"/>
      <c r="H301"/>
    </row>
    <row r="302" spans="1:8" x14ac:dyDescent="0.35">
      <c r="A302"/>
      <c r="B302"/>
      <c r="C302"/>
      <c r="D302"/>
      <c r="E302"/>
      <c r="F302"/>
      <c r="G302"/>
      <c r="H302"/>
    </row>
    <row r="303" spans="1:8" x14ac:dyDescent="0.35">
      <c r="A303"/>
      <c r="B303"/>
      <c r="C303"/>
      <c r="D303"/>
      <c r="E303"/>
      <c r="F303"/>
      <c r="G303"/>
      <c r="H303"/>
    </row>
    <row r="304" spans="1:8" x14ac:dyDescent="0.35">
      <c r="A304"/>
      <c r="B304"/>
      <c r="C304"/>
      <c r="D304"/>
      <c r="E304"/>
      <c r="F304"/>
      <c r="G304"/>
      <c r="H304"/>
    </row>
    <row r="305" spans="1:8" x14ac:dyDescent="0.35">
      <c r="A305"/>
      <c r="B305"/>
      <c r="C305"/>
      <c r="D305"/>
      <c r="E305"/>
      <c r="F305"/>
      <c r="G305"/>
      <c r="H305"/>
    </row>
    <row r="306" spans="1:8" x14ac:dyDescent="0.35">
      <c r="A306"/>
      <c r="B306"/>
      <c r="C306"/>
      <c r="D306"/>
      <c r="E306"/>
      <c r="F306"/>
      <c r="G306"/>
      <c r="H306"/>
    </row>
    <row r="307" spans="1:8" x14ac:dyDescent="0.35">
      <c r="A307"/>
      <c r="B307"/>
      <c r="C307"/>
      <c r="D307"/>
      <c r="E307"/>
      <c r="F307"/>
      <c r="G307"/>
      <c r="H307"/>
    </row>
    <row r="308" spans="1:8" x14ac:dyDescent="0.35">
      <c r="A308"/>
      <c r="B308"/>
      <c r="C308"/>
      <c r="D308"/>
      <c r="E308"/>
      <c r="F308"/>
      <c r="G308"/>
      <c r="H308"/>
    </row>
    <row r="309" spans="1:8" x14ac:dyDescent="0.35">
      <c r="A309"/>
      <c r="B309"/>
      <c r="C309"/>
      <c r="D309"/>
      <c r="E309"/>
      <c r="F309"/>
      <c r="G309"/>
      <c r="H309"/>
    </row>
    <row r="310" spans="1:8" x14ac:dyDescent="0.35">
      <c r="A310"/>
      <c r="B310"/>
      <c r="C310"/>
      <c r="D310"/>
      <c r="E310"/>
      <c r="F310"/>
      <c r="G310"/>
      <c r="H310"/>
    </row>
    <row r="311" spans="1:8" x14ac:dyDescent="0.35">
      <c r="A311"/>
      <c r="B311"/>
      <c r="C311"/>
      <c r="D311"/>
      <c r="E311"/>
      <c r="F311"/>
      <c r="G311"/>
      <c r="H311"/>
    </row>
    <row r="312" spans="1:8" x14ac:dyDescent="0.35">
      <c r="A312"/>
      <c r="B312"/>
      <c r="C312"/>
      <c r="D312"/>
      <c r="E312"/>
      <c r="F312"/>
      <c r="G312"/>
      <c r="H312"/>
    </row>
    <row r="313" spans="1:8" x14ac:dyDescent="0.35">
      <c r="A313"/>
      <c r="B313"/>
      <c r="C313"/>
      <c r="D313"/>
      <c r="E313"/>
      <c r="F313"/>
      <c r="G313"/>
      <c r="H313"/>
    </row>
    <row r="314" spans="1:8" x14ac:dyDescent="0.35">
      <c r="A314"/>
      <c r="B314"/>
      <c r="C314"/>
      <c r="D314"/>
      <c r="E314"/>
      <c r="F314"/>
      <c r="G314"/>
      <c r="H314"/>
    </row>
    <row r="315" spans="1:8" x14ac:dyDescent="0.35">
      <c r="A315"/>
      <c r="B315"/>
      <c r="C315"/>
      <c r="D315"/>
      <c r="E315"/>
      <c r="F315"/>
      <c r="G315"/>
      <c r="H315"/>
    </row>
    <row r="316" spans="1:8" x14ac:dyDescent="0.35">
      <c r="A316"/>
      <c r="B316"/>
      <c r="C316"/>
      <c r="D316"/>
      <c r="E316"/>
      <c r="F316"/>
      <c r="G316"/>
      <c r="H316"/>
    </row>
    <row r="317" spans="1:8" x14ac:dyDescent="0.35">
      <c r="A317"/>
      <c r="B317"/>
      <c r="C317"/>
      <c r="D317"/>
      <c r="E317"/>
      <c r="F317"/>
      <c r="G317"/>
      <c r="H317"/>
    </row>
    <row r="318" spans="1:8" x14ac:dyDescent="0.35">
      <c r="A318"/>
      <c r="B318"/>
      <c r="C318"/>
      <c r="D318"/>
      <c r="E318"/>
      <c r="F318"/>
      <c r="G318"/>
      <c r="H318"/>
    </row>
    <row r="319" spans="1:8" x14ac:dyDescent="0.35">
      <c r="A319"/>
      <c r="B319"/>
      <c r="C319"/>
      <c r="D319"/>
      <c r="E319"/>
      <c r="F319"/>
      <c r="G319"/>
      <c r="H319"/>
    </row>
    <row r="320" spans="1:8" x14ac:dyDescent="0.35">
      <c r="A320"/>
      <c r="B320"/>
      <c r="C320"/>
      <c r="D320"/>
      <c r="E320"/>
      <c r="F320"/>
      <c r="G320"/>
      <c r="H320"/>
    </row>
    <row r="321" spans="1:8" x14ac:dyDescent="0.35">
      <c r="A321"/>
      <c r="B321"/>
      <c r="C321"/>
      <c r="D321"/>
      <c r="E321"/>
      <c r="F321"/>
      <c r="G321"/>
      <c r="H321"/>
    </row>
    <row r="322" spans="1:8" x14ac:dyDescent="0.35">
      <c r="A322"/>
      <c r="B322"/>
      <c r="C322"/>
      <c r="D322"/>
      <c r="E322"/>
      <c r="F322"/>
      <c r="G322"/>
      <c r="H322"/>
    </row>
    <row r="323" spans="1:8" x14ac:dyDescent="0.35">
      <c r="A323"/>
      <c r="B323"/>
      <c r="C323"/>
      <c r="D323"/>
      <c r="E323"/>
      <c r="F323"/>
      <c r="G323"/>
      <c r="H323"/>
    </row>
    <row r="324" spans="1:8" x14ac:dyDescent="0.35">
      <c r="A324"/>
      <c r="B324"/>
      <c r="C324"/>
      <c r="D324"/>
      <c r="E324"/>
      <c r="F324"/>
      <c r="G324"/>
      <c r="H324"/>
    </row>
    <row r="325" spans="1:8" x14ac:dyDescent="0.35">
      <c r="A325"/>
      <c r="B325"/>
      <c r="C325"/>
      <c r="D325"/>
      <c r="E325"/>
      <c r="F325"/>
      <c r="G325"/>
      <c r="H325"/>
    </row>
    <row r="326" spans="1:8" x14ac:dyDescent="0.35">
      <c r="A326"/>
      <c r="B326"/>
      <c r="C326"/>
      <c r="D326"/>
      <c r="E326"/>
      <c r="F326"/>
      <c r="G326"/>
      <c r="H326"/>
    </row>
    <row r="327" spans="1:8" x14ac:dyDescent="0.35">
      <c r="A327"/>
      <c r="B327"/>
      <c r="C327"/>
      <c r="D327"/>
      <c r="E327"/>
      <c r="F327"/>
      <c r="G327"/>
      <c r="H327"/>
    </row>
    <row r="328" spans="1:8" x14ac:dyDescent="0.35">
      <c r="A328"/>
      <c r="B328"/>
      <c r="C328"/>
      <c r="D328"/>
      <c r="E328"/>
      <c r="F328"/>
      <c r="G328"/>
      <c r="H328"/>
    </row>
    <row r="329" spans="1:8" x14ac:dyDescent="0.35">
      <c r="A329"/>
      <c r="B329"/>
      <c r="C329"/>
      <c r="D329"/>
      <c r="E329"/>
      <c r="F329"/>
      <c r="G329"/>
      <c r="H329"/>
    </row>
    <row r="330" spans="1:8" x14ac:dyDescent="0.35">
      <c r="A330"/>
      <c r="B330"/>
      <c r="C330"/>
      <c r="D330"/>
      <c r="E330"/>
      <c r="F330"/>
      <c r="G330"/>
      <c r="H330"/>
    </row>
    <row r="331" spans="1:8" x14ac:dyDescent="0.35">
      <c r="A331"/>
      <c r="B331"/>
      <c r="C331"/>
      <c r="D331"/>
      <c r="E331"/>
      <c r="F331"/>
      <c r="G331"/>
      <c r="H331"/>
    </row>
    <row r="332" spans="1:8" x14ac:dyDescent="0.35">
      <c r="A332"/>
      <c r="B332"/>
      <c r="C332"/>
      <c r="D332"/>
      <c r="E332"/>
      <c r="F332"/>
      <c r="G332"/>
      <c r="H332"/>
    </row>
    <row r="333" spans="1:8" x14ac:dyDescent="0.35">
      <c r="A333"/>
      <c r="B333"/>
      <c r="C333"/>
      <c r="D333"/>
      <c r="E333"/>
      <c r="F333"/>
      <c r="G333"/>
      <c r="H333"/>
    </row>
    <row r="334" spans="1:8" x14ac:dyDescent="0.35">
      <c r="A334"/>
      <c r="B334"/>
      <c r="C334"/>
      <c r="D334"/>
      <c r="E334"/>
      <c r="F334"/>
      <c r="G334"/>
      <c r="H334"/>
    </row>
    <row r="335" spans="1:8" x14ac:dyDescent="0.35">
      <c r="A335"/>
      <c r="B335"/>
      <c r="C335"/>
      <c r="D335"/>
      <c r="E335"/>
      <c r="F335"/>
      <c r="G335"/>
      <c r="H335"/>
    </row>
    <row r="336" spans="1:8" x14ac:dyDescent="0.35">
      <c r="A336"/>
      <c r="B336"/>
      <c r="C336"/>
      <c r="D336"/>
      <c r="E336"/>
      <c r="F336"/>
      <c r="G336"/>
      <c r="H336"/>
    </row>
    <row r="337" spans="1:8" x14ac:dyDescent="0.35">
      <c r="A337"/>
      <c r="B337"/>
      <c r="C337"/>
      <c r="D337"/>
      <c r="E337"/>
      <c r="F337"/>
      <c r="G337"/>
      <c r="H337"/>
    </row>
    <row r="338" spans="1:8" x14ac:dyDescent="0.35">
      <c r="A338"/>
      <c r="B338"/>
      <c r="C338"/>
      <c r="D338"/>
      <c r="E338"/>
      <c r="F338"/>
      <c r="G338"/>
      <c r="H338"/>
    </row>
    <row r="339" spans="1:8" x14ac:dyDescent="0.35">
      <c r="A339"/>
      <c r="B339"/>
      <c r="C339"/>
      <c r="D339"/>
      <c r="E339"/>
      <c r="F339"/>
      <c r="G339"/>
      <c r="H339"/>
    </row>
    <row r="340" spans="1:8" x14ac:dyDescent="0.35">
      <c r="A340"/>
      <c r="B340"/>
      <c r="C340"/>
      <c r="D340"/>
      <c r="E340"/>
      <c r="F340"/>
      <c r="G340"/>
      <c r="H340"/>
    </row>
    <row r="341" spans="1:8" x14ac:dyDescent="0.35">
      <c r="A341"/>
      <c r="B341"/>
      <c r="C341"/>
      <c r="D341"/>
      <c r="E341"/>
      <c r="F341"/>
      <c r="G341"/>
      <c r="H341"/>
    </row>
    <row r="342" spans="1:8" x14ac:dyDescent="0.35">
      <c r="A342"/>
      <c r="B342"/>
      <c r="C342"/>
      <c r="D342"/>
      <c r="E342"/>
      <c r="F342"/>
      <c r="G342"/>
      <c r="H342"/>
    </row>
    <row r="343" spans="1:8" x14ac:dyDescent="0.35">
      <c r="A343"/>
      <c r="B343"/>
      <c r="C343"/>
      <c r="D343"/>
      <c r="E343"/>
      <c r="F343"/>
      <c r="G343"/>
      <c r="H343"/>
    </row>
    <row r="344" spans="1:8" x14ac:dyDescent="0.35">
      <c r="A344"/>
      <c r="B344"/>
      <c r="C344"/>
      <c r="D344"/>
      <c r="E344"/>
      <c r="F344"/>
      <c r="G344"/>
      <c r="H344"/>
    </row>
    <row r="345" spans="1:8" x14ac:dyDescent="0.35">
      <c r="A345"/>
      <c r="B345"/>
      <c r="C345"/>
      <c r="D345"/>
      <c r="E345"/>
      <c r="F345"/>
      <c r="G345"/>
      <c r="H345"/>
    </row>
    <row r="346" spans="1:8" x14ac:dyDescent="0.35">
      <c r="A346"/>
      <c r="B346"/>
      <c r="C346"/>
      <c r="D346"/>
      <c r="E346"/>
      <c r="F346"/>
      <c r="G346"/>
      <c r="H346"/>
    </row>
    <row r="347" spans="1:8" x14ac:dyDescent="0.35">
      <c r="A347"/>
      <c r="B347"/>
      <c r="C347"/>
      <c r="D347"/>
      <c r="E347"/>
      <c r="F347"/>
      <c r="G347"/>
      <c r="H347"/>
    </row>
    <row r="348" spans="1:8" x14ac:dyDescent="0.35">
      <c r="A348"/>
      <c r="B348"/>
      <c r="C348"/>
      <c r="D348"/>
      <c r="E348"/>
      <c r="F348"/>
      <c r="G348"/>
      <c r="H348"/>
    </row>
    <row r="349" spans="1:8" x14ac:dyDescent="0.35">
      <c r="A349"/>
      <c r="B349"/>
      <c r="C349"/>
      <c r="D349"/>
      <c r="E349"/>
      <c r="F349"/>
      <c r="G349"/>
      <c r="H349"/>
    </row>
    <row r="350" spans="1:8" x14ac:dyDescent="0.35">
      <c r="A350"/>
      <c r="B350"/>
      <c r="C350"/>
      <c r="D350"/>
      <c r="E350"/>
      <c r="F350"/>
      <c r="G350"/>
      <c r="H350"/>
    </row>
    <row r="351" spans="1:8" x14ac:dyDescent="0.35">
      <c r="A351"/>
      <c r="B351"/>
      <c r="C351"/>
      <c r="D351"/>
      <c r="E351"/>
      <c r="F351"/>
      <c r="G351"/>
      <c r="H351"/>
    </row>
    <row r="352" spans="1:8" x14ac:dyDescent="0.35">
      <c r="A352"/>
      <c r="B352"/>
      <c r="C352"/>
      <c r="D352"/>
      <c r="E352"/>
      <c r="F352"/>
      <c r="G352"/>
      <c r="H352"/>
    </row>
    <row r="353" spans="1:8" x14ac:dyDescent="0.35">
      <c r="A353"/>
      <c r="B353"/>
      <c r="C353"/>
      <c r="D353"/>
      <c r="E353"/>
      <c r="F353"/>
      <c r="G353"/>
      <c r="H353"/>
    </row>
    <row r="354" spans="1:8" x14ac:dyDescent="0.35">
      <c r="A354"/>
      <c r="B354"/>
      <c r="C354"/>
      <c r="D354"/>
      <c r="E354"/>
      <c r="F354"/>
      <c r="G354"/>
      <c r="H354"/>
    </row>
    <row r="355" spans="1:8" x14ac:dyDescent="0.35">
      <c r="A355"/>
      <c r="B355"/>
      <c r="C355"/>
      <c r="D355"/>
      <c r="E355"/>
      <c r="F355"/>
      <c r="G355"/>
      <c r="H355"/>
    </row>
    <row r="356" spans="1:8" x14ac:dyDescent="0.35">
      <c r="A356"/>
      <c r="B356"/>
      <c r="C356"/>
      <c r="D356"/>
      <c r="E356"/>
      <c r="F356"/>
      <c r="G356"/>
      <c r="H356"/>
    </row>
    <row r="357" spans="1:8" x14ac:dyDescent="0.35">
      <c r="A357"/>
      <c r="B357"/>
      <c r="C357"/>
      <c r="D357"/>
      <c r="E357"/>
      <c r="F357"/>
      <c r="G357"/>
      <c r="H357"/>
    </row>
    <row r="358" spans="1:8" x14ac:dyDescent="0.35">
      <c r="A358"/>
      <c r="B358"/>
      <c r="C358"/>
      <c r="D358"/>
      <c r="E358"/>
      <c r="F358"/>
      <c r="G358"/>
      <c r="H358"/>
    </row>
    <row r="359" spans="1:8" x14ac:dyDescent="0.35">
      <c r="A359"/>
      <c r="B359"/>
      <c r="C359"/>
      <c r="D359"/>
      <c r="E359"/>
      <c r="F359"/>
      <c r="G359"/>
      <c r="H359"/>
    </row>
    <row r="360" spans="1:8" x14ac:dyDescent="0.35">
      <c r="A360"/>
      <c r="B360"/>
      <c r="C360"/>
      <c r="D360"/>
      <c r="E360"/>
      <c r="F360"/>
      <c r="G360"/>
      <c r="H360"/>
    </row>
    <row r="361" spans="1:8" x14ac:dyDescent="0.35">
      <c r="A361"/>
      <c r="B361"/>
      <c r="C361"/>
      <c r="D361"/>
      <c r="E361"/>
      <c r="F361"/>
      <c r="G361"/>
      <c r="H361"/>
    </row>
    <row r="362" spans="1:8" x14ac:dyDescent="0.35">
      <c r="A362"/>
      <c r="B362"/>
      <c r="C362"/>
      <c r="D362"/>
      <c r="E362"/>
      <c r="F362"/>
      <c r="G362"/>
      <c r="H362"/>
    </row>
    <row r="363" spans="1:8" x14ac:dyDescent="0.35">
      <c r="A363"/>
      <c r="B363"/>
      <c r="C363"/>
      <c r="D363"/>
      <c r="E363"/>
      <c r="F363"/>
      <c r="G363"/>
      <c r="H363"/>
    </row>
    <row r="364" spans="1:8" x14ac:dyDescent="0.35">
      <c r="A364"/>
      <c r="B364"/>
      <c r="C364"/>
      <c r="D364"/>
      <c r="E364"/>
      <c r="F364"/>
      <c r="G364"/>
      <c r="H364"/>
    </row>
    <row r="365" spans="1:8" x14ac:dyDescent="0.35">
      <c r="A365"/>
      <c r="B365"/>
      <c r="C365"/>
      <c r="D365"/>
      <c r="E365"/>
      <c r="F365"/>
      <c r="G365"/>
      <c r="H365"/>
    </row>
    <row r="366" spans="1:8" x14ac:dyDescent="0.35">
      <c r="A366"/>
      <c r="B366"/>
      <c r="C366"/>
      <c r="D366"/>
      <c r="E366"/>
      <c r="F366"/>
      <c r="G366"/>
      <c r="H366"/>
    </row>
    <row r="367" spans="1:8" x14ac:dyDescent="0.35">
      <c r="A367"/>
      <c r="B367"/>
      <c r="C367"/>
      <c r="D367"/>
      <c r="E367"/>
      <c r="F367"/>
      <c r="G367"/>
      <c r="H367"/>
    </row>
    <row r="368" spans="1:8" x14ac:dyDescent="0.35">
      <c r="A368"/>
      <c r="B368"/>
      <c r="C368"/>
      <c r="D368"/>
      <c r="E368"/>
      <c r="F368"/>
      <c r="G368"/>
      <c r="H368"/>
    </row>
    <row r="369" spans="1:8" x14ac:dyDescent="0.35">
      <c r="A369"/>
      <c r="B369"/>
      <c r="C369"/>
      <c r="D369"/>
      <c r="E369"/>
      <c r="F369"/>
      <c r="G369"/>
      <c r="H369"/>
    </row>
    <row r="370" spans="1:8" x14ac:dyDescent="0.35">
      <c r="A370"/>
      <c r="B370"/>
      <c r="C370"/>
      <c r="D370"/>
      <c r="E370"/>
      <c r="F370"/>
      <c r="G370"/>
      <c r="H370"/>
    </row>
    <row r="371" spans="1:8" x14ac:dyDescent="0.35">
      <c r="A371"/>
      <c r="B371"/>
      <c r="C371"/>
      <c r="D371"/>
      <c r="E371"/>
      <c r="F371"/>
      <c r="G371"/>
      <c r="H371"/>
    </row>
    <row r="372" spans="1:8" x14ac:dyDescent="0.35">
      <c r="A372"/>
      <c r="B372"/>
      <c r="C372"/>
      <c r="D372"/>
      <c r="E372"/>
      <c r="F372"/>
      <c r="G372"/>
      <c r="H372"/>
    </row>
    <row r="373" spans="1:8" x14ac:dyDescent="0.35">
      <c r="A373"/>
      <c r="B373"/>
      <c r="C373"/>
      <c r="D373"/>
      <c r="E373"/>
      <c r="F373"/>
      <c r="G373"/>
      <c r="H373"/>
    </row>
    <row r="374" spans="1:8" x14ac:dyDescent="0.35">
      <c r="A374"/>
      <c r="B374"/>
      <c r="C374"/>
      <c r="D374"/>
      <c r="E374"/>
      <c r="F374"/>
      <c r="G374"/>
      <c r="H374"/>
    </row>
    <row r="375" spans="1:8" x14ac:dyDescent="0.35">
      <c r="A375"/>
      <c r="B375"/>
      <c r="C375"/>
      <c r="D375"/>
      <c r="E375"/>
      <c r="F375"/>
      <c r="G375"/>
      <c r="H375"/>
    </row>
    <row r="376" spans="1:8" x14ac:dyDescent="0.35">
      <c r="A376"/>
      <c r="B376"/>
      <c r="C376"/>
      <c r="D376"/>
      <c r="E376"/>
      <c r="F376"/>
      <c r="G376"/>
      <c r="H376"/>
    </row>
    <row r="377" spans="1:8" x14ac:dyDescent="0.35">
      <c r="A377"/>
      <c r="B377"/>
      <c r="C377"/>
      <c r="D377"/>
      <c r="E377"/>
      <c r="F377"/>
      <c r="G377"/>
      <c r="H377"/>
    </row>
    <row r="378" spans="1:8" x14ac:dyDescent="0.35">
      <c r="A378"/>
      <c r="B378"/>
      <c r="C378"/>
      <c r="D378"/>
      <c r="E378"/>
      <c r="F378"/>
      <c r="G378"/>
      <c r="H378"/>
    </row>
    <row r="379" spans="1:8" x14ac:dyDescent="0.35">
      <c r="A379"/>
      <c r="B379"/>
      <c r="C379"/>
      <c r="D379"/>
      <c r="E379"/>
      <c r="F379"/>
      <c r="G379"/>
      <c r="H379"/>
    </row>
    <row r="380" spans="1:8" x14ac:dyDescent="0.35">
      <c r="A380"/>
      <c r="B380"/>
      <c r="C380"/>
      <c r="D380"/>
      <c r="E380"/>
      <c r="F380"/>
      <c r="G380"/>
      <c r="H380"/>
    </row>
    <row r="381" spans="1:8" x14ac:dyDescent="0.35">
      <c r="A381"/>
      <c r="B381"/>
      <c r="C381"/>
      <c r="D381"/>
      <c r="E381"/>
      <c r="F381"/>
      <c r="G381"/>
      <c r="H381"/>
    </row>
    <row r="382" spans="1:8" x14ac:dyDescent="0.35">
      <c r="A382"/>
      <c r="B382"/>
      <c r="C382"/>
      <c r="D382"/>
      <c r="E382"/>
      <c r="F382"/>
      <c r="G382"/>
      <c r="H382"/>
    </row>
    <row r="383" spans="1:8" x14ac:dyDescent="0.35">
      <c r="A383"/>
      <c r="B383"/>
      <c r="C383"/>
      <c r="D383"/>
      <c r="E383"/>
      <c r="F383"/>
      <c r="G383"/>
      <c r="H383"/>
    </row>
    <row r="384" spans="1:8" x14ac:dyDescent="0.35">
      <c r="A384"/>
      <c r="B384"/>
      <c r="C384"/>
      <c r="D384"/>
      <c r="E384"/>
      <c r="F384"/>
      <c r="G384"/>
      <c r="H384"/>
    </row>
    <row r="385" spans="1:8" x14ac:dyDescent="0.35">
      <c r="A385"/>
      <c r="B385"/>
      <c r="C385"/>
      <c r="D385"/>
      <c r="E385"/>
      <c r="F385"/>
      <c r="G385"/>
      <c r="H385"/>
    </row>
    <row r="386" spans="1:8" x14ac:dyDescent="0.35">
      <c r="A386"/>
      <c r="B386"/>
      <c r="C386"/>
      <c r="D386"/>
      <c r="E386"/>
      <c r="F386"/>
      <c r="G386"/>
      <c r="H386"/>
    </row>
    <row r="387" spans="1:8" x14ac:dyDescent="0.35">
      <c r="A387"/>
      <c r="B387"/>
      <c r="C387"/>
      <c r="D387"/>
      <c r="E387"/>
      <c r="F387"/>
      <c r="G387"/>
      <c r="H387"/>
    </row>
    <row r="388" spans="1:8" x14ac:dyDescent="0.35">
      <c r="A388"/>
      <c r="B388"/>
      <c r="C388"/>
      <c r="D388"/>
      <c r="E388"/>
      <c r="F388"/>
      <c r="G388"/>
      <c r="H388"/>
    </row>
    <row r="389" spans="1:8" x14ac:dyDescent="0.35">
      <c r="A389"/>
      <c r="B389"/>
      <c r="C389"/>
      <c r="D389"/>
      <c r="E389"/>
      <c r="F389"/>
      <c r="G389"/>
      <c r="H389"/>
    </row>
    <row r="390" spans="1:8" x14ac:dyDescent="0.35">
      <c r="A390"/>
      <c r="B390"/>
      <c r="C390"/>
      <c r="D390"/>
      <c r="E390"/>
      <c r="F390"/>
      <c r="G390"/>
      <c r="H390"/>
    </row>
    <row r="391" spans="1:8" x14ac:dyDescent="0.35">
      <c r="A391"/>
      <c r="B391"/>
      <c r="C391"/>
      <c r="D391"/>
      <c r="E391"/>
      <c r="F391"/>
      <c r="G391"/>
      <c r="H391"/>
    </row>
    <row r="392" spans="1:8" x14ac:dyDescent="0.35">
      <c r="A392"/>
      <c r="B392"/>
      <c r="C392"/>
      <c r="D392"/>
      <c r="E392"/>
      <c r="F392"/>
      <c r="G392"/>
      <c r="H392"/>
    </row>
    <row r="393" spans="1:8" x14ac:dyDescent="0.35">
      <c r="A393"/>
      <c r="B393"/>
      <c r="C393"/>
      <c r="D393"/>
      <c r="E393"/>
      <c r="F393"/>
      <c r="G393"/>
      <c r="H393"/>
    </row>
    <row r="394" spans="1:8" x14ac:dyDescent="0.35">
      <c r="A394"/>
      <c r="B394"/>
      <c r="C394"/>
      <c r="D394"/>
      <c r="E394"/>
      <c r="F394"/>
      <c r="G394"/>
      <c r="H394"/>
    </row>
    <row r="395" spans="1:8" x14ac:dyDescent="0.35">
      <c r="A395"/>
      <c r="B395"/>
      <c r="C395"/>
      <c r="D395"/>
      <c r="E395"/>
      <c r="F395"/>
      <c r="G395"/>
      <c r="H395"/>
    </row>
    <row r="396" spans="1:8" x14ac:dyDescent="0.35">
      <c r="A396"/>
      <c r="B396"/>
      <c r="C396"/>
      <c r="D396"/>
      <c r="E396"/>
      <c r="F396"/>
      <c r="G396"/>
      <c r="H396"/>
    </row>
    <row r="397" spans="1:8" x14ac:dyDescent="0.35">
      <c r="A397"/>
      <c r="B397"/>
      <c r="C397"/>
      <c r="D397"/>
      <c r="E397"/>
      <c r="F397"/>
      <c r="G397"/>
      <c r="H397"/>
    </row>
    <row r="398" spans="1:8" x14ac:dyDescent="0.35">
      <c r="A398"/>
      <c r="B398"/>
      <c r="C398"/>
      <c r="D398"/>
      <c r="E398"/>
      <c r="F398"/>
      <c r="G398"/>
      <c r="H398"/>
    </row>
    <row r="399" spans="1:8" x14ac:dyDescent="0.35">
      <c r="A399"/>
      <c r="B399"/>
      <c r="C399"/>
      <c r="D399"/>
      <c r="E399"/>
      <c r="F399"/>
      <c r="G399"/>
      <c r="H399"/>
    </row>
    <row r="400" spans="1:8" x14ac:dyDescent="0.35">
      <c r="A400"/>
      <c r="B400"/>
      <c r="C400"/>
      <c r="D400"/>
      <c r="E400"/>
      <c r="F400"/>
      <c r="G400"/>
      <c r="H400"/>
    </row>
    <row r="401" spans="1:8" x14ac:dyDescent="0.35">
      <c r="A401"/>
      <c r="B401"/>
      <c r="C401"/>
      <c r="D401"/>
      <c r="E401"/>
      <c r="F401"/>
      <c r="G401"/>
      <c r="H401"/>
    </row>
    <row r="402" spans="1:8" x14ac:dyDescent="0.35">
      <c r="A402"/>
      <c r="B402"/>
      <c r="C402"/>
      <c r="D402"/>
      <c r="E402"/>
      <c r="F402"/>
      <c r="G402"/>
      <c r="H402"/>
    </row>
    <row r="403" spans="1:8" x14ac:dyDescent="0.35">
      <c r="A403"/>
      <c r="B403"/>
      <c r="C403"/>
      <c r="D403"/>
      <c r="E403"/>
      <c r="F403"/>
      <c r="G403"/>
      <c r="H403"/>
    </row>
    <row r="404" spans="1:8" x14ac:dyDescent="0.35">
      <c r="A404"/>
      <c r="B404"/>
      <c r="C404"/>
      <c r="D404"/>
      <c r="E404"/>
      <c r="F404"/>
      <c r="G404"/>
      <c r="H404"/>
    </row>
    <row r="405" spans="1:8" x14ac:dyDescent="0.35">
      <c r="A405"/>
      <c r="B405"/>
      <c r="C405"/>
      <c r="D405"/>
      <c r="E405"/>
      <c r="F405"/>
      <c r="G405"/>
      <c r="H405"/>
    </row>
    <row r="406" spans="1:8" x14ac:dyDescent="0.35">
      <c r="A406"/>
      <c r="B406"/>
      <c r="C406"/>
      <c r="D406"/>
      <c r="E406"/>
      <c r="F406"/>
      <c r="G406"/>
      <c r="H406"/>
    </row>
    <row r="407" spans="1:8" x14ac:dyDescent="0.35">
      <c r="A407"/>
      <c r="B407"/>
      <c r="C407"/>
      <c r="D407"/>
      <c r="E407"/>
      <c r="F407"/>
      <c r="G407"/>
      <c r="H407"/>
    </row>
    <row r="408" spans="1:8" x14ac:dyDescent="0.35">
      <c r="A408"/>
      <c r="B408"/>
      <c r="C408"/>
      <c r="D408"/>
      <c r="E408"/>
      <c r="F408"/>
      <c r="G408"/>
      <c r="H408"/>
    </row>
    <row r="409" spans="1:8" x14ac:dyDescent="0.35">
      <c r="A409"/>
      <c r="B409"/>
      <c r="C409"/>
      <c r="D409"/>
      <c r="E409"/>
      <c r="F409"/>
      <c r="G409"/>
      <c r="H409"/>
    </row>
    <row r="410" spans="1:8" x14ac:dyDescent="0.35">
      <c r="A410"/>
      <c r="B410"/>
      <c r="C410"/>
      <c r="D410"/>
      <c r="E410"/>
      <c r="F410"/>
      <c r="G410"/>
      <c r="H410"/>
    </row>
    <row r="411" spans="1:8" x14ac:dyDescent="0.35">
      <c r="A411"/>
      <c r="B411"/>
      <c r="C411"/>
      <c r="D411"/>
      <c r="E411"/>
      <c r="F411"/>
      <c r="G411"/>
      <c r="H411"/>
    </row>
    <row r="412" spans="1:8" x14ac:dyDescent="0.35">
      <c r="A412"/>
      <c r="B412"/>
      <c r="C412"/>
      <c r="D412"/>
      <c r="E412"/>
      <c r="F412"/>
      <c r="G412"/>
      <c r="H412"/>
    </row>
    <row r="413" spans="1:8" x14ac:dyDescent="0.35">
      <c r="A413"/>
      <c r="B413"/>
      <c r="C413"/>
      <c r="D413"/>
      <c r="E413"/>
      <c r="F413"/>
      <c r="G413"/>
      <c r="H413"/>
    </row>
    <row r="414" spans="1:8" x14ac:dyDescent="0.35">
      <c r="A414"/>
      <c r="B414"/>
      <c r="C414"/>
      <c r="D414"/>
      <c r="E414"/>
      <c r="F414"/>
      <c r="G414"/>
      <c r="H414"/>
    </row>
    <row r="415" spans="1:8" x14ac:dyDescent="0.35">
      <c r="A415"/>
      <c r="B415"/>
      <c r="C415"/>
      <c r="D415"/>
      <c r="E415"/>
      <c r="F415"/>
      <c r="G415"/>
      <c r="H415"/>
    </row>
    <row r="416" spans="1:8" x14ac:dyDescent="0.35">
      <c r="A416"/>
      <c r="B416"/>
      <c r="C416"/>
      <c r="D416"/>
      <c r="E416"/>
      <c r="F416"/>
      <c r="G416"/>
      <c r="H416"/>
    </row>
    <row r="417" spans="1:8" x14ac:dyDescent="0.35">
      <c r="A417"/>
      <c r="B417"/>
      <c r="C417"/>
      <c r="D417"/>
      <c r="E417"/>
      <c r="F417"/>
      <c r="G417"/>
      <c r="H417"/>
    </row>
    <row r="418" spans="1:8" x14ac:dyDescent="0.35">
      <c r="A418"/>
      <c r="B418"/>
      <c r="C418"/>
      <c r="D418"/>
      <c r="E418"/>
      <c r="F418"/>
      <c r="G418"/>
      <c r="H418"/>
    </row>
    <row r="419" spans="1:8" x14ac:dyDescent="0.35">
      <c r="A419"/>
      <c r="B419"/>
      <c r="C419"/>
      <c r="D419"/>
      <c r="E419"/>
      <c r="F419"/>
      <c r="G419"/>
      <c r="H419"/>
    </row>
    <row r="420" spans="1:8" x14ac:dyDescent="0.35">
      <c r="A420"/>
      <c r="B420"/>
      <c r="C420"/>
      <c r="D420"/>
      <c r="E420"/>
      <c r="F420"/>
      <c r="G420"/>
      <c r="H420"/>
    </row>
    <row r="421" spans="1:8" x14ac:dyDescent="0.35">
      <c r="A421"/>
      <c r="B421"/>
      <c r="C421"/>
      <c r="D421"/>
      <c r="E421"/>
      <c r="F421"/>
      <c r="G421"/>
      <c r="H421"/>
    </row>
    <row r="422" spans="1:8" x14ac:dyDescent="0.35">
      <c r="A422"/>
      <c r="B422"/>
      <c r="C422"/>
      <c r="D422"/>
      <c r="E422"/>
      <c r="F422"/>
      <c r="G422"/>
      <c r="H422"/>
    </row>
    <row r="423" spans="1:8" x14ac:dyDescent="0.35">
      <c r="A423"/>
      <c r="B423"/>
      <c r="C423"/>
      <c r="D423"/>
      <c r="E423"/>
      <c r="F423"/>
      <c r="G423"/>
      <c r="H423"/>
    </row>
    <row r="424" spans="1:8" x14ac:dyDescent="0.35">
      <c r="A424"/>
      <c r="B424"/>
      <c r="C424"/>
      <c r="D424"/>
      <c r="E424"/>
      <c r="F424"/>
      <c r="G424"/>
      <c r="H424"/>
    </row>
    <row r="425" spans="1:8" x14ac:dyDescent="0.35">
      <c r="A425"/>
      <c r="B425"/>
      <c r="C425"/>
      <c r="D425"/>
      <c r="E425"/>
      <c r="F425"/>
      <c r="G425"/>
      <c r="H425"/>
    </row>
    <row r="426" spans="1:8" x14ac:dyDescent="0.35">
      <c r="A426"/>
      <c r="B426"/>
      <c r="C426"/>
      <c r="D426"/>
      <c r="E426"/>
      <c r="F426"/>
      <c r="G426"/>
      <c r="H426"/>
    </row>
    <row r="427" spans="1:8" x14ac:dyDescent="0.35">
      <c r="A427"/>
      <c r="B427"/>
      <c r="C427"/>
      <c r="D427"/>
      <c r="E427"/>
      <c r="F427"/>
      <c r="G427"/>
      <c r="H427"/>
    </row>
    <row r="428" spans="1:8" x14ac:dyDescent="0.35">
      <c r="A428"/>
      <c r="B428"/>
      <c r="C428"/>
      <c r="D428"/>
      <c r="E428"/>
      <c r="F428"/>
      <c r="G428"/>
      <c r="H428"/>
    </row>
    <row r="429" spans="1:8" x14ac:dyDescent="0.35">
      <c r="A429"/>
      <c r="B429"/>
      <c r="C429"/>
      <c r="D429"/>
      <c r="E429"/>
      <c r="F429"/>
      <c r="G429"/>
      <c r="H429"/>
    </row>
    <row r="430" spans="1:8" x14ac:dyDescent="0.35">
      <c r="A430"/>
      <c r="B430"/>
      <c r="C430"/>
      <c r="D430"/>
      <c r="E430"/>
      <c r="F430"/>
      <c r="G430"/>
      <c r="H430"/>
    </row>
    <row r="431" spans="1:8" x14ac:dyDescent="0.35">
      <c r="A431"/>
      <c r="B431"/>
      <c r="C431"/>
      <c r="D431"/>
      <c r="E431"/>
      <c r="F431"/>
      <c r="G431"/>
      <c r="H431"/>
    </row>
    <row r="432" spans="1:8" x14ac:dyDescent="0.35">
      <c r="A432"/>
      <c r="B432"/>
      <c r="C432"/>
      <c r="D432"/>
      <c r="E432"/>
      <c r="F432"/>
      <c r="G432"/>
      <c r="H432"/>
    </row>
    <row r="433" spans="1:8" x14ac:dyDescent="0.35">
      <c r="A433"/>
      <c r="B433"/>
      <c r="C433"/>
      <c r="D433"/>
      <c r="E433"/>
      <c r="F433"/>
      <c r="G433"/>
      <c r="H433"/>
    </row>
    <row r="434" spans="1:8" x14ac:dyDescent="0.35">
      <c r="A434"/>
      <c r="B434"/>
      <c r="C434"/>
      <c r="D434"/>
      <c r="E434"/>
      <c r="F434"/>
      <c r="G434"/>
      <c r="H434"/>
    </row>
    <row r="435" spans="1:8" x14ac:dyDescent="0.35">
      <c r="A435"/>
      <c r="B435"/>
      <c r="C435"/>
      <c r="D435"/>
      <c r="E435"/>
      <c r="F435"/>
      <c r="G435"/>
      <c r="H435"/>
    </row>
    <row r="436" spans="1:8" x14ac:dyDescent="0.35">
      <c r="A436"/>
      <c r="B436"/>
      <c r="C436"/>
      <c r="D436"/>
      <c r="E436"/>
      <c r="F436"/>
      <c r="G436"/>
      <c r="H436"/>
    </row>
    <row r="437" spans="1:8" x14ac:dyDescent="0.35">
      <c r="A437"/>
      <c r="B437"/>
      <c r="C437"/>
      <c r="D437"/>
      <c r="E437"/>
      <c r="F437"/>
      <c r="G437"/>
      <c r="H437"/>
    </row>
    <row r="438" spans="1:8" x14ac:dyDescent="0.35">
      <c r="A438"/>
      <c r="B438"/>
      <c r="C438"/>
      <c r="D438"/>
      <c r="E438"/>
      <c r="F438"/>
      <c r="G438"/>
      <c r="H438"/>
    </row>
    <row r="439" spans="1:8" x14ac:dyDescent="0.35">
      <c r="A439"/>
      <c r="B439"/>
      <c r="C439"/>
      <c r="D439"/>
      <c r="E439"/>
      <c r="F439"/>
      <c r="G439"/>
      <c r="H439"/>
    </row>
    <row r="440" spans="1:8" x14ac:dyDescent="0.35">
      <c r="A440"/>
      <c r="B440"/>
      <c r="C440"/>
      <c r="D440"/>
      <c r="E440"/>
      <c r="F440"/>
      <c r="G440"/>
      <c r="H440"/>
    </row>
    <row r="441" spans="1:8" x14ac:dyDescent="0.35">
      <c r="A441"/>
      <c r="B441"/>
      <c r="C441"/>
      <c r="D441"/>
      <c r="E441"/>
      <c r="F441"/>
      <c r="G441"/>
      <c r="H441"/>
    </row>
    <row r="442" spans="1:8" x14ac:dyDescent="0.35">
      <c r="A442"/>
      <c r="B442"/>
      <c r="C442"/>
      <c r="D442"/>
      <c r="E442"/>
      <c r="F442"/>
      <c r="G442"/>
      <c r="H442"/>
    </row>
    <row r="443" spans="1:8" x14ac:dyDescent="0.35">
      <c r="A443"/>
      <c r="B443"/>
      <c r="C443"/>
      <c r="D443"/>
      <c r="E443"/>
      <c r="F443"/>
      <c r="G443"/>
      <c r="H443"/>
    </row>
    <row r="444" spans="1:8" x14ac:dyDescent="0.35">
      <c r="A444"/>
      <c r="B444"/>
      <c r="C444"/>
      <c r="D444"/>
      <c r="E444"/>
      <c r="F444"/>
      <c r="G444"/>
      <c r="H444"/>
    </row>
    <row r="445" spans="1:8" x14ac:dyDescent="0.35">
      <c r="A445"/>
      <c r="B445"/>
      <c r="C445"/>
      <c r="D445"/>
      <c r="E445"/>
      <c r="F445"/>
      <c r="G445"/>
      <c r="H445"/>
    </row>
    <row r="446" spans="1:8" x14ac:dyDescent="0.35">
      <c r="A446"/>
      <c r="B446"/>
      <c r="C446"/>
      <c r="D446"/>
      <c r="E446"/>
      <c r="F446"/>
      <c r="G446"/>
      <c r="H446"/>
    </row>
    <row r="447" spans="1:8" x14ac:dyDescent="0.35">
      <c r="A447"/>
      <c r="B447"/>
      <c r="C447"/>
      <c r="D447"/>
      <c r="E447"/>
      <c r="F447"/>
      <c r="G447"/>
      <c r="H447"/>
    </row>
    <row r="448" spans="1:8" x14ac:dyDescent="0.35">
      <c r="A448"/>
      <c r="B448"/>
      <c r="C448"/>
      <c r="D448"/>
      <c r="E448"/>
      <c r="F448"/>
      <c r="G448"/>
      <c r="H448"/>
    </row>
    <row r="449" spans="1:8" x14ac:dyDescent="0.35">
      <c r="A449"/>
      <c r="B449"/>
      <c r="C449"/>
      <c r="D449"/>
      <c r="E449"/>
      <c r="F449"/>
      <c r="G449"/>
      <c r="H449"/>
    </row>
    <row r="450" spans="1:8" x14ac:dyDescent="0.35">
      <c r="A450"/>
      <c r="B450"/>
      <c r="C450"/>
      <c r="D450"/>
      <c r="E450"/>
      <c r="F450"/>
      <c r="G450"/>
      <c r="H450"/>
    </row>
    <row r="451" spans="1:8" x14ac:dyDescent="0.35">
      <c r="A451"/>
      <c r="B451"/>
      <c r="C451"/>
      <c r="D451"/>
      <c r="E451"/>
      <c r="F451"/>
      <c r="G451"/>
      <c r="H451"/>
    </row>
    <row r="452" spans="1:8" x14ac:dyDescent="0.35">
      <c r="A452"/>
      <c r="B452"/>
      <c r="C452"/>
      <c r="D452"/>
      <c r="E452"/>
      <c r="F452"/>
      <c r="G452"/>
      <c r="H452"/>
    </row>
    <row r="453" spans="1:8" x14ac:dyDescent="0.35">
      <c r="A453"/>
      <c r="B453"/>
      <c r="C453"/>
      <c r="D453"/>
      <c r="E453"/>
      <c r="F453"/>
      <c r="G453"/>
      <c r="H453"/>
    </row>
    <row r="454" spans="1:8" x14ac:dyDescent="0.35">
      <c r="A454"/>
      <c r="B454"/>
      <c r="C454"/>
      <c r="D454"/>
      <c r="E454"/>
      <c r="F454"/>
      <c r="G454"/>
      <c r="H454"/>
    </row>
    <row r="455" spans="1:8" x14ac:dyDescent="0.35">
      <c r="A455"/>
      <c r="B455"/>
      <c r="C455"/>
      <c r="D455"/>
      <c r="E455"/>
      <c r="F455"/>
      <c r="G455"/>
      <c r="H455"/>
    </row>
    <row r="456" spans="1:8" x14ac:dyDescent="0.35">
      <c r="A456"/>
      <c r="B456"/>
      <c r="C456"/>
      <c r="D456"/>
      <c r="E456"/>
      <c r="F456"/>
      <c r="G456"/>
      <c r="H456"/>
    </row>
    <row r="457" spans="1:8" x14ac:dyDescent="0.35">
      <c r="A457"/>
      <c r="B457"/>
      <c r="C457"/>
      <c r="D457"/>
      <c r="E457"/>
      <c r="F457"/>
      <c r="G457"/>
      <c r="H457"/>
    </row>
    <row r="458" spans="1:8" x14ac:dyDescent="0.35">
      <c r="A458"/>
      <c r="B458"/>
      <c r="C458"/>
      <c r="D458"/>
      <c r="E458"/>
      <c r="F458"/>
      <c r="G458"/>
      <c r="H458"/>
    </row>
    <row r="459" spans="1:8" x14ac:dyDescent="0.35">
      <c r="A459"/>
      <c r="B459"/>
      <c r="C459"/>
      <c r="D459"/>
      <c r="E459"/>
      <c r="F459"/>
      <c r="G459"/>
      <c r="H459"/>
    </row>
    <row r="460" spans="1:8" x14ac:dyDescent="0.35">
      <c r="A460"/>
      <c r="B460"/>
      <c r="C460"/>
      <c r="D460"/>
      <c r="E460"/>
      <c r="F460"/>
      <c r="G460"/>
      <c r="H460"/>
    </row>
    <row r="461" spans="1:8" x14ac:dyDescent="0.35">
      <c r="A461"/>
      <c r="B461"/>
      <c r="C461"/>
      <c r="D461"/>
      <c r="E461"/>
      <c r="F461"/>
      <c r="G461"/>
      <c r="H461"/>
    </row>
    <row r="462" spans="1:8" x14ac:dyDescent="0.35">
      <c r="A462"/>
      <c r="B462"/>
      <c r="C462"/>
      <c r="D462"/>
      <c r="E462"/>
      <c r="F462"/>
      <c r="G462"/>
      <c r="H462"/>
    </row>
    <row r="463" spans="1:8" x14ac:dyDescent="0.35">
      <c r="A463"/>
      <c r="B463"/>
      <c r="C463"/>
      <c r="D463"/>
      <c r="E463"/>
      <c r="F463"/>
      <c r="G463"/>
      <c r="H463"/>
    </row>
    <row r="464" spans="1:8" x14ac:dyDescent="0.35">
      <c r="A464"/>
      <c r="B464"/>
      <c r="C464"/>
      <c r="D464"/>
      <c r="E464"/>
      <c r="F464"/>
      <c r="G464"/>
      <c r="H464"/>
    </row>
    <row r="465" spans="1:8" x14ac:dyDescent="0.35">
      <c r="A465"/>
      <c r="B465"/>
      <c r="C465"/>
      <c r="D465"/>
      <c r="E465"/>
      <c r="F465"/>
      <c r="G465"/>
      <c r="H465"/>
    </row>
    <row r="466" spans="1:8" x14ac:dyDescent="0.35">
      <c r="A466"/>
      <c r="B466"/>
      <c r="C466"/>
      <c r="D466"/>
      <c r="E466"/>
      <c r="F466"/>
      <c r="G466"/>
      <c r="H466"/>
    </row>
    <row r="467" spans="1:8" x14ac:dyDescent="0.35">
      <c r="A467"/>
      <c r="B467"/>
      <c r="C467"/>
      <c r="D467"/>
      <c r="E467"/>
      <c r="F467"/>
      <c r="G467"/>
      <c r="H467"/>
    </row>
    <row r="468" spans="1:8" x14ac:dyDescent="0.35">
      <c r="A468"/>
      <c r="B468"/>
      <c r="C468"/>
      <c r="D468"/>
      <c r="E468"/>
      <c r="F468"/>
      <c r="G468"/>
      <c r="H468"/>
    </row>
    <row r="469" spans="1:8" x14ac:dyDescent="0.35">
      <c r="A469"/>
      <c r="B469"/>
      <c r="C469"/>
      <c r="D469"/>
      <c r="E469"/>
      <c r="F469"/>
      <c r="G469"/>
      <c r="H469"/>
    </row>
    <row r="470" spans="1:8" x14ac:dyDescent="0.35">
      <c r="A470"/>
      <c r="B470"/>
      <c r="C470"/>
      <c r="D470"/>
      <c r="E470"/>
      <c r="F470"/>
      <c r="G470"/>
      <c r="H470"/>
    </row>
    <row r="471" spans="1:8" x14ac:dyDescent="0.35">
      <c r="A471"/>
      <c r="B471"/>
      <c r="C471"/>
      <c r="D471"/>
      <c r="E471"/>
      <c r="F471"/>
      <c r="G471"/>
      <c r="H471"/>
    </row>
    <row r="472" spans="1:8" x14ac:dyDescent="0.35">
      <c r="A472"/>
      <c r="B472"/>
      <c r="C472"/>
      <c r="D472"/>
      <c r="E472"/>
      <c r="F472"/>
      <c r="G472"/>
      <c r="H472"/>
    </row>
    <row r="473" spans="1:8" x14ac:dyDescent="0.35">
      <c r="A473"/>
      <c r="B473"/>
      <c r="C473"/>
      <c r="D473"/>
      <c r="E473"/>
      <c r="F473"/>
      <c r="G473"/>
      <c r="H473"/>
    </row>
    <row r="474" spans="1:8" x14ac:dyDescent="0.35">
      <c r="A474"/>
      <c r="B474"/>
      <c r="C474"/>
      <c r="D474"/>
      <c r="E474"/>
      <c r="F474"/>
      <c r="G474"/>
      <c r="H474"/>
    </row>
    <row r="475" spans="1:8" x14ac:dyDescent="0.35">
      <c r="A475"/>
      <c r="B475"/>
      <c r="C475"/>
      <c r="D475"/>
      <c r="E475"/>
      <c r="F475"/>
      <c r="G475"/>
      <c r="H475"/>
    </row>
    <row r="476" spans="1:8" x14ac:dyDescent="0.35">
      <c r="A476"/>
      <c r="B476"/>
      <c r="C476"/>
      <c r="D476"/>
      <c r="E476"/>
      <c r="F476"/>
      <c r="G476"/>
      <c r="H476"/>
    </row>
    <row r="477" spans="1:8" x14ac:dyDescent="0.35">
      <c r="A477"/>
      <c r="B477"/>
      <c r="C477"/>
      <c r="D477"/>
      <c r="E477"/>
      <c r="F477"/>
      <c r="G477"/>
      <c r="H477"/>
    </row>
    <row r="478" spans="1:8" x14ac:dyDescent="0.35">
      <c r="A478"/>
      <c r="B478"/>
      <c r="C478"/>
      <c r="D478"/>
      <c r="E478"/>
      <c r="F478"/>
      <c r="G478"/>
      <c r="H478"/>
    </row>
    <row r="479" spans="1:8" x14ac:dyDescent="0.35">
      <c r="A479"/>
      <c r="B479"/>
      <c r="C479"/>
      <c r="D479"/>
      <c r="E479"/>
      <c r="F479"/>
      <c r="G479"/>
      <c r="H479"/>
    </row>
    <row r="480" spans="1:8" x14ac:dyDescent="0.35">
      <c r="A480"/>
      <c r="B480"/>
      <c r="C480"/>
      <c r="D480"/>
      <c r="E480"/>
      <c r="F480"/>
      <c r="G480"/>
      <c r="H480"/>
    </row>
    <row r="481" spans="1:8" x14ac:dyDescent="0.35">
      <c r="A481"/>
      <c r="B481"/>
      <c r="C481"/>
      <c r="D481"/>
      <c r="E481"/>
      <c r="F481"/>
      <c r="G481"/>
      <c r="H481"/>
    </row>
    <row r="482" spans="1:8" x14ac:dyDescent="0.35">
      <c r="A482"/>
      <c r="B482"/>
      <c r="C482"/>
      <c r="D482"/>
      <c r="E482"/>
      <c r="F482"/>
      <c r="G482"/>
      <c r="H482"/>
    </row>
    <row r="483" spans="1:8" x14ac:dyDescent="0.35">
      <c r="A483"/>
      <c r="B483"/>
      <c r="C483"/>
      <c r="D483"/>
      <c r="E483"/>
      <c r="F483"/>
      <c r="G483"/>
      <c r="H483"/>
    </row>
    <row r="484" spans="1:8" x14ac:dyDescent="0.35">
      <c r="A484"/>
      <c r="B484"/>
      <c r="C484"/>
      <c r="D484"/>
      <c r="E484"/>
      <c r="F484"/>
      <c r="G484"/>
      <c r="H484"/>
    </row>
    <row r="485" spans="1:8" x14ac:dyDescent="0.35">
      <c r="A485"/>
      <c r="B485"/>
      <c r="C485"/>
      <c r="D485"/>
      <c r="E485"/>
      <c r="F485"/>
      <c r="G485"/>
      <c r="H485"/>
    </row>
    <row r="486" spans="1:8" x14ac:dyDescent="0.35">
      <c r="A486"/>
      <c r="B486"/>
      <c r="C486"/>
      <c r="D486"/>
      <c r="E486"/>
      <c r="F486"/>
      <c r="G486"/>
      <c r="H486"/>
    </row>
    <row r="487" spans="1:8" x14ac:dyDescent="0.35">
      <c r="A487"/>
      <c r="B487"/>
      <c r="C487"/>
      <c r="D487"/>
      <c r="E487"/>
      <c r="F487"/>
      <c r="G487"/>
      <c r="H487"/>
    </row>
    <row r="488" spans="1:8" x14ac:dyDescent="0.35">
      <c r="A488"/>
      <c r="B488"/>
      <c r="C488"/>
      <c r="D488"/>
      <c r="E488"/>
      <c r="F488"/>
      <c r="G488"/>
      <c r="H488"/>
    </row>
    <row r="489" spans="1:8" x14ac:dyDescent="0.35">
      <c r="A489"/>
      <c r="B489"/>
      <c r="C489"/>
      <c r="D489"/>
      <c r="E489"/>
      <c r="F489"/>
      <c r="G489"/>
      <c r="H489"/>
    </row>
    <row r="490" spans="1:8" x14ac:dyDescent="0.35">
      <c r="A490"/>
      <c r="B490"/>
      <c r="C490"/>
      <c r="D490"/>
      <c r="E490"/>
      <c r="F490"/>
      <c r="G490"/>
      <c r="H490"/>
    </row>
    <row r="491" spans="1:8" x14ac:dyDescent="0.35">
      <c r="A491"/>
      <c r="B491"/>
      <c r="C491"/>
      <c r="D491"/>
      <c r="E491"/>
      <c r="F491"/>
      <c r="G491"/>
      <c r="H491"/>
    </row>
    <row r="492" spans="1:8" x14ac:dyDescent="0.35">
      <c r="A492"/>
      <c r="B492"/>
      <c r="C492"/>
      <c r="D492"/>
      <c r="E492"/>
      <c r="F492"/>
      <c r="G492"/>
      <c r="H492"/>
    </row>
    <row r="493" spans="1:8" x14ac:dyDescent="0.35">
      <c r="A493"/>
      <c r="B493"/>
      <c r="C493"/>
      <c r="D493"/>
      <c r="E493"/>
      <c r="F493"/>
      <c r="G493"/>
      <c r="H493"/>
    </row>
    <row r="494" spans="1:8" x14ac:dyDescent="0.35">
      <c r="A494"/>
      <c r="B494"/>
      <c r="C494"/>
      <c r="D494"/>
      <c r="E494"/>
      <c r="F494"/>
      <c r="G494"/>
      <c r="H494"/>
    </row>
    <row r="495" spans="1:8" x14ac:dyDescent="0.35">
      <c r="A495"/>
      <c r="B495"/>
      <c r="C495"/>
      <c r="D495"/>
      <c r="E495"/>
      <c r="F495"/>
      <c r="G495"/>
      <c r="H495"/>
    </row>
    <row r="496" spans="1:8" x14ac:dyDescent="0.35">
      <c r="A496"/>
      <c r="B496"/>
      <c r="C496"/>
      <c r="D496"/>
      <c r="E496"/>
      <c r="F496"/>
      <c r="G496"/>
      <c r="H496"/>
    </row>
    <row r="497" spans="1:8" x14ac:dyDescent="0.35">
      <c r="A497"/>
      <c r="B497"/>
      <c r="C497"/>
      <c r="D497"/>
      <c r="E497"/>
      <c r="F497"/>
      <c r="G497"/>
      <c r="H497"/>
    </row>
    <row r="498" spans="1:8" x14ac:dyDescent="0.35">
      <c r="A498"/>
      <c r="B498"/>
      <c r="C498"/>
      <c r="D498"/>
      <c r="E498"/>
      <c r="F498"/>
      <c r="G498"/>
      <c r="H498"/>
    </row>
    <row r="499" spans="1:8" x14ac:dyDescent="0.35">
      <c r="A499"/>
      <c r="B499"/>
      <c r="C499"/>
      <c r="D499"/>
      <c r="E499"/>
      <c r="F499"/>
      <c r="G499"/>
      <c r="H499"/>
    </row>
    <row r="500" spans="1:8" x14ac:dyDescent="0.35">
      <c r="A500"/>
      <c r="B500"/>
      <c r="C500"/>
      <c r="D500"/>
      <c r="E500"/>
      <c r="F500"/>
      <c r="G500"/>
      <c r="H500"/>
    </row>
    <row r="501" spans="1:8" x14ac:dyDescent="0.35">
      <c r="A501"/>
      <c r="B501"/>
      <c r="C501"/>
      <c r="D501"/>
      <c r="E501"/>
      <c r="F501"/>
      <c r="G501"/>
      <c r="H501"/>
    </row>
    <row r="502" spans="1:8" x14ac:dyDescent="0.35">
      <c r="A502"/>
      <c r="B502"/>
      <c r="C502"/>
      <c r="D502"/>
      <c r="E502"/>
      <c r="F502"/>
      <c r="G502"/>
      <c r="H502"/>
    </row>
    <row r="503" spans="1:8" x14ac:dyDescent="0.35">
      <c r="A503"/>
      <c r="B503"/>
      <c r="C503"/>
      <c r="D503"/>
      <c r="E503"/>
      <c r="F503"/>
      <c r="G503"/>
      <c r="H503"/>
    </row>
    <row r="504" spans="1:8" x14ac:dyDescent="0.35">
      <c r="A504"/>
      <c r="B504"/>
      <c r="C504"/>
      <c r="D504"/>
      <c r="E504"/>
      <c r="F504"/>
      <c r="G504"/>
      <c r="H504"/>
    </row>
    <row r="505" spans="1:8" x14ac:dyDescent="0.35">
      <c r="A505"/>
      <c r="B505"/>
      <c r="C505"/>
      <c r="D505"/>
      <c r="E505"/>
      <c r="F505"/>
      <c r="G505"/>
      <c r="H505"/>
    </row>
    <row r="506" spans="1:8" x14ac:dyDescent="0.35">
      <c r="A506"/>
      <c r="B506"/>
      <c r="C506"/>
      <c r="D506"/>
      <c r="E506"/>
      <c r="F506"/>
      <c r="G506"/>
      <c r="H506"/>
    </row>
    <row r="507" spans="1:8" x14ac:dyDescent="0.35">
      <c r="A507"/>
      <c r="B507"/>
      <c r="C507"/>
      <c r="D507"/>
      <c r="E507"/>
      <c r="F507"/>
      <c r="G507"/>
      <c r="H507"/>
    </row>
    <row r="508" spans="1:8" x14ac:dyDescent="0.35">
      <c r="A508"/>
      <c r="B508"/>
      <c r="C508"/>
      <c r="D508"/>
      <c r="E508"/>
      <c r="F508"/>
      <c r="G508"/>
      <c r="H508"/>
    </row>
    <row r="509" spans="1:8" x14ac:dyDescent="0.35">
      <c r="A509"/>
      <c r="B509"/>
      <c r="C509"/>
      <c r="D509"/>
      <c r="E509"/>
      <c r="F509"/>
      <c r="G509"/>
      <c r="H509"/>
    </row>
    <row r="510" spans="1:8" x14ac:dyDescent="0.35">
      <c r="A510"/>
      <c r="B510"/>
      <c r="C510"/>
      <c r="D510"/>
      <c r="E510"/>
      <c r="F510"/>
      <c r="G510"/>
      <c r="H510"/>
    </row>
    <row r="511" spans="1:8" x14ac:dyDescent="0.35">
      <c r="A511"/>
      <c r="B511"/>
      <c r="C511"/>
      <c r="D511"/>
      <c r="E511"/>
      <c r="F511"/>
      <c r="G511"/>
      <c r="H511"/>
    </row>
    <row r="512" spans="1:8" x14ac:dyDescent="0.35">
      <c r="A512"/>
      <c r="B512"/>
      <c r="C512"/>
      <c r="D512"/>
      <c r="E512"/>
      <c r="F512"/>
      <c r="G512"/>
      <c r="H512"/>
    </row>
    <row r="513" spans="1:8" x14ac:dyDescent="0.35">
      <c r="A513"/>
      <c r="B513"/>
      <c r="C513"/>
      <c r="D513"/>
      <c r="E513"/>
      <c r="F513"/>
      <c r="G513"/>
      <c r="H513"/>
    </row>
    <row r="514" spans="1:8" x14ac:dyDescent="0.35">
      <c r="A514"/>
      <c r="B514"/>
      <c r="C514"/>
      <c r="D514"/>
      <c r="E514"/>
      <c r="F514"/>
      <c r="G514"/>
      <c r="H514"/>
    </row>
    <row r="515" spans="1:8" x14ac:dyDescent="0.35">
      <c r="A515"/>
      <c r="B515"/>
      <c r="C515"/>
      <c r="D515"/>
      <c r="E515"/>
      <c r="F515"/>
      <c r="G515"/>
      <c r="H515"/>
    </row>
    <row r="516" spans="1:8" x14ac:dyDescent="0.35">
      <c r="A516"/>
      <c r="B516"/>
      <c r="C516"/>
      <c r="D516"/>
      <c r="E516"/>
      <c r="F516"/>
      <c r="G516"/>
      <c r="H516"/>
    </row>
    <row r="517" spans="1:8" x14ac:dyDescent="0.35">
      <c r="A517"/>
      <c r="B517"/>
      <c r="C517"/>
      <c r="D517"/>
      <c r="E517"/>
      <c r="F517"/>
      <c r="G517"/>
      <c r="H517"/>
    </row>
    <row r="518" spans="1:8" x14ac:dyDescent="0.35">
      <c r="A518"/>
      <c r="B518"/>
      <c r="C518"/>
      <c r="D518"/>
      <c r="E518"/>
      <c r="F518"/>
      <c r="G518"/>
      <c r="H518"/>
    </row>
    <row r="519" spans="1:8" x14ac:dyDescent="0.35">
      <c r="A519"/>
      <c r="B519"/>
      <c r="C519"/>
      <c r="D519"/>
      <c r="E519"/>
      <c r="F519"/>
      <c r="G519"/>
      <c r="H519"/>
    </row>
    <row r="520" spans="1:8" x14ac:dyDescent="0.35">
      <c r="A520"/>
      <c r="B520"/>
      <c r="C520"/>
      <c r="D520"/>
      <c r="E520"/>
      <c r="F520"/>
      <c r="G520"/>
      <c r="H520"/>
    </row>
    <row r="521" spans="1:8" x14ac:dyDescent="0.35">
      <c r="A521"/>
      <c r="B521"/>
      <c r="C521"/>
      <c r="D521"/>
      <c r="E521"/>
      <c r="F521"/>
      <c r="G521"/>
      <c r="H521"/>
    </row>
    <row r="522" spans="1:8" x14ac:dyDescent="0.35">
      <c r="A522"/>
      <c r="B522"/>
      <c r="C522"/>
      <c r="D522"/>
      <c r="E522"/>
      <c r="F522"/>
      <c r="G522"/>
      <c r="H522"/>
    </row>
    <row r="523" spans="1:8" x14ac:dyDescent="0.35">
      <c r="A523"/>
      <c r="B523"/>
      <c r="C523"/>
      <c r="D523"/>
      <c r="E523"/>
      <c r="F523"/>
      <c r="G523"/>
      <c r="H523"/>
    </row>
    <row r="524" spans="1:8" x14ac:dyDescent="0.35">
      <c r="A524"/>
      <c r="B524"/>
      <c r="C524"/>
      <c r="D524"/>
      <c r="E524"/>
      <c r="F524"/>
      <c r="G524"/>
      <c r="H524"/>
    </row>
    <row r="525" spans="1:8" x14ac:dyDescent="0.35">
      <c r="A525"/>
      <c r="B525"/>
      <c r="C525"/>
      <c r="D525"/>
      <c r="E525"/>
      <c r="F525"/>
      <c r="G525"/>
      <c r="H525"/>
    </row>
    <row r="526" spans="1:8" x14ac:dyDescent="0.35">
      <c r="A526"/>
      <c r="B526"/>
      <c r="C526"/>
      <c r="D526"/>
      <c r="E526"/>
      <c r="F526"/>
      <c r="G526"/>
      <c r="H526"/>
    </row>
    <row r="527" spans="1:8" x14ac:dyDescent="0.35">
      <c r="A527"/>
      <c r="B527"/>
      <c r="C527"/>
      <c r="D527"/>
      <c r="E527"/>
      <c r="F527"/>
      <c r="G527"/>
      <c r="H527"/>
    </row>
    <row r="528" spans="1:8" x14ac:dyDescent="0.35">
      <c r="A528"/>
      <c r="B528"/>
      <c r="C528"/>
      <c r="D528"/>
      <c r="E528"/>
      <c r="F528"/>
      <c r="G528"/>
      <c r="H528"/>
    </row>
    <row r="529" spans="1:8" x14ac:dyDescent="0.35">
      <c r="A529"/>
      <c r="B529"/>
      <c r="C529"/>
      <c r="D529"/>
      <c r="E529"/>
      <c r="F529"/>
      <c r="G529"/>
      <c r="H529"/>
    </row>
    <row r="530" spans="1:8" x14ac:dyDescent="0.35">
      <c r="A530"/>
      <c r="B530"/>
      <c r="C530"/>
      <c r="D530"/>
      <c r="E530"/>
      <c r="F530"/>
      <c r="G530"/>
      <c r="H530"/>
    </row>
    <row r="531" spans="1:8" x14ac:dyDescent="0.35">
      <c r="A531"/>
      <c r="B531"/>
      <c r="C531"/>
      <c r="D531"/>
      <c r="E531"/>
      <c r="F531"/>
      <c r="G531"/>
      <c r="H531"/>
    </row>
    <row r="532" spans="1:8" x14ac:dyDescent="0.35">
      <c r="A532"/>
      <c r="B532"/>
      <c r="C532"/>
      <c r="D532"/>
      <c r="E532"/>
      <c r="F532"/>
      <c r="G532"/>
      <c r="H532"/>
    </row>
    <row r="533" spans="1:8" x14ac:dyDescent="0.35">
      <c r="A533"/>
      <c r="B533"/>
      <c r="C533"/>
      <c r="D533"/>
      <c r="E533"/>
      <c r="F533"/>
      <c r="G533"/>
      <c r="H533"/>
    </row>
    <row r="534" spans="1:8" x14ac:dyDescent="0.35">
      <c r="A534"/>
      <c r="B534"/>
      <c r="C534"/>
      <c r="D534"/>
      <c r="E534"/>
      <c r="F534"/>
      <c r="G534"/>
      <c r="H534"/>
    </row>
    <row r="535" spans="1:8" x14ac:dyDescent="0.35">
      <c r="A535"/>
      <c r="B535"/>
      <c r="C535"/>
      <c r="D535"/>
      <c r="E535"/>
      <c r="F535"/>
      <c r="G535"/>
      <c r="H535"/>
    </row>
    <row r="536" spans="1:8" x14ac:dyDescent="0.35">
      <c r="A536"/>
      <c r="B536"/>
      <c r="C536"/>
      <c r="D536"/>
      <c r="E536"/>
      <c r="F536"/>
      <c r="G536"/>
      <c r="H536"/>
    </row>
    <row r="537" spans="1:8" x14ac:dyDescent="0.35">
      <c r="A537"/>
      <c r="B537"/>
      <c r="C537"/>
      <c r="D537"/>
      <c r="E537"/>
      <c r="F537"/>
      <c r="G537"/>
      <c r="H537"/>
    </row>
    <row r="538" spans="1:8" x14ac:dyDescent="0.35">
      <c r="A538"/>
      <c r="B538"/>
      <c r="C538"/>
      <c r="D538"/>
      <c r="E538"/>
      <c r="F538"/>
      <c r="G538"/>
      <c r="H538"/>
    </row>
    <row r="539" spans="1:8" x14ac:dyDescent="0.35">
      <c r="A539"/>
      <c r="B539"/>
      <c r="C539"/>
      <c r="D539"/>
      <c r="E539"/>
      <c r="F539"/>
      <c r="G539"/>
      <c r="H539"/>
    </row>
    <row r="540" spans="1:8" x14ac:dyDescent="0.35">
      <c r="A540"/>
      <c r="B540"/>
      <c r="C540"/>
      <c r="D540"/>
      <c r="E540"/>
      <c r="F540"/>
      <c r="G540"/>
      <c r="H540"/>
    </row>
    <row r="541" spans="1:8" x14ac:dyDescent="0.35">
      <c r="A541"/>
      <c r="B541"/>
      <c r="C541"/>
      <c r="D541"/>
      <c r="E541"/>
      <c r="F541"/>
      <c r="G541"/>
      <c r="H541"/>
    </row>
    <row r="542" spans="1:8" x14ac:dyDescent="0.35">
      <c r="A542"/>
      <c r="B542"/>
      <c r="C542"/>
      <c r="D542"/>
      <c r="E542"/>
      <c r="F542"/>
      <c r="G542"/>
      <c r="H542"/>
    </row>
    <row r="543" spans="1:8" x14ac:dyDescent="0.35">
      <c r="A543"/>
      <c r="B543"/>
      <c r="C543"/>
      <c r="D543"/>
      <c r="E543"/>
      <c r="F543"/>
      <c r="G543"/>
      <c r="H543"/>
    </row>
    <row r="544" spans="1:8" x14ac:dyDescent="0.35">
      <c r="A544"/>
      <c r="B544"/>
      <c r="C544"/>
      <c r="D544"/>
      <c r="E544"/>
      <c r="F544"/>
      <c r="G544"/>
      <c r="H544"/>
    </row>
    <row r="545" spans="1:8" x14ac:dyDescent="0.35">
      <c r="A545"/>
      <c r="B545"/>
      <c r="C545"/>
      <c r="D545"/>
      <c r="E545"/>
      <c r="F545"/>
      <c r="G545"/>
      <c r="H545"/>
    </row>
    <row r="546" spans="1:8" x14ac:dyDescent="0.35">
      <c r="A546"/>
      <c r="B546"/>
      <c r="C546"/>
      <c r="D546"/>
      <c r="E546"/>
      <c r="F546"/>
      <c r="G546"/>
      <c r="H546"/>
    </row>
    <row r="547" spans="1:8" x14ac:dyDescent="0.35">
      <c r="A547"/>
      <c r="B547"/>
      <c r="C547"/>
      <c r="D547"/>
      <c r="E547"/>
      <c r="F547"/>
      <c r="G547"/>
      <c r="H547"/>
    </row>
    <row r="548" spans="1:8" x14ac:dyDescent="0.35">
      <c r="A548"/>
      <c r="B548"/>
      <c r="C548"/>
      <c r="D548"/>
      <c r="E548"/>
      <c r="F548"/>
      <c r="G548"/>
      <c r="H548"/>
    </row>
    <row r="549" spans="1:8" x14ac:dyDescent="0.35">
      <c r="A549"/>
      <c r="B549"/>
      <c r="C549"/>
      <c r="D549"/>
      <c r="E549"/>
      <c r="F549"/>
      <c r="G549"/>
      <c r="H549"/>
    </row>
    <row r="550" spans="1:8" x14ac:dyDescent="0.35">
      <c r="A550"/>
      <c r="B550"/>
      <c r="C550"/>
      <c r="D550"/>
      <c r="E550"/>
      <c r="F550"/>
      <c r="G550"/>
      <c r="H550"/>
    </row>
    <row r="551" spans="1:8" x14ac:dyDescent="0.35">
      <c r="A551"/>
      <c r="B551"/>
      <c r="C551"/>
      <c r="D551"/>
      <c r="E551"/>
      <c r="F551"/>
      <c r="G551"/>
      <c r="H551"/>
    </row>
    <row r="552" spans="1:8" x14ac:dyDescent="0.35">
      <c r="A552"/>
      <c r="B552"/>
      <c r="C552"/>
      <c r="D552"/>
      <c r="E552"/>
      <c r="F552"/>
      <c r="G552"/>
      <c r="H552"/>
    </row>
    <row r="553" spans="1:8" x14ac:dyDescent="0.35">
      <c r="A553"/>
      <c r="B553"/>
      <c r="C553"/>
      <c r="D553"/>
      <c r="E553"/>
      <c r="F553"/>
      <c r="G553"/>
      <c r="H553"/>
    </row>
    <row r="554" spans="1:8" x14ac:dyDescent="0.35">
      <c r="A554"/>
      <c r="B554"/>
      <c r="C554"/>
      <c r="D554"/>
      <c r="E554"/>
      <c r="F554"/>
      <c r="G554"/>
      <c r="H554"/>
    </row>
    <row r="555" spans="1:8" x14ac:dyDescent="0.35">
      <c r="A555"/>
      <c r="B555"/>
      <c r="C555"/>
      <c r="D555"/>
      <c r="E555"/>
      <c r="F555"/>
      <c r="G555"/>
      <c r="H555"/>
    </row>
    <row r="556" spans="1:8" x14ac:dyDescent="0.35">
      <c r="A556"/>
      <c r="B556"/>
      <c r="C556"/>
      <c r="D556"/>
      <c r="E556"/>
      <c r="F556"/>
      <c r="G556"/>
      <c r="H556"/>
    </row>
    <row r="557" spans="1:8" x14ac:dyDescent="0.35">
      <c r="A557"/>
      <c r="B557"/>
      <c r="C557"/>
      <c r="D557"/>
      <c r="E557"/>
      <c r="F557"/>
      <c r="G557"/>
      <c r="H557"/>
    </row>
    <row r="558" spans="1:8" x14ac:dyDescent="0.35">
      <c r="A558"/>
      <c r="B558"/>
      <c r="C558"/>
      <c r="D558"/>
      <c r="E558"/>
      <c r="F558"/>
      <c r="G558"/>
      <c r="H558"/>
    </row>
    <row r="559" spans="1:8" x14ac:dyDescent="0.35">
      <c r="A559"/>
      <c r="B559"/>
      <c r="C559"/>
      <c r="D559"/>
      <c r="E559"/>
      <c r="F559"/>
      <c r="G559"/>
      <c r="H559"/>
    </row>
    <row r="560" spans="1:8" x14ac:dyDescent="0.35">
      <c r="A560"/>
      <c r="B560"/>
      <c r="C560"/>
      <c r="D560"/>
      <c r="E560"/>
      <c r="F560"/>
      <c r="G560"/>
      <c r="H560"/>
    </row>
    <row r="561" spans="1:8" x14ac:dyDescent="0.35">
      <c r="A561"/>
      <c r="B561"/>
      <c r="C561"/>
      <c r="D561"/>
      <c r="E561"/>
      <c r="F561"/>
      <c r="G561"/>
      <c r="H561"/>
    </row>
    <row r="562" spans="1:8" x14ac:dyDescent="0.35">
      <c r="A562"/>
      <c r="B562"/>
      <c r="C562"/>
      <c r="D562"/>
      <c r="E562"/>
      <c r="F562"/>
      <c r="G562"/>
      <c r="H562"/>
    </row>
    <row r="563" spans="1:8" x14ac:dyDescent="0.35">
      <c r="A563"/>
      <c r="B563"/>
      <c r="C563"/>
      <c r="D563"/>
      <c r="E563"/>
      <c r="F563"/>
      <c r="G563"/>
      <c r="H563"/>
    </row>
    <row r="564" spans="1:8" x14ac:dyDescent="0.35">
      <c r="A564"/>
      <c r="B564"/>
      <c r="C564"/>
      <c r="D564"/>
      <c r="E564"/>
      <c r="F564"/>
      <c r="G564"/>
      <c r="H564"/>
    </row>
    <row r="565" spans="1:8" x14ac:dyDescent="0.35">
      <c r="A565"/>
      <c r="B565"/>
      <c r="C565"/>
      <c r="D565"/>
      <c r="E565"/>
      <c r="F565"/>
      <c r="G565"/>
      <c r="H565"/>
    </row>
    <row r="566" spans="1:8" x14ac:dyDescent="0.35">
      <c r="A566"/>
      <c r="B566"/>
      <c r="C566"/>
      <c r="D566"/>
      <c r="E566"/>
      <c r="F566"/>
      <c r="G566"/>
      <c r="H566"/>
    </row>
    <row r="567" spans="1:8" x14ac:dyDescent="0.35">
      <c r="A567"/>
      <c r="B567"/>
      <c r="C567"/>
      <c r="D567"/>
      <c r="E567"/>
      <c r="F567"/>
      <c r="G567"/>
      <c r="H567"/>
    </row>
    <row r="568" spans="1:8" x14ac:dyDescent="0.35">
      <c r="A568"/>
      <c r="B568"/>
      <c r="C568"/>
      <c r="D568"/>
      <c r="E568"/>
      <c r="F568"/>
      <c r="G568"/>
      <c r="H568"/>
    </row>
    <row r="569" spans="1:8" x14ac:dyDescent="0.35">
      <c r="A569"/>
      <c r="B569"/>
      <c r="C569"/>
      <c r="D569"/>
      <c r="E569"/>
      <c r="F569"/>
      <c r="G569"/>
      <c r="H569"/>
    </row>
    <row r="570" spans="1:8" x14ac:dyDescent="0.35">
      <c r="A570"/>
      <c r="B570"/>
      <c r="C570"/>
      <c r="D570"/>
      <c r="E570"/>
      <c r="F570"/>
      <c r="G570"/>
      <c r="H570"/>
    </row>
    <row r="571" spans="1:8" x14ac:dyDescent="0.35">
      <c r="A571"/>
      <c r="B571"/>
      <c r="C571"/>
      <c r="D571"/>
      <c r="E571"/>
      <c r="F571"/>
      <c r="G571"/>
      <c r="H571"/>
    </row>
    <row r="572" spans="1:8" x14ac:dyDescent="0.35">
      <c r="A572"/>
      <c r="B572"/>
      <c r="C572"/>
      <c r="D572"/>
      <c r="E572"/>
      <c r="F572"/>
      <c r="G572"/>
      <c r="H572"/>
    </row>
    <row r="573" spans="1:8" x14ac:dyDescent="0.35">
      <c r="A573"/>
      <c r="B573"/>
      <c r="C573"/>
      <c r="D573"/>
      <c r="E573"/>
      <c r="F573"/>
      <c r="G573"/>
      <c r="H573"/>
    </row>
    <row r="574" spans="1:8" x14ac:dyDescent="0.35">
      <c r="A574"/>
      <c r="B574"/>
      <c r="C574"/>
      <c r="D574"/>
      <c r="E574"/>
      <c r="F574"/>
      <c r="G574"/>
      <c r="H574"/>
    </row>
    <row r="575" spans="1:8" x14ac:dyDescent="0.35">
      <c r="A575"/>
      <c r="B575"/>
      <c r="C575"/>
      <c r="D575"/>
      <c r="E575"/>
      <c r="F575"/>
      <c r="G575"/>
      <c r="H575"/>
    </row>
    <row r="576" spans="1:8" x14ac:dyDescent="0.35">
      <c r="A576"/>
      <c r="B576"/>
      <c r="C576"/>
      <c r="D576"/>
      <c r="E576"/>
      <c r="F576"/>
      <c r="G576"/>
      <c r="H576"/>
    </row>
    <row r="577" spans="1:8" x14ac:dyDescent="0.35">
      <c r="A577"/>
      <c r="B577"/>
      <c r="C577"/>
      <c r="D577"/>
      <c r="E577"/>
      <c r="F577"/>
      <c r="G577"/>
      <c r="H577"/>
    </row>
    <row r="578" spans="1:8" x14ac:dyDescent="0.35">
      <c r="A578"/>
      <c r="B578"/>
      <c r="C578"/>
      <c r="D578"/>
      <c r="E578"/>
      <c r="F578"/>
      <c r="G578"/>
      <c r="H578"/>
    </row>
    <row r="579" spans="1:8" x14ac:dyDescent="0.35">
      <c r="A579"/>
      <c r="B579"/>
      <c r="C579"/>
      <c r="D579"/>
      <c r="E579"/>
      <c r="F579"/>
      <c r="G579"/>
      <c r="H579"/>
    </row>
    <row r="580" spans="1:8" x14ac:dyDescent="0.35">
      <c r="A580"/>
      <c r="B580"/>
      <c r="C580"/>
      <c r="D580"/>
      <c r="E580"/>
      <c r="F580"/>
      <c r="G580"/>
      <c r="H580"/>
    </row>
    <row r="581" spans="1:8" x14ac:dyDescent="0.35">
      <c r="A581"/>
      <c r="B581"/>
      <c r="C581"/>
      <c r="D581"/>
      <c r="E581"/>
      <c r="F581"/>
      <c r="G581"/>
      <c r="H581"/>
    </row>
    <row r="582" spans="1:8" x14ac:dyDescent="0.35">
      <c r="A582"/>
      <c r="B582"/>
      <c r="C582"/>
      <c r="D582"/>
      <c r="E582"/>
      <c r="F582"/>
      <c r="G582"/>
      <c r="H582"/>
    </row>
    <row r="583" spans="1:8" x14ac:dyDescent="0.35">
      <c r="A583"/>
      <c r="B583"/>
      <c r="C583"/>
      <c r="D583"/>
      <c r="E583"/>
      <c r="F583"/>
      <c r="G583"/>
      <c r="H583"/>
    </row>
    <row r="584" spans="1:8" x14ac:dyDescent="0.35">
      <c r="A584"/>
      <c r="B584"/>
      <c r="C584"/>
      <c r="D584"/>
      <c r="E584"/>
      <c r="F584"/>
      <c r="G584"/>
      <c r="H584"/>
    </row>
    <row r="585" spans="1:8" x14ac:dyDescent="0.35">
      <c r="A585"/>
      <c r="B585"/>
      <c r="C585"/>
      <c r="D585"/>
      <c r="E585"/>
      <c r="F585"/>
      <c r="G585"/>
      <c r="H585"/>
    </row>
    <row r="586" spans="1:8" x14ac:dyDescent="0.35">
      <c r="A586"/>
      <c r="B586"/>
      <c r="C586"/>
      <c r="D586"/>
      <c r="E586"/>
      <c r="F586"/>
      <c r="G586"/>
      <c r="H586"/>
    </row>
    <row r="587" spans="1:8" x14ac:dyDescent="0.35">
      <c r="A587"/>
      <c r="B587"/>
      <c r="C587"/>
      <c r="D587"/>
      <c r="E587"/>
      <c r="F587"/>
      <c r="G587"/>
      <c r="H587"/>
    </row>
    <row r="588" spans="1:8" x14ac:dyDescent="0.35">
      <c r="A588"/>
      <c r="B588"/>
      <c r="C588"/>
      <c r="D588"/>
      <c r="E588"/>
      <c r="F588"/>
      <c r="G588"/>
      <c r="H588"/>
    </row>
    <row r="589" spans="1:8" x14ac:dyDescent="0.35">
      <c r="A589"/>
      <c r="B589"/>
      <c r="C589"/>
      <c r="D589"/>
      <c r="E589"/>
      <c r="F589"/>
      <c r="G589"/>
      <c r="H589"/>
    </row>
    <row r="590" spans="1:8" x14ac:dyDescent="0.35">
      <c r="A590"/>
      <c r="B590"/>
      <c r="C590"/>
      <c r="D590"/>
      <c r="E590"/>
      <c r="F590"/>
      <c r="G590"/>
      <c r="H590"/>
    </row>
    <row r="591" spans="1:8" x14ac:dyDescent="0.35">
      <c r="A591"/>
      <c r="B591"/>
      <c r="C591"/>
      <c r="D591"/>
      <c r="E591"/>
      <c r="F591"/>
      <c r="G591"/>
      <c r="H591"/>
    </row>
    <row r="592" spans="1:8" x14ac:dyDescent="0.35">
      <c r="A592"/>
      <c r="B592"/>
      <c r="C592"/>
      <c r="D592"/>
      <c r="E592"/>
      <c r="F592"/>
      <c r="G592"/>
      <c r="H592"/>
    </row>
    <row r="593" spans="1:8" x14ac:dyDescent="0.35">
      <c r="A593"/>
      <c r="B593"/>
      <c r="C593"/>
      <c r="D593"/>
      <c r="E593"/>
      <c r="F593"/>
      <c r="G593"/>
      <c r="H593"/>
    </row>
    <row r="594" spans="1:8" x14ac:dyDescent="0.35">
      <c r="A594"/>
      <c r="B594"/>
      <c r="C594"/>
      <c r="D594"/>
      <c r="E594"/>
      <c r="F594"/>
      <c r="G594"/>
      <c r="H594"/>
    </row>
    <row r="595" spans="1:8" x14ac:dyDescent="0.35">
      <c r="A595"/>
      <c r="B595"/>
      <c r="C595"/>
      <c r="D595"/>
      <c r="E595"/>
      <c r="F595"/>
      <c r="G595"/>
      <c r="H595"/>
    </row>
    <row r="596" spans="1:8" x14ac:dyDescent="0.35">
      <c r="A596"/>
      <c r="B596"/>
      <c r="C596"/>
      <c r="D596"/>
      <c r="E596"/>
      <c r="F596"/>
      <c r="G596"/>
      <c r="H596"/>
    </row>
    <row r="597" spans="1:8" x14ac:dyDescent="0.35">
      <c r="A597"/>
      <c r="B597"/>
      <c r="C597"/>
      <c r="D597"/>
      <c r="E597"/>
      <c r="F597"/>
      <c r="G597"/>
      <c r="H597"/>
    </row>
    <row r="598" spans="1:8" x14ac:dyDescent="0.35">
      <c r="A598"/>
      <c r="B598"/>
      <c r="C598"/>
      <c r="D598"/>
      <c r="E598"/>
      <c r="F598"/>
      <c r="G598"/>
      <c r="H598"/>
    </row>
    <row r="599" spans="1:8" x14ac:dyDescent="0.35">
      <c r="A599"/>
      <c r="B599"/>
      <c r="C599"/>
      <c r="D599"/>
      <c r="E599"/>
      <c r="F599"/>
      <c r="G599"/>
      <c r="H599"/>
    </row>
    <row r="600" spans="1:8" x14ac:dyDescent="0.35">
      <c r="A600"/>
      <c r="B600"/>
      <c r="C600"/>
      <c r="D600"/>
      <c r="E600"/>
      <c r="F600"/>
      <c r="G600"/>
      <c r="H600"/>
    </row>
    <row r="601" spans="1:8" x14ac:dyDescent="0.35">
      <c r="A601"/>
      <c r="B601"/>
      <c r="C601"/>
      <c r="D601"/>
      <c r="E601"/>
      <c r="F601"/>
      <c r="G601"/>
      <c r="H601"/>
    </row>
    <row r="602" spans="1:8" x14ac:dyDescent="0.35">
      <c r="A602"/>
      <c r="B602"/>
      <c r="C602"/>
      <c r="D602"/>
      <c r="E602"/>
      <c r="F602"/>
      <c r="G602"/>
      <c r="H602"/>
    </row>
    <row r="603" spans="1:8" x14ac:dyDescent="0.35">
      <c r="A603"/>
      <c r="B603"/>
      <c r="C603"/>
      <c r="D603"/>
      <c r="E603"/>
      <c r="F603"/>
      <c r="G603"/>
      <c r="H603"/>
    </row>
    <row r="604" spans="1:8" x14ac:dyDescent="0.35">
      <c r="A604"/>
      <c r="B604"/>
      <c r="C604"/>
      <c r="D604"/>
      <c r="E604"/>
      <c r="F604"/>
      <c r="G604"/>
      <c r="H604"/>
    </row>
    <row r="605" spans="1:8" x14ac:dyDescent="0.35">
      <c r="A605"/>
      <c r="B605"/>
      <c r="C605"/>
      <c r="D605"/>
      <c r="E605"/>
      <c r="F605"/>
      <c r="G605"/>
      <c r="H605"/>
    </row>
    <row r="606" spans="1:8" x14ac:dyDescent="0.35">
      <c r="A606"/>
      <c r="B606"/>
      <c r="C606"/>
      <c r="D606"/>
      <c r="E606"/>
      <c r="F606"/>
      <c r="G606"/>
      <c r="H606"/>
    </row>
    <row r="607" spans="1:8" x14ac:dyDescent="0.35">
      <c r="A607"/>
      <c r="B607"/>
      <c r="C607"/>
      <c r="D607"/>
      <c r="E607"/>
      <c r="F607"/>
      <c r="G607"/>
      <c r="H607"/>
    </row>
    <row r="608" spans="1:8" x14ac:dyDescent="0.35">
      <c r="A608"/>
      <c r="B608"/>
      <c r="C608"/>
      <c r="D608"/>
      <c r="E608"/>
      <c r="F608"/>
      <c r="G608"/>
      <c r="H608"/>
    </row>
    <row r="609" spans="1:8" x14ac:dyDescent="0.35">
      <c r="A609"/>
      <c r="B609"/>
      <c r="C609"/>
      <c r="D609"/>
      <c r="E609"/>
      <c r="F609"/>
      <c r="G609"/>
      <c r="H609"/>
    </row>
    <row r="610" spans="1:8" x14ac:dyDescent="0.35">
      <c r="A610"/>
      <c r="B610"/>
      <c r="C610"/>
      <c r="D610"/>
      <c r="E610"/>
      <c r="F610"/>
      <c r="G610"/>
      <c r="H610"/>
    </row>
    <row r="611" spans="1:8" x14ac:dyDescent="0.35">
      <c r="A611"/>
      <c r="B611"/>
      <c r="C611"/>
      <c r="D611"/>
      <c r="E611"/>
      <c r="F611"/>
      <c r="G611"/>
      <c r="H611"/>
    </row>
    <row r="612" spans="1:8" x14ac:dyDescent="0.35">
      <c r="A612"/>
      <c r="B612"/>
      <c r="C612"/>
      <c r="D612"/>
      <c r="E612"/>
      <c r="F612"/>
      <c r="G612"/>
      <c r="H612"/>
    </row>
    <row r="613" spans="1:8" x14ac:dyDescent="0.35">
      <c r="A613"/>
      <c r="B613"/>
      <c r="C613"/>
      <c r="D613"/>
      <c r="E613"/>
      <c r="F613"/>
      <c r="G613"/>
      <c r="H613"/>
    </row>
    <row r="614" spans="1:8" x14ac:dyDescent="0.35">
      <c r="A614"/>
      <c r="B614"/>
      <c r="C614"/>
      <c r="D614"/>
      <c r="E614"/>
      <c r="F614"/>
      <c r="G614"/>
      <c r="H614"/>
    </row>
    <row r="615" spans="1:8" x14ac:dyDescent="0.35">
      <c r="A615"/>
      <c r="B615"/>
      <c r="C615"/>
      <c r="D615"/>
      <c r="E615"/>
      <c r="F615"/>
      <c r="G615"/>
      <c r="H615"/>
    </row>
    <row r="616" spans="1:8" x14ac:dyDescent="0.35">
      <c r="A616"/>
      <c r="B616"/>
      <c r="C616"/>
      <c r="D616"/>
      <c r="E616"/>
      <c r="F616"/>
      <c r="G616"/>
      <c r="H616"/>
    </row>
    <row r="617" spans="1:8" x14ac:dyDescent="0.35">
      <c r="A617"/>
      <c r="B617"/>
      <c r="C617"/>
      <c r="D617"/>
      <c r="E617"/>
      <c r="F617"/>
      <c r="G617"/>
      <c r="H617"/>
    </row>
    <row r="618" spans="1:8" x14ac:dyDescent="0.35">
      <c r="A618"/>
      <c r="B618"/>
      <c r="C618"/>
      <c r="D618"/>
      <c r="E618"/>
      <c r="F618"/>
      <c r="G618"/>
      <c r="H618"/>
    </row>
    <row r="619" spans="1:8" x14ac:dyDescent="0.35">
      <c r="A619"/>
      <c r="B619"/>
      <c r="C619"/>
      <c r="D619"/>
      <c r="E619"/>
      <c r="F619"/>
      <c r="G619"/>
      <c r="H619"/>
    </row>
    <row r="620" spans="1:8" x14ac:dyDescent="0.35">
      <c r="A620"/>
      <c r="B620"/>
      <c r="C620"/>
      <c r="D620"/>
      <c r="E620"/>
      <c r="F620"/>
      <c r="G620"/>
      <c r="H620"/>
    </row>
    <row r="621" spans="1:8" x14ac:dyDescent="0.35">
      <c r="A621"/>
      <c r="B621"/>
      <c r="C621"/>
      <c r="D621"/>
      <c r="E621"/>
      <c r="F621"/>
      <c r="G621"/>
      <c r="H621"/>
    </row>
    <row r="622" spans="1:8" x14ac:dyDescent="0.35">
      <c r="A622"/>
      <c r="B622"/>
      <c r="C622"/>
      <c r="D622"/>
      <c r="E622"/>
      <c r="F622"/>
      <c r="G622"/>
      <c r="H622"/>
    </row>
    <row r="623" spans="1:8" x14ac:dyDescent="0.35">
      <c r="A623"/>
      <c r="B623"/>
      <c r="C623"/>
      <c r="D623"/>
      <c r="E623"/>
      <c r="F623"/>
      <c r="G623"/>
      <c r="H623"/>
    </row>
    <row r="624" spans="1:8" x14ac:dyDescent="0.35">
      <c r="A624"/>
      <c r="B624"/>
      <c r="C624"/>
      <c r="D624"/>
      <c r="E624"/>
      <c r="F624"/>
      <c r="G624"/>
      <c r="H624"/>
    </row>
    <row r="625" spans="1:8" x14ac:dyDescent="0.35">
      <c r="A625"/>
      <c r="B625"/>
      <c r="C625"/>
      <c r="D625"/>
      <c r="E625"/>
      <c r="F625"/>
      <c r="G625"/>
      <c r="H625"/>
    </row>
    <row r="626" spans="1:8" x14ac:dyDescent="0.35">
      <c r="A626"/>
      <c r="B626"/>
      <c r="C626"/>
      <c r="D626"/>
      <c r="E626"/>
      <c r="F626"/>
      <c r="G626"/>
      <c r="H626"/>
    </row>
    <row r="627" spans="1:8" x14ac:dyDescent="0.35">
      <c r="A627"/>
      <c r="B627"/>
      <c r="C627"/>
      <c r="D627"/>
      <c r="E627"/>
      <c r="F627"/>
      <c r="G627"/>
      <c r="H627"/>
    </row>
    <row r="628" spans="1:8" x14ac:dyDescent="0.35">
      <c r="A628"/>
      <c r="B628"/>
      <c r="C628"/>
      <c r="D628"/>
      <c r="E628"/>
      <c r="F628"/>
      <c r="G628"/>
      <c r="H628"/>
    </row>
    <row r="629" spans="1:8" x14ac:dyDescent="0.35">
      <c r="A629"/>
      <c r="B629"/>
      <c r="C629"/>
      <c r="D629"/>
      <c r="E629"/>
      <c r="F629"/>
      <c r="G629"/>
      <c r="H629"/>
    </row>
    <row r="630" spans="1:8" x14ac:dyDescent="0.35">
      <c r="A630"/>
      <c r="B630"/>
      <c r="C630"/>
      <c r="D630"/>
      <c r="E630"/>
      <c r="F630"/>
      <c r="G630"/>
      <c r="H630"/>
    </row>
    <row r="631" spans="1:8" x14ac:dyDescent="0.35">
      <c r="A631"/>
      <c r="B631"/>
      <c r="C631"/>
      <c r="D631"/>
      <c r="E631"/>
      <c r="F631"/>
      <c r="G631"/>
      <c r="H631"/>
    </row>
    <row r="632" spans="1:8" x14ac:dyDescent="0.35">
      <c r="A632"/>
      <c r="B632"/>
      <c r="C632"/>
      <c r="D632"/>
      <c r="E632"/>
      <c r="F632"/>
      <c r="G632"/>
      <c r="H632"/>
    </row>
    <row r="633" spans="1:8" x14ac:dyDescent="0.35">
      <c r="A633"/>
      <c r="B633"/>
      <c r="C633"/>
      <c r="D633"/>
      <c r="E633"/>
      <c r="F633"/>
      <c r="G633"/>
      <c r="H633"/>
    </row>
    <row r="634" spans="1:8" x14ac:dyDescent="0.35">
      <c r="A634"/>
      <c r="B634"/>
      <c r="C634"/>
      <c r="D634"/>
      <c r="E634"/>
      <c r="F634"/>
      <c r="G634"/>
      <c r="H634"/>
    </row>
    <row r="635" spans="1:8" x14ac:dyDescent="0.35">
      <c r="A635"/>
      <c r="B635"/>
      <c r="C635"/>
      <c r="D635"/>
      <c r="E635"/>
      <c r="F635"/>
      <c r="G635"/>
      <c r="H635"/>
    </row>
    <row r="636" spans="1:8" x14ac:dyDescent="0.35">
      <c r="A636"/>
      <c r="B636"/>
      <c r="C636"/>
      <c r="D636"/>
      <c r="E636"/>
      <c r="F636"/>
      <c r="G636"/>
      <c r="H636"/>
    </row>
    <row r="637" spans="1:8" x14ac:dyDescent="0.35">
      <c r="A637"/>
      <c r="B637"/>
      <c r="C637"/>
      <c r="D637"/>
      <c r="E637"/>
      <c r="F637"/>
      <c r="G637"/>
      <c r="H637"/>
    </row>
    <row r="638" spans="1:8" x14ac:dyDescent="0.35">
      <c r="A638"/>
      <c r="B638"/>
      <c r="C638"/>
      <c r="D638"/>
      <c r="E638"/>
      <c r="F638"/>
      <c r="G638"/>
      <c r="H638"/>
    </row>
    <row r="639" spans="1:8" x14ac:dyDescent="0.35">
      <c r="A639"/>
      <c r="B639"/>
      <c r="C639"/>
      <c r="D639"/>
      <c r="E639"/>
      <c r="F639"/>
      <c r="G639"/>
      <c r="H639"/>
    </row>
    <row r="640" spans="1:8" x14ac:dyDescent="0.35">
      <c r="A640"/>
      <c r="B640"/>
      <c r="C640"/>
      <c r="D640"/>
      <c r="E640"/>
      <c r="F640"/>
      <c r="G640"/>
      <c r="H640"/>
    </row>
    <row r="641" spans="1:8" x14ac:dyDescent="0.35">
      <c r="A641"/>
      <c r="B641"/>
      <c r="C641"/>
      <c r="D641"/>
      <c r="E641"/>
      <c r="F641"/>
      <c r="G641"/>
      <c r="H641"/>
    </row>
    <row r="642" spans="1:8" x14ac:dyDescent="0.35">
      <c r="A642"/>
      <c r="B642"/>
      <c r="C642"/>
      <c r="D642"/>
      <c r="E642"/>
      <c r="F642"/>
      <c r="G642"/>
      <c r="H642"/>
    </row>
    <row r="643" spans="1:8" x14ac:dyDescent="0.35">
      <c r="A643"/>
      <c r="B643"/>
      <c r="C643"/>
      <c r="D643"/>
      <c r="E643"/>
      <c r="F643"/>
      <c r="G643"/>
      <c r="H643"/>
    </row>
    <row r="644" spans="1:8" x14ac:dyDescent="0.35">
      <c r="A644"/>
      <c r="B644"/>
      <c r="C644"/>
      <c r="D644"/>
      <c r="E644"/>
      <c r="F644"/>
      <c r="G644"/>
      <c r="H644"/>
    </row>
    <row r="645" spans="1:8" x14ac:dyDescent="0.35">
      <c r="A645"/>
      <c r="B645"/>
      <c r="C645"/>
      <c r="D645"/>
      <c r="E645"/>
      <c r="F645"/>
      <c r="G645"/>
      <c r="H645"/>
    </row>
    <row r="646" spans="1:8" x14ac:dyDescent="0.35">
      <c r="A646"/>
      <c r="B646"/>
      <c r="C646"/>
      <c r="D646"/>
      <c r="E646"/>
      <c r="F646"/>
      <c r="G646"/>
      <c r="H646"/>
    </row>
    <row r="647" spans="1:8" x14ac:dyDescent="0.35">
      <c r="A647"/>
      <c r="B647"/>
      <c r="C647"/>
      <c r="D647"/>
      <c r="E647"/>
      <c r="F647"/>
      <c r="G647"/>
      <c r="H647"/>
    </row>
    <row r="648" spans="1:8" x14ac:dyDescent="0.35">
      <c r="A648"/>
      <c r="B648"/>
      <c r="C648"/>
      <c r="D648"/>
      <c r="E648"/>
      <c r="F648"/>
      <c r="G648"/>
      <c r="H648"/>
    </row>
    <row r="649" spans="1:8" x14ac:dyDescent="0.35">
      <c r="A649"/>
      <c r="B649"/>
      <c r="C649"/>
      <c r="D649"/>
      <c r="E649"/>
      <c r="F649"/>
      <c r="G649"/>
      <c r="H649"/>
    </row>
    <row r="650" spans="1:8" x14ac:dyDescent="0.35">
      <c r="A650"/>
      <c r="B650"/>
      <c r="C650"/>
      <c r="D650"/>
      <c r="E650"/>
      <c r="F650"/>
      <c r="G650"/>
      <c r="H650"/>
    </row>
    <row r="651" spans="1:8" x14ac:dyDescent="0.35">
      <c r="A651"/>
      <c r="B651"/>
      <c r="C651"/>
      <c r="D651"/>
      <c r="E651"/>
      <c r="F651"/>
      <c r="G651"/>
      <c r="H651"/>
    </row>
    <row r="652" spans="1:8" x14ac:dyDescent="0.35">
      <c r="A652"/>
      <c r="B652"/>
      <c r="C652"/>
      <c r="D652"/>
      <c r="E652"/>
      <c r="F652"/>
      <c r="G652"/>
      <c r="H652"/>
    </row>
    <row r="653" spans="1:8" x14ac:dyDescent="0.35">
      <c r="A653"/>
      <c r="B653"/>
      <c r="C653"/>
      <c r="D653"/>
      <c r="E653"/>
      <c r="F653"/>
      <c r="G653"/>
      <c r="H653"/>
    </row>
    <row r="654" spans="1:8" x14ac:dyDescent="0.35">
      <c r="A654"/>
      <c r="B654"/>
      <c r="C654"/>
      <c r="D654"/>
      <c r="E654"/>
      <c r="F654"/>
      <c r="G654"/>
      <c r="H654"/>
    </row>
    <row r="655" spans="1:8" x14ac:dyDescent="0.35">
      <c r="A655"/>
      <c r="B655"/>
      <c r="C655"/>
      <c r="D655"/>
      <c r="E655"/>
      <c r="F655"/>
      <c r="G655"/>
      <c r="H655"/>
    </row>
    <row r="656" spans="1:8" x14ac:dyDescent="0.35">
      <c r="A656"/>
      <c r="B656"/>
      <c r="C656"/>
      <c r="D656"/>
      <c r="E656"/>
      <c r="F656"/>
      <c r="G656"/>
      <c r="H656"/>
    </row>
    <row r="657" spans="1:8" x14ac:dyDescent="0.35">
      <c r="A657"/>
      <c r="B657"/>
      <c r="C657"/>
      <c r="D657"/>
      <c r="E657"/>
      <c r="F657"/>
      <c r="G657"/>
      <c r="H657"/>
    </row>
    <row r="658" spans="1:8" x14ac:dyDescent="0.35">
      <c r="A658"/>
      <c r="B658"/>
      <c r="C658"/>
      <c r="D658"/>
      <c r="E658"/>
      <c r="F658"/>
      <c r="G658"/>
      <c r="H658"/>
    </row>
    <row r="659" spans="1:8" x14ac:dyDescent="0.35">
      <c r="A659"/>
      <c r="B659"/>
      <c r="C659"/>
      <c r="D659"/>
      <c r="E659"/>
      <c r="F659"/>
      <c r="G659"/>
      <c r="H659"/>
    </row>
    <row r="660" spans="1:8" x14ac:dyDescent="0.35">
      <c r="A660"/>
      <c r="B660"/>
      <c r="C660"/>
      <c r="D660"/>
      <c r="E660"/>
      <c r="F660"/>
      <c r="G660"/>
      <c r="H660"/>
    </row>
    <row r="661" spans="1:8" x14ac:dyDescent="0.35">
      <c r="A661"/>
      <c r="B661"/>
      <c r="C661"/>
      <c r="D661"/>
      <c r="E661"/>
      <c r="F661"/>
      <c r="G661"/>
      <c r="H661"/>
    </row>
    <row r="662" spans="1:8" x14ac:dyDescent="0.35">
      <c r="A662"/>
      <c r="B662"/>
      <c r="C662"/>
      <c r="D662"/>
      <c r="E662"/>
      <c r="F662"/>
      <c r="G662"/>
      <c r="H662"/>
    </row>
    <row r="663" spans="1:8" x14ac:dyDescent="0.35">
      <c r="A663"/>
      <c r="B663"/>
      <c r="C663"/>
      <c r="D663"/>
      <c r="E663"/>
      <c r="F663"/>
      <c r="G663"/>
      <c r="H663"/>
    </row>
    <row r="664" spans="1:8" x14ac:dyDescent="0.35">
      <c r="A664"/>
      <c r="B664"/>
      <c r="C664"/>
      <c r="D664"/>
      <c r="E664"/>
      <c r="F664"/>
      <c r="G664"/>
      <c r="H664"/>
    </row>
    <row r="665" spans="1:8" x14ac:dyDescent="0.35">
      <c r="A665"/>
      <c r="B665"/>
      <c r="C665"/>
      <c r="D665"/>
      <c r="E665"/>
      <c r="F665"/>
      <c r="G665"/>
      <c r="H665"/>
    </row>
    <row r="666" spans="1:8" x14ac:dyDescent="0.35">
      <c r="A666"/>
      <c r="B666"/>
      <c r="C666"/>
      <c r="D666"/>
      <c r="E666"/>
      <c r="F666"/>
      <c r="G666"/>
      <c r="H666"/>
    </row>
    <row r="667" spans="1:8" x14ac:dyDescent="0.35">
      <c r="A667"/>
      <c r="B667"/>
      <c r="C667"/>
      <c r="D667"/>
      <c r="E667"/>
      <c r="F667"/>
      <c r="G667"/>
      <c r="H667"/>
    </row>
    <row r="668" spans="1:8" x14ac:dyDescent="0.35">
      <c r="A668"/>
      <c r="B668"/>
      <c r="C668"/>
      <c r="D668"/>
      <c r="E668"/>
      <c r="F668"/>
      <c r="G668"/>
      <c r="H668"/>
    </row>
    <row r="669" spans="1:8" x14ac:dyDescent="0.35">
      <c r="A669"/>
      <c r="B669"/>
      <c r="C669"/>
      <c r="D669"/>
      <c r="E669"/>
      <c r="F669"/>
      <c r="G669"/>
      <c r="H669"/>
    </row>
    <row r="670" spans="1:8" x14ac:dyDescent="0.35">
      <c r="A670"/>
      <c r="B670"/>
      <c r="C670"/>
      <c r="D670"/>
      <c r="E670"/>
      <c r="F670"/>
      <c r="G670"/>
      <c r="H670"/>
    </row>
    <row r="671" spans="1:8" x14ac:dyDescent="0.35">
      <c r="A671"/>
      <c r="B671"/>
      <c r="C671"/>
      <c r="D671"/>
      <c r="E671"/>
      <c r="F671"/>
      <c r="G671"/>
      <c r="H671"/>
    </row>
    <row r="672" spans="1:8" x14ac:dyDescent="0.35">
      <c r="A672"/>
      <c r="B672"/>
      <c r="C672"/>
      <c r="D672"/>
      <c r="E672"/>
      <c r="F672"/>
      <c r="G672"/>
      <c r="H672"/>
    </row>
    <row r="673" spans="1:8" x14ac:dyDescent="0.35">
      <c r="A673"/>
      <c r="B673"/>
      <c r="C673"/>
      <c r="D673"/>
      <c r="E673"/>
      <c r="F673"/>
      <c r="G673"/>
      <c r="H673"/>
    </row>
    <row r="674" spans="1:8" x14ac:dyDescent="0.35">
      <c r="A674"/>
      <c r="B674"/>
      <c r="C674"/>
      <c r="D674"/>
      <c r="E674"/>
      <c r="F674"/>
      <c r="G674"/>
      <c r="H674"/>
    </row>
    <row r="675" spans="1:8" x14ac:dyDescent="0.35">
      <c r="A675"/>
      <c r="B675"/>
      <c r="C675"/>
      <c r="D675"/>
      <c r="E675"/>
      <c r="F675"/>
      <c r="G675"/>
      <c r="H675"/>
    </row>
    <row r="676" spans="1:8" x14ac:dyDescent="0.35">
      <c r="A676"/>
      <c r="B676"/>
      <c r="C676"/>
      <c r="D676"/>
      <c r="E676"/>
      <c r="F676"/>
      <c r="G676"/>
      <c r="H676"/>
    </row>
    <row r="677" spans="1:8" x14ac:dyDescent="0.35">
      <c r="A677"/>
      <c r="B677"/>
      <c r="C677"/>
      <c r="D677"/>
      <c r="E677"/>
      <c r="F677"/>
      <c r="G677"/>
      <c r="H677"/>
    </row>
    <row r="678" spans="1:8" x14ac:dyDescent="0.35">
      <c r="A678"/>
      <c r="B678"/>
      <c r="C678"/>
      <c r="D678"/>
      <c r="E678"/>
      <c r="F678"/>
      <c r="G678"/>
      <c r="H678"/>
    </row>
    <row r="679" spans="1:8" x14ac:dyDescent="0.35">
      <c r="A679"/>
      <c r="B679"/>
      <c r="C679"/>
      <c r="D679"/>
      <c r="E679"/>
      <c r="F679"/>
      <c r="G679"/>
      <c r="H679"/>
    </row>
    <row r="680" spans="1:8" x14ac:dyDescent="0.35">
      <c r="A680"/>
      <c r="B680"/>
      <c r="C680"/>
      <c r="D680"/>
      <c r="E680"/>
      <c r="F680"/>
      <c r="G680"/>
      <c r="H680"/>
    </row>
    <row r="681" spans="1:8" x14ac:dyDescent="0.35">
      <c r="A681"/>
      <c r="B681"/>
      <c r="C681"/>
      <c r="D681"/>
      <c r="E681"/>
      <c r="F681"/>
      <c r="G681"/>
      <c r="H681"/>
    </row>
    <row r="682" spans="1:8" x14ac:dyDescent="0.35">
      <c r="A682"/>
      <c r="B682"/>
      <c r="C682"/>
      <c r="D682"/>
      <c r="E682"/>
      <c r="F682"/>
      <c r="G682"/>
      <c r="H682"/>
    </row>
    <row r="683" spans="1:8" x14ac:dyDescent="0.35">
      <c r="A683"/>
      <c r="B683"/>
      <c r="C683"/>
      <c r="D683"/>
      <c r="E683"/>
      <c r="F683"/>
      <c r="G683"/>
      <c r="H683"/>
    </row>
    <row r="684" spans="1:8" x14ac:dyDescent="0.35">
      <c r="A684"/>
      <c r="B684"/>
      <c r="C684"/>
      <c r="D684"/>
      <c r="E684"/>
      <c r="F684"/>
      <c r="G684"/>
      <c r="H684"/>
    </row>
    <row r="685" spans="1:8" x14ac:dyDescent="0.35">
      <c r="A685"/>
      <c r="B685"/>
      <c r="C685"/>
      <c r="D685"/>
      <c r="E685"/>
      <c r="F685"/>
      <c r="G685"/>
      <c r="H685"/>
    </row>
    <row r="686" spans="1:8" x14ac:dyDescent="0.35">
      <c r="A686"/>
      <c r="B686"/>
      <c r="C686"/>
      <c r="D686"/>
      <c r="E686"/>
      <c r="F686"/>
      <c r="G686"/>
      <c r="H686"/>
    </row>
    <row r="687" spans="1:8" x14ac:dyDescent="0.35">
      <c r="A687"/>
      <c r="B687"/>
      <c r="C687"/>
      <c r="D687"/>
      <c r="E687"/>
      <c r="F687"/>
      <c r="G687"/>
      <c r="H687"/>
    </row>
    <row r="688" spans="1:8" x14ac:dyDescent="0.35">
      <c r="A688"/>
      <c r="B688"/>
      <c r="C688"/>
      <c r="D688"/>
      <c r="E688"/>
      <c r="F688"/>
      <c r="G688"/>
      <c r="H688"/>
    </row>
    <row r="689" spans="1:8" x14ac:dyDescent="0.35">
      <c r="A689"/>
      <c r="B689"/>
      <c r="C689"/>
      <c r="D689"/>
      <c r="E689"/>
      <c r="F689"/>
      <c r="G689"/>
      <c r="H689"/>
    </row>
    <row r="690" spans="1:8" x14ac:dyDescent="0.35">
      <c r="A690"/>
      <c r="B690"/>
      <c r="C690"/>
      <c r="D690"/>
      <c r="E690"/>
      <c r="F690"/>
      <c r="G690"/>
      <c r="H690"/>
    </row>
    <row r="691" spans="1:8" x14ac:dyDescent="0.35">
      <c r="A691"/>
      <c r="B691"/>
      <c r="C691"/>
      <c r="D691"/>
      <c r="E691"/>
      <c r="F691"/>
      <c r="G691"/>
      <c r="H691"/>
    </row>
    <row r="692" spans="1:8" x14ac:dyDescent="0.35">
      <c r="A692"/>
      <c r="B692"/>
      <c r="C692"/>
      <c r="D692"/>
      <c r="E692"/>
      <c r="F692"/>
      <c r="G692"/>
      <c r="H692"/>
    </row>
    <row r="693" spans="1:8" x14ac:dyDescent="0.35">
      <c r="A693"/>
      <c r="B693"/>
      <c r="C693"/>
      <c r="D693"/>
      <c r="E693"/>
      <c r="F693"/>
      <c r="G693"/>
      <c r="H693"/>
    </row>
    <row r="694" spans="1:8" x14ac:dyDescent="0.35">
      <c r="A694"/>
      <c r="B694"/>
      <c r="C694"/>
      <c r="D694"/>
      <c r="E694"/>
      <c r="F694"/>
      <c r="G694"/>
      <c r="H694"/>
    </row>
    <row r="695" spans="1:8" x14ac:dyDescent="0.35">
      <c r="A695"/>
      <c r="B695"/>
      <c r="C695"/>
      <c r="D695"/>
      <c r="E695"/>
      <c r="F695"/>
      <c r="G695"/>
      <c r="H695"/>
    </row>
    <row r="696" spans="1:8" x14ac:dyDescent="0.35">
      <c r="A696"/>
      <c r="B696"/>
      <c r="C696"/>
      <c r="D696"/>
      <c r="E696"/>
      <c r="F696"/>
      <c r="G696"/>
      <c r="H696"/>
    </row>
    <row r="697" spans="1:8" x14ac:dyDescent="0.35">
      <c r="A697"/>
      <c r="B697"/>
      <c r="C697"/>
      <c r="D697"/>
      <c r="E697"/>
      <c r="F697"/>
      <c r="G697"/>
      <c r="H697"/>
    </row>
    <row r="698" spans="1:8" x14ac:dyDescent="0.35">
      <c r="A698"/>
      <c r="B698"/>
      <c r="C698"/>
      <c r="D698"/>
      <c r="E698"/>
      <c r="F698"/>
      <c r="G698"/>
      <c r="H698"/>
    </row>
    <row r="699" spans="1:8" x14ac:dyDescent="0.35">
      <c r="A699"/>
      <c r="B699"/>
      <c r="C699"/>
      <c r="D699"/>
      <c r="E699"/>
      <c r="F699"/>
      <c r="G699"/>
      <c r="H699"/>
    </row>
    <row r="700" spans="1:8" x14ac:dyDescent="0.35">
      <c r="A700"/>
      <c r="B700"/>
      <c r="C700"/>
      <c r="D700"/>
      <c r="E700"/>
      <c r="F700"/>
      <c r="G700"/>
      <c r="H700"/>
    </row>
    <row r="701" spans="1:8" x14ac:dyDescent="0.35">
      <c r="A701"/>
      <c r="B701"/>
      <c r="C701"/>
      <c r="D701"/>
      <c r="E701"/>
      <c r="F701"/>
      <c r="G701"/>
      <c r="H701"/>
    </row>
    <row r="702" spans="1:8" x14ac:dyDescent="0.35">
      <c r="A702"/>
      <c r="B702"/>
      <c r="C702"/>
      <c r="D702"/>
      <c r="E702"/>
      <c r="F702"/>
      <c r="G702"/>
      <c r="H702"/>
    </row>
    <row r="703" spans="1:8" x14ac:dyDescent="0.35">
      <c r="A703"/>
      <c r="B703"/>
      <c r="C703"/>
      <c r="D703"/>
      <c r="E703"/>
      <c r="F703"/>
      <c r="G703"/>
      <c r="H703"/>
    </row>
    <row r="704" spans="1:8" x14ac:dyDescent="0.35">
      <c r="A704"/>
      <c r="B704"/>
      <c r="C704"/>
      <c r="D704"/>
      <c r="E704"/>
      <c r="F704"/>
      <c r="G704"/>
      <c r="H704"/>
    </row>
    <row r="705" spans="1:8" x14ac:dyDescent="0.35">
      <c r="A705"/>
      <c r="B705"/>
      <c r="C705"/>
      <c r="D705"/>
      <c r="E705"/>
      <c r="F705"/>
      <c r="G705"/>
      <c r="H705"/>
    </row>
    <row r="706" spans="1:8" x14ac:dyDescent="0.35">
      <c r="A706"/>
      <c r="B706"/>
      <c r="C706"/>
      <c r="D706"/>
      <c r="E706"/>
      <c r="F706"/>
      <c r="G706"/>
      <c r="H706"/>
    </row>
    <row r="707" spans="1:8" x14ac:dyDescent="0.35">
      <c r="A707"/>
      <c r="B707"/>
      <c r="C707"/>
      <c r="D707"/>
      <c r="E707"/>
      <c r="F707"/>
      <c r="G707"/>
      <c r="H707"/>
    </row>
    <row r="708" spans="1:8" x14ac:dyDescent="0.35">
      <c r="A708"/>
      <c r="B708"/>
      <c r="C708"/>
      <c r="D708"/>
      <c r="E708"/>
      <c r="F708"/>
      <c r="G708"/>
      <c r="H708"/>
    </row>
    <row r="709" spans="1:8" x14ac:dyDescent="0.35">
      <c r="A709"/>
      <c r="B709"/>
      <c r="C709"/>
      <c r="D709"/>
      <c r="E709"/>
      <c r="F709"/>
      <c r="G709"/>
      <c r="H709"/>
    </row>
    <row r="710" spans="1:8" x14ac:dyDescent="0.35">
      <c r="A710"/>
      <c r="B710"/>
      <c r="C710"/>
      <c r="D710"/>
      <c r="E710"/>
      <c r="F710"/>
      <c r="G710"/>
      <c r="H710"/>
    </row>
    <row r="711" spans="1:8" x14ac:dyDescent="0.35">
      <c r="A711"/>
      <c r="B711"/>
      <c r="C711"/>
      <c r="D711"/>
      <c r="E711"/>
      <c r="F711"/>
      <c r="G711"/>
      <c r="H711"/>
    </row>
    <row r="712" spans="1:8" x14ac:dyDescent="0.35">
      <c r="A712"/>
      <c r="B712"/>
      <c r="C712"/>
      <c r="D712"/>
      <c r="E712"/>
      <c r="F712"/>
      <c r="G712"/>
      <c r="H712"/>
    </row>
    <row r="713" spans="1:8" x14ac:dyDescent="0.35">
      <c r="A713"/>
      <c r="B713"/>
      <c r="C713"/>
      <c r="D713"/>
      <c r="E713"/>
      <c r="F713"/>
      <c r="G713"/>
      <c r="H713"/>
    </row>
    <row r="714" spans="1:8" x14ac:dyDescent="0.35">
      <c r="A714"/>
      <c r="B714"/>
      <c r="C714"/>
      <c r="D714"/>
      <c r="E714"/>
      <c r="F714"/>
      <c r="G714"/>
      <c r="H714"/>
    </row>
    <row r="715" spans="1:8" x14ac:dyDescent="0.35">
      <c r="A715"/>
      <c r="B715"/>
      <c r="C715"/>
      <c r="D715"/>
      <c r="E715"/>
      <c r="F715"/>
      <c r="G715"/>
      <c r="H715"/>
    </row>
    <row r="716" spans="1:8" x14ac:dyDescent="0.35">
      <c r="A716"/>
      <c r="B716"/>
      <c r="C716"/>
      <c r="D716"/>
      <c r="E716"/>
      <c r="F716"/>
      <c r="G716"/>
      <c r="H716"/>
    </row>
    <row r="717" spans="1:8" x14ac:dyDescent="0.35">
      <c r="A717"/>
      <c r="B717"/>
      <c r="C717"/>
      <c r="D717"/>
      <c r="E717"/>
      <c r="F717"/>
      <c r="G717"/>
      <c r="H717"/>
    </row>
    <row r="718" spans="1:8" x14ac:dyDescent="0.35">
      <c r="A718"/>
      <c r="B718"/>
      <c r="C718"/>
      <c r="D718"/>
      <c r="E718"/>
      <c r="F718"/>
      <c r="G718"/>
      <c r="H718"/>
    </row>
    <row r="719" spans="1:8" x14ac:dyDescent="0.35">
      <c r="A719"/>
      <c r="B719"/>
      <c r="C719"/>
      <c r="D719"/>
      <c r="E719"/>
      <c r="F719"/>
      <c r="G719"/>
      <c r="H719"/>
    </row>
    <row r="720" spans="1:8" x14ac:dyDescent="0.35">
      <c r="A720"/>
      <c r="B720"/>
      <c r="C720"/>
      <c r="D720"/>
      <c r="E720"/>
      <c r="F720"/>
      <c r="G720"/>
      <c r="H720"/>
    </row>
    <row r="721" spans="1:8" x14ac:dyDescent="0.35">
      <c r="A721"/>
      <c r="B721"/>
      <c r="C721"/>
      <c r="D721"/>
      <c r="E721"/>
      <c r="F721"/>
      <c r="G721"/>
      <c r="H721"/>
    </row>
    <row r="722" spans="1:8" x14ac:dyDescent="0.35">
      <c r="A722"/>
      <c r="B722"/>
      <c r="C722"/>
      <c r="D722"/>
      <c r="E722"/>
      <c r="F722"/>
      <c r="G722"/>
      <c r="H722"/>
    </row>
    <row r="723" spans="1:8" x14ac:dyDescent="0.35">
      <c r="A723"/>
      <c r="B723"/>
      <c r="C723"/>
      <c r="D723"/>
      <c r="E723"/>
      <c r="F723"/>
      <c r="G723"/>
      <c r="H723"/>
    </row>
    <row r="724" spans="1:8" x14ac:dyDescent="0.35">
      <c r="A724"/>
      <c r="B724"/>
      <c r="C724"/>
      <c r="D724"/>
      <c r="E724"/>
      <c r="F724"/>
      <c r="G724"/>
      <c r="H724"/>
    </row>
    <row r="725" spans="1:8" x14ac:dyDescent="0.35">
      <c r="A725"/>
      <c r="B725"/>
      <c r="C725"/>
      <c r="D725"/>
      <c r="E725"/>
      <c r="F725"/>
      <c r="G725"/>
      <c r="H725"/>
    </row>
    <row r="726" spans="1:8" x14ac:dyDescent="0.35">
      <c r="A726"/>
      <c r="B726"/>
      <c r="C726"/>
      <c r="D726"/>
      <c r="E726"/>
      <c r="F726"/>
      <c r="G726"/>
      <c r="H726"/>
    </row>
    <row r="727" spans="1:8" x14ac:dyDescent="0.35">
      <c r="A727"/>
      <c r="B727"/>
      <c r="C727"/>
      <c r="D727"/>
      <c r="E727"/>
      <c r="F727"/>
      <c r="G727"/>
      <c r="H727"/>
    </row>
    <row r="728" spans="1:8" x14ac:dyDescent="0.35">
      <c r="A728"/>
      <c r="B728"/>
      <c r="C728"/>
      <c r="D728"/>
      <c r="E728"/>
      <c r="F728"/>
      <c r="G728"/>
      <c r="H728"/>
    </row>
    <row r="729" spans="1:8" x14ac:dyDescent="0.35">
      <c r="A729"/>
      <c r="B729"/>
      <c r="C729"/>
      <c r="D729"/>
      <c r="E729"/>
      <c r="F729"/>
      <c r="G729"/>
      <c r="H729"/>
    </row>
    <row r="730" spans="1:8" x14ac:dyDescent="0.35">
      <c r="A730"/>
      <c r="B730"/>
      <c r="C730"/>
      <c r="D730"/>
      <c r="E730"/>
      <c r="F730"/>
      <c r="G730"/>
      <c r="H730"/>
    </row>
    <row r="731" spans="1:8" x14ac:dyDescent="0.35">
      <c r="A731"/>
      <c r="B731"/>
      <c r="C731"/>
      <c r="D731"/>
      <c r="E731"/>
      <c r="F731"/>
      <c r="G731"/>
      <c r="H731"/>
    </row>
    <row r="732" spans="1:8" x14ac:dyDescent="0.35">
      <c r="A732"/>
      <c r="B732"/>
      <c r="C732"/>
      <c r="D732"/>
      <c r="E732"/>
      <c r="F732"/>
      <c r="G732"/>
      <c r="H732"/>
    </row>
    <row r="733" spans="1:8" x14ac:dyDescent="0.35">
      <c r="A733"/>
      <c r="B733"/>
      <c r="C733"/>
      <c r="D733"/>
      <c r="E733"/>
      <c r="F733"/>
      <c r="G733"/>
      <c r="H733"/>
    </row>
    <row r="734" spans="1:8" x14ac:dyDescent="0.35">
      <c r="A734"/>
      <c r="B734"/>
      <c r="C734"/>
      <c r="D734"/>
      <c r="E734"/>
      <c r="F734"/>
      <c r="G734"/>
      <c r="H734"/>
    </row>
    <row r="735" spans="1:8" x14ac:dyDescent="0.35">
      <c r="A735"/>
      <c r="B735"/>
      <c r="C735"/>
      <c r="D735"/>
      <c r="E735"/>
      <c r="F735"/>
      <c r="G735"/>
      <c r="H735"/>
    </row>
    <row r="736" spans="1:8" x14ac:dyDescent="0.35">
      <c r="A736"/>
      <c r="B736"/>
      <c r="C736"/>
      <c r="D736"/>
      <c r="E736"/>
      <c r="F736"/>
      <c r="G736"/>
      <c r="H736"/>
    </row>
    <row r="737" spans="1:8" x14ac:dyDescent="0.35">
      <c r="A737"/>
      <c r="B737"/>
      <c r="C737"/>
      <c r="D737"/>
      <c r="E737"/>
      <c r="F737"/>
      <c r="G737"/>
      <c r="H737"/>
    </row>
    <row r="738" spans="1:8" x14ac:dyDescent="0.35">
      <c r="A738"/>
      <c r="B738"/>
      <c r="C738"/>
      <c r="D738"/>
      <c r="E738"/>
      <c r="F738"/>
      <c r="G738"/>
      <c r="H738"/>
    </row>
    <row r="739" spans="1:8" x14ac:dyDescent="0.35">
      <c r="A739"/>
      <c r="B739"/>
      <c r="C739"/>
      <c r="D739"/>
      <c r="E739"/>
      <c r="F739"/>
      <c r="G739"/>
      <c r="H739"/>
    </row>
    <row r="740" spans="1:8" x14ac:dyDescent="0.35">
      <c r="A740"/>
      <c r="B740"/>
      <c r="C740"/>
      <c r="D740"/>
      <c r="E740"/>
      <c r="F740"/>
      <c r="G740"/>
      <c r="H740"/>
    </row>
    <row r="741" spans="1:8" x14ac:dyDescent="0.35">
      <c r="A741"/>
      <c r="B741"/>
      <c r="C741"/>
      <c r="D741"/>
      <c r="E741"/>
      <c r="F741"/>
      <c r="G741"/>
      <c r="H741"/>
    </row>
    <row r="742" spans="1:8" x14ac:dyDescent="0.35">
      <c r="A742"/>
      <c r="B742"/>
      <c r="C742"/>
      <c r="D742"/>
      <c r="E742"/>
      <c r="F742"/>
      <c r="G742"/>
      <c r="H742"/>
    </row>
    <row r="743" spans="1:8" x14ac:dyDescent="0.35">
      <c r="A743"/>
      <c r="B743"/>
      <c r="C743"/>
      <c r="D743"/>
      <c r="E743"/>
      <c r="F743"/>
      <c r="G743"/>
      <c r="H743"/>
    </row>
    <row r="744" spans="1:8" x14ac:dyDescent="0.35">
      <c r="A744"/>
      <c r="B744"/>
      <c r="C744"/>
      <c r="D744"/>
      <c r="E744"/>
      <c r="F744"/>
      <c r="G744"/>
      <c r="H744"/>
    </row>
    <row r="745" spans="1:8" x14ac:dyDescent="0.35">
      <c r="A745"/>
      <c r="B745"/>
      <c r="C745"/>
      <c r="D745"/>
      <c r="E745"/>
      <c r="F745"/>
      <c r="G745"/>
      <c r="H745"/>
    </row>
    <row r="746" spans="1:8" x14ac:dyDescent="0.35">
      <c r="A746"/>
      <c r="B746"/>
      <c r="C746"/>
      <c r="D746"/>
      <c r="E746"/>
      <c r="F746"/>
      <c r="G746"/>
      <c r="H746"/>
    </row>
    <row r="747" spans="1:8" x14ac:dyDescent="0.35">
      <c r="A747"/>
      <c r="B747"/>
      <c r="C747"/>
      <c r="D747"/>
      <c r="E747"/>
      <c r="F747"/>
      <c r="G747"/>
      <c r="H747"/>
    </row>
    <row r="748" spans="1:8" x14ac:dyDescent="0.35">
      <c r="A748"/>
      <c r="B748"/>
      <c r="C748"/>
      <c r="D748"/>
      <c r="E748"/>
      <c r="F748"/>
      <c r="G748"/>
      <c r="H748"/>
    </row>
    <row r="749" spans="1:8" x14ac:dyDescent="0.35">
      <c r="A749"/>
      <c r="B749"/>
      <c r="C749"/>
      <c r="D749"/>
      <c r="E749"/>
      <c r="F749"/>
      <c r="G749"/>
      <c r="H749"/>
    </row>
    <row r="750" spans="1:8" x14ac:dyDescent="0.35">
      <c r="A750"/>
      <c r="B750"/>
      <c r="C750"/>
      <c r="D750"/>
      <c r="E750"/>
      <c r="F750"/>
      <c r="G750"/>
      <c r="H750"/>
    </row>
    <row r="751" spans="1:8" x14ac:dyDescent="0.35">
      <c r="A751"/>
      <c r="B751"/>
      <c r="C751"/>
      <c r="D751"/>
      <c r="E751"/>
      <c r="F751"/>
      <c r="G751"/>
      <c r="H751"/>
    </row>
    <row r="752" spans="1:8" x14ac:dyDescent="0.35">
      <c r="A752"/>
      <c r="B752"/>
      <c r="C752"/>
      <c r="D752"/>
      <c r="E752"/>
      <c r="F752"/>
      <c r="G752"/>
      <c r="H752"/>
    </row>
    <row r="753" spans="1:8" x14ac:dyDescent="0.35">
      <c r="A753"/>
      <c r="B753"/>
      <c r="C753"/>
      <c r="D753"/>
      <c r="E753"/>
      <c r="F753"/>
      <c r="G753"/>
      <c r="H753"/>
    </row>
    <row r="754" spans="1:8" x14ac:dyDescent="0.35">
      <c r="A754"/>
      <c r="B754"/>
      <c r="C754"/>
      <c r="D754"/>
      <c r="E754"/>
      <c r="F754"/>
      <c r="G754"/>
      <c r="H754"/>
    </row>
    <row r="755" spans="1:8" x14ac:dyDescent="0.35">
      <c r="A755"/>
      <c r="B755"/>
      <c r="C755"/>
      <c r="D755"/>
      <c r="E755"/>
      <c r="F755"/>
      <c r="G755"/>
      <c r="H755"/>
    </row>
    <row r="756" spans="1:8" x14ac:dyDescent="0.35">
      <c r="A756"/>
      <c r="B756"/>
      <c r="C756"/>
      <c r="D756"/>
      <c r="E756"/>
      <c r="F756"/>
      <c r="G756"/>
      <c r="H756"/>
    </row>
    <row r="757" spans="1:8" x14ac:dyDescent="0.35">
      <c r="A757"/>
      <c r="B757"/>
      <c r="C757"/>
      <c r="D757"/>
      <c r="E757"/>
      <c r="F757"/>
      <c r="G757"/>
      <c r="H757"/>
    </row>
    <row r="758" spans="1:8" x14ac:dyDescent="0.35">
      <c r="A758"/>
      <c r="B758"/>
      <c r="C758"/>
      <c r="D758"/>
      <c r="E758"/>
      <c r="F758"/>
      <c r="G758"/>
      <c r="H758"/>
    </row>
    <row r="759" spans="1:8" x14ac:dyDescent="0.35">
      <c r="A759"/>
      <c r="B759"/>
      <c r="C759"/>
      <c r="D759"/>
      <c r="E759"/>
      <c r="F759"/>
      <c r="G759"/>
      <c r="H759"/>
    </row>
    <row r="760" spans="1:8" x14ac:dyDescent="0.35">
      <c r="A760"/>
      <c r="B760"/>
      <c r="C760"/>
      <c r="D760"/>
      <c r="E760"/>
      <c r="F760"/>
      <c r="G760"/>
      <c r="H760"/>
    </row>
    <row r="761" spans="1:8" x14ac:dyDescent="0.35">
      <c r="A761"/>
      <c r="B761"/>
      <c r="C761"/>
      <c r="D761"/>
      <c r="E761"/>
      <c r="F761"/>
      <c r="G761"/>
      <c r="H761"/>
    </row>
    <row r="762" spans="1:8" x14ac:dyDescent="0.35">
      <c r="A762"/>
      <c r="B762"/>
      <c r="C762"/>
      <c r="D762"/>
      <c r="E762"/>
      <c r="F762"/>
      <c r="G762"/>
      <c r="H762"/>
    </row>
    <row r="763" spans="1:8" x14ac:dyDescent="0.35">
      <c r="A763"/>
      <c r="B763"/>
      <c r="C763"/>
      <c r="D763"/>
      <c r="E763"/>
      <c r="F763"/>
      <c r="G763"/>
      <c r="H763"/>
    </row>
    <row r="764" spans="1:8" x14ac:dyDescent="0.35">
      <c r="A764"/>
      <c r="B764"/>
      <c r="C764"/>
      <c r="D764"/>
      <c r="E764"/>
      <c r="F764"/>
      <c r="G764"/>
      <c r="H764"/>
    </row>
    <row r="765" spans="1:8" x14ac:dyDescent="0.35">
      <c r="A765"/>
      <c r="B765"/>
      <c r="C765"/>
      <c r="D765"/>
      <c r="E765"/>
      <c r="F765"/>
      <c r="G765"/>
      <c r="H765"/>
    </row>
    <row r="766" spans="1:8" x14ac:dyDescent="0.35">
      <c r="A766"/>
      <c r="B766"/>
      <c r="C766"/>
      <c r="D766"/>
      <c r="E766"/>
      <c r="F766"/>
      <c r="G766"/>
      <c r="H766"/>
    </row>
    <row r="767" spans="1:8" x14ac:dyDescent="0.35">
      <c r="A767"/>
      <c r="B767"/>
      <c r="C767"/>
      <c r="D767"/>
      <c r="E767"/>
      <c r="F767"/>
      <c r="G767"/>
      <c r="H767"/>
    </row>
    <row r="768" spans="1:8" x14ac:dyDescent="0.35">
      <c r="A768"/>
      <c r="B768"/>
      <c r="C768"/>
      <c r="D768"/>
      <c r="E768"/>
      <c r="F768"/>
      <c r="G768"/>
      <c r="H768"/>
    </row>
    <row r="769" spans="1:8" x14ac:dyDescent="0.35">
      <c r="A769"/>
      <c r="B769"/>
      <c r="C769"/>
      <c r="D769"/>
      <c r="E769"/>
      <c r="F769"/>
      <c r="G769"/>
      <c r="H769"/>
    </row>
    <row r="770" spans="1:8" x14ac:dyDescent="0.35">
      <c r="A770"/>
      <c r="B770"/>
      <c r="C770"/>
      <c r="D770"/>
      <c r="E770"/>
      <c r="F770"/>
      <c r="G770"/>
      <c r="H770"/>
    </row>
    <row r="771" spans="1:8" x14ac:dyDescent="0.35">
      <c r="A771"/>
      <c r="B771"/>
      <c r="C771"/>
      <c r="D771"/>
      <c r="E771"/>
      <c r="F771"/>
      <c r="G771"/>
      <c r="H771"/>
    </row>
    <row r="772" spans="1:8" x14ac:dyDescent="0.35">
      <c r="A772"/>
      <c r="B772"/>
      <c r="C772"/>
      <c r="D772"/>
      <c r="E772"/>
      <c r="F772"/>
      <c r="G772"/>
      <c r="H772"/>
    </row>
    <row r="773" spans="1:8" x14ac:dyDescent="0.35">
      <c r="A773"/>
      <c r="B773"/>
      <c r="C773"/>
      <c r="D773"/>
      <c r="E773"/>
      <c r="F773"/>
      <c r="G773"/>
      <c r="H773"/>
    </row>
    <row r="774" spans="1:8" x14ac:dyDescent="0.35">
      <c r="A774"/>
      <c r="B774"/>
      <c r="C774"/>
      <c r="D774"/>
      <c r="E774"/>
      <c r="F774"/>
      <c r="G774"/>
      <c r="H774"/>
    </row>
    <row r="775" spans="1:8" x14ac:dyDescent="0.35">
      <c r="A775"/>
      <c r="B775"/>
      <c r="C775"/>
      <c r="D775"/>
      <c r="E775"/>
      <c r="F775"/>
      <c r="G775"/>
      <c r="H775"/>
    </row>
    <row r="776" spans="1:8" x14ac:dyDescent="0.35">
      <c r="A776"/>
      <c r="B776"/>
      <c r="C776"/>
      <c r="D776"/>
      <c r="E776"/>
      <c r="F776"/>
      <c r="G776"/>
      <c r="H776"/>
    </row>
    <row r="777" spans="1:8" x14ac:dyDescent="0.35">
      <c r="A777"/>
      <c r="B777"/>
      <c r="C777"/>
      <c r="D777"/>
      <c r="E777"/>
      <c r="F777"/>
      <c r="G777"/>
      <c r="H777"/>
    </row>
    <row r="778" spans="1:8" x14ac:dyDescent="0.35">
      <c r="A778"/>
      <c r="B778"/>
      <c r="C778"/>
      <c r="D778"/>
      <c r="E778"/>
      <c r="F778"/>
      <c r="G778"/>
      <c r="H778"/>
    </row>
    <row r="779" spans="1:8" x14ac:dyDescent="0.35">
      <c r="A779"/>
      <c r="B779"/>
      <c r="C779"/>
      <c r="D779"/>
      <c r="E779"/>
      <c r="F779"/>
      <c r="G779"/>
      <c r="H779"/>
    </row>
    <row r="780" spans="1:8" x14ac:dyDescent="0.35">
      <c r="A780"/>
      <c r="B780"/>
      <c r="C780"/>
      <c r="D780"/>
      <c r="E780"/>
      <c r="F780"/>
      <c r="G780"/>
      <c r="H780"/>
    </row>
    <row r="781" spans="1:8" x14ac:dyDescent="0.35">
      <c r="A781"/>
      <c r="B781"/>
      <c r="C781"/>
      <c r="D781"/>
      <c r="E781"/>
      <c r="F781"/>
      <c r="G781"/>
      <c r="H781"/>
    </row>
    <row r="782" spans="1:8" x14ac:dyDescent="0.35">
      <c r="A782"/>
      <c r="B782"/>
      <c r="C782"/>
      <c r="D782"/>
      <c r="E782"/>
      <c r="F782"/>
      <c r="G782"/>
      <c r="H782"/>
    </row>
    <row r="783" spans="1:8" x14ac:dyDescent="0.35">
      <c r="A783"/>
      <c r="B783"/>
      <c r="C783"/>
      <c r="D783"/>
      <c r="E783"/>
      <c r="F783"/>
      <c r="G783"/>
      <c r="H783"/>
    </row>
    <row r="784" spans="1:8" x14ac:dyDescent="0.35">
      <c r="A784"/>
      <c r="B784"/>
      <c r="C784"/>
      <c r="D784"/>
      <c r="E784"/>
      <c r="F784"/>
      <c r="G784"/>
      <c r="H784"/>
    </row>
    <row r="785" spans="1:8" x14ac:dyDescent="0.35">
      <c r="A785"/>
      <c r="B785"/>
      <c r="C785"/>
      <c r="D785"/>
      <c r="E785"/>
      <c r="F785"/>
      <c r="G785"/>
      <c r="H785"/>
    </row>
    <row r="786" spans="1:8" x14ac:dyDescent="0.35">
      <c r="A786"/>
      <c r="B786"/>
      <c r="C786"/>
      <c r="D786"/>
      <c r="E786"/>
      <c r="F786"/>
      <c r="G786"/>
      <c r="H786"/>
    </row>
    <row r="787" spans="1:8" x14ac:dyDescent="0.35">
      <c r="A787"/>
      <c r="B787"/>
      <c r="C787"/>
      <c r="D787"/>
      <c r="E787"/>
      <c r="F787"/>
      <c r="G787"/>
      <c r="H787"/>
    </row>
    <row r="788" spans="1:8" x14ac:dyDescent="0.35">
      <c r="A788"/>
      <c r="B788"/>
      <c r="C788"/>
      <c r="D788"/>
      <c r="E788"/>
      <c r="F788"/>
      <c r="G788"/>
      <c r="H788"/>
    </row>
    <row r="789" spans="1:8" x14ac:dyDescent="0.35">
      <c r="A789"/>
      <c r="B789"/>
      <c r="C789"/>
      <c r="D789"/>
      <c r="E789"/>
      <c r="F789"/>
      <c r="G789"/>
      <c r="H789"/>
    </row>
    <row r="790" spans="1:8" x14ac:dyDescent="0.35">
      <c r="A790"/>
      <c r="B790"/>
      <c r="C790"/>
      <c r="D790"/>
      <c r="E790"/>
      <c r="F790"/>
      <c r="G790"/>
      <c r="H790"/>
    </row>
    <row r="791" spans="1:8" x14ac:dyDescent="0.35">
      <c r="A791"/>
      <c r="B791"/>
      <c r="C791"/>
      <c r="D791"/>
      <c r="E791"/>
      <c r="F791"/>
      <c r="G791"/>
      <c r="H791"/>
    </row>
    <row r="792" spans="1:8" x14ac:dyDescent="0.35">
      <c r="A792"/>
      <c r="B792"/>
      <c r="C792"/>
      <c r="D792"/>
      <c r="E792"/>
      <c r="F792"/>
      <c r="G792"/>
      <c r="H792"/>
    </row>
    <row r="793" spans="1:8" x14ac:dyDescent="0.35">
      <c r="A793"/>
      <c r="B793"/>
      <c r="C793"/>
      <c r="D793"/>
      <c r="E793"/>
      <c r="F793"/>
      <c r="G793"/>
      <c r="H793"/>
    </row>
    <row r="794" spans="1:8" x14ac:dyDescent="0.35">
      <c r="A794"/>
      <c r="B794"/>
      <c r="C794"/>
      <c r="D794"/>
      <c r="E794"/>
      <c r="F794"/>
      <c r="G794"/>
      <c r="H794"/>
    </row>
    <row r="795" spans="1:8" x14ac:dyDescent="0.35">
      <c r="A795"/>
      <c r="B795"/>
      <c r="C795"/>
      <c r="D795"/>
      <c r="E795"/>
      <c r="F795"/>
      <c r="G795"/>
      <c r="H795"/>
    </row>
    <row r="796" spans="1:8" x14ac:dyDescent="0.35">
      <c r="A796"/>
      <c r="B796"/>
      <c r="C796"/>
      <c r="D796"/>
      <c r="E796"/>
      <c r="F796"/>
      <c r="G796"/>
      <c r="H796"/>
    </row>
    <row r="797" spans="1:8" x14ac:dyDescent="0.35">
      <c r="A797"/>
      <c r="B797"/>
      <c r="C797"/>
      <c r="D797"/>
      <c r="E797"/>
      <c r="F797"/>
      <c r="G797"/>
      <c r="H797"/>
    </row>
    <row r="798" spans="1:8" x14ac:dyDescent="0.35">
      <c r="A798"/>
      <c r="B798"/>
      <c r="C798"/>
      <c r="D798"/>
      <c r="E798"/>
      <c r="F798"/>
      <c r="G798"/>
      <c r="H798"/>
    </row>
    <row r="799" spans="1:8" x14ac:dyDescent="0.35">
      <c r="A799"/>
      <c r="B799"/>
      <c r="C799"/>
      <c r="D799"/>
      <c r="E799"/>
      <c r="F799"/>
      <c r="G799"/>
      <c r="H799"/>
    </row>
    <row r="800" spans="1:8" x14ac:dyDescent="0.35">
      <c r="A800"/>
      <c r="B800"/>
      <c r="C800"/>
      <c r="D800"/>
      <c r="E800"/>
      <c r="F800"/>
      <c r="G800"/>
      <c r="H800"/>
    </row>
    <row r="801" spans="1:8" x14ac:dyDescent="0.35">
      <c r="A801"/>
      <c r="B801"/>
      <c r="C801"/>
      <c r="D801"/>
      <c r="E801"/>
      <c r="F801"/>
      <c r="G801"/>
      <c r="H801"/>
    </row>
    <row r="802" spans="1:8" x14ac:dyDescent="0.35">
      <c r="A802"/>
      <c r="B802"/>
      <c r="C802"/>
      <c r="D802"/>
      <c r="E802"/>
      <c r="F802"/>
      <c r="G802"/>
      <c r="H802"/>
    </row>
    <row r="803" spans="1:8" x14ac:dyDescent="0.35">
      <c r="A803"/>
      <c r="B803"/>
      <c r="C803"/>
      <c r="D803"/>
      <c r="E803"/>
      <c r="F803"/>
      <c r="G803"/>
      <c r="H803"/>
    </row>
    <row r="804" spans="1:8" x14ac:dyDescent="0.35">
      <c r="A804"/>
      <c r="B804"/>
      <c r="C804"/>
      <c r="D804"/>
      <c r="E804"/>
      <c r="F804"/>
      <c r="G804"/>
      <c r="H804"/>
    </row>
    <row r="805" spans="1:8" x14ac:dyDescent="0.35">
      <c r="A805"/>
      <c r="B805"/>
      <c r="C805"/>
      <c r="D805"/>
      <c r="E805"/>
      <c r="F805"/>
      <c r="G805"/>
      <c r="H805"/>
    </row>
    <row r="806" spans="1:8" x14ac:dyDescent="0.35">
      <c r="A806"/>
      <c r="B806"/>
      <c r="C806"/>
      <c r="D806"/>
      <c r="E806"/>
      <c r="F806"/>
      <c r="G806"/>
      <c r="H806"/>
    </row>
    <row r="807" spans="1:8" x14ac:dyDescent="0.35">
      <c r="A807"/>
      <c r="B807"/>
      <c r="C807"/>
      <c r="D807"/>
      <c r="E807"/>
      <c r="F807"/>
      <c r="G807"/>
      <c r="H807"/>
    </row>
    <row r="808" spans="1:8" x14ac:dyDescent="0.35">
      <c r="A808"/>
      <c r="B808"/>
      <c r="C808"/>
      <c r="D808"/>
      <c r="E808"/>
      <c r="F808"/>
      <c r="G808"/>
      <c r="H808"/>
    </row>
    <row r="809" spans="1:8" x14ac:dyDescent="0.35">
      <c r="A809"/>
      <c r="B809"/>
      <c r="C809"/>
      <c r="D809"/>
      <c r="E809"/>
      <c r="F809"/>
      <c r="G809"/>
      <c r="H809"/>
    </row>
    <row r="810" spans="1:8" x14ac:dyDescent="0.35">
      <c r="A810"/>
      <c r="B810"/>
      <c r="C810"/>
      <c r="D810"/>
      <c r="E810"/>
      <c r="F810"/>
      <c r="G810"/>
      <c r="H810"/>
    </row>
    <row r="811" spans="1:8" x14ac:dyDescent="0.35">
      <c r="A811"/>
      <c r="B811"/>
      <c r="C811"/>
      <c r="D811"/>
      <c r="E811"/>
      <c r="F811"/>
      <c r="G811"/>
      <c r="H811"/>
    </row>
    <row r="812" spans="1:8" x14ac:dyDescent="0.35">
      <c r="A812"/>
      <c r="B812"/>
      <c r="C812"/>
      <c r="D812"/>
      <c r="E812"/>
      <c r="F812"/>
      <c r="G812"/>
      <c r="H812"/>
    </row>
    <row r="813" spans="1:8" x14ac:dyDescent="0.35">
      <c r="A813"/>
      <c r="B813"/>
      <c r="C813"/>
      <c r="D813"/>
      <c r="E813"/>
      <c r="F813"/>
      <c r="G813"/>
      <c r="H813"/>
    </row>
    <row r="814" spans="1:8" x14ac:dyDescent="0.35">
      <c r="A814"/>
      <c r="B814"/>
      <c r="C814"/>
      <c r="D814"/>
      <c r="E814"/>
      <c r="F814"/>
      <c r="G814"/>
      <c r="H814"/>
    </row>
    <row r="815" spans="1:8" x14ac:dyDescent="0.35">
      <c r="A815"/>
      <c r="B815"/>
      <c r="C815"/>
      <c r="D815"/>
      <c r="E815"/>
      <c r="F815"/>
      <c r="G815"/>
      <c r="H815"/>
    </row>
    <row r="816" spans="1:8" x14ac:dyDescent="0.35">
      <c r="A816"/>
      <c r="B816"/>
      <c r="C816"/>
      <c r="D816"/>
      <c r="E816"/>
      <c r="F816"/>
      <c r="G816"/>
      <c r="H816"/>
    </row>
    <row r="817" spans="1:8" x14ac:dyDescent="0.35">
      <c r="A817"/>
      <c r="B817"/>
      <c r="C817"/>
      <c r="D817"/>
      <c r="E817"/>
      <c r="F817"/>
      <c r="G817"/>
      <c r="H817"/>
    </row>
    <row r="818" spans="1:8" x14ac:dyDescent="0.35">
      <c r="A818"/>
      <c r="B818"/>
      <c r="C818"/>
      <c r="D818"/>
      <c r="E818"/>
      <c r="F818"/>
      <c r="G818"/>
      <c r="H818"/>
    </row>
    <row r="819" spans="1:8" x14ac:dyDescent="0.35">
      <c r="A819"/>
      <c r="B819"/>
      <c r="C819"/>
      <c r="D819"/>
      <c r="E819"/>
      <c r="F819"/>
      <c r="G819"/>
      <c r="H819"/>
    </row>
    <row r="820" spans="1:8" x14ac:dyDescent="0.35">
      <c r="A820"/>
      <c r="B820"/>
      <c r="C820"/>
      <c r="D820"/>
      <c r="E820"/>
      <c r="F820"/>
      <c r="G820"/>
      <c r="H820"/>
    </row>
    <row r="821" spans="1:8" x14ac:dyDescent="0.35">
      <c r="A821"/>
      <c r="B821"/>
      <c r="C821"/>
      <c r="D821"/>
      <c r="E821"/>
      <c r="F821"/>
      <c r="G821"/>
      <c r="H821"/>
    </row>
    <row r="822" spans="1:8" x14ac:dyDescent="0.35">
      <c r="A822"/>
      <c r="B822"/>
      <c r="C822"/>
      <c r="D822"/>
      <c r="E822"/>
      <c r="F822"/>
      <c r="G822"/>
      <c r="H822"/>
    </row>
    <row r="823" spans="1:8" x14ac:dyDescent="0.35">
      <c r="A823"/>
      <c r="B823"/>
      <c r="C823"/>
      <c r="D823"/>
      <c r="E823"/>
      <c r="F823"/>
      <c r="G823"/>
      <c r="H823"/>
    </row>
    <row r="824" spans="1:8" x14ac:dyDescent="0.35">
      <c r="A824"/>
      <c r="B824"/>
      <c r="C824"/>
      <c r="D824"/>
      <c r="E824"/>
      <c r="F824"/>
      <c r="G824"/>
      <c r="H824"/>
    </row>
    <row r="825" spans="1:8" x14ac:dyDescent="0.35">
      <c r="A825"/>
      <c r="B825"/>
      <c r="C825"/>
      <c r="D825"/>
      <c r="E825"/>
      <c r="F825"/>
      <c r="G825"/>
      <c r="H825"/>
    </row>
    <row r="826" spans="1:8" x14ac:dyDescent="0.35">
      <c r="A826"/>
      <c r="B826"/>
      <c r="C826"/>
      <c r="D826"/>
      <c r="E826"/>
      <c r="F826"/>
      <c r="G826"/>
      <c r="H826"/>
    </row>
    <row r="827" spans="1:8" x14ac:dyDescent="0.35">
      <c r="A827"/>
      <c r="B827"/>
      <c r="C827"/>
      <c r="D827"/>
      <c r="E827"/>
      <c r="F827"/>
      <c r="G827"/>
      <c r="H827"/>
    </row>
    <row r="828" spans="1:8" x14ac:dyDescent="0.35">
      <c r="A828"/>
      <c r="B828"/>
      <c r="C828"/>
      <c r="D828"/>
      <c r="E828"/>
      <c r="F828"/>
      <c r="G828"/>
      <c r="H828"/>
    </row>
    <row r="829" spans="1:8" x14ac:dyDescent="0.35">
      <c r="A829"/>
      <c r="B829"/>
      <c r="C829"/>
      <c r="D829"/>
      <c r="E829"/>
      <c r="F829"/>
      <c r="G829"/>
      <c r="H829"/>
    </row>
    <row r="830" spans="1:8" x14ac:dyDescent="0.35">
      <c r="A830"/>
      <c r="B830"/>
      <c r="C830"/>
      <c r="D830"/>
      <c r="E830"/>
      <c r="F830"/>
      <c r="G830"/>
      <c r="H830"/>
    </row>
    <row r="831" spans="1:8" x14ac:dyDescent="0.35">
      <c r="A831"/>
      <c r="B831"/>
      <c r="C831"/>
      <c r="D831"/>
      <c r="E831"/>
      <c r="F831"/>
      <c r="G831"/>
      <c r="H831"/>
    </row>
    <row r="832" spans="1:8" x14ac:dyDescent="0.35">
      <c r="A832"/>
      <c r="B832"/>
      <c r="C832"/>
      <c r="D832"/>
      <c r="E832"/>
      <c r="F832"/>
      <c r="G832"/>
      <c r="H832"/>
    </row>
    <row r="833" spans="1:8" x14ac:dyDescent="0.35">
      <c r="A833"/>
      <c r="B833"/>
      <c r="C833"/>
      <c r="D833"/>
      <c r="E833"/>
      <c r="F833"/>
      <c r="G833"/>
      <c r="H833"/>
    </row>
    <row r="834" spans="1:8" x14ac:dyDescent="0.35">
      <c r="A834"/>
      <c r="B834"/>
      <c r="C834"/>
      <c r="D834"/>
      <c r="E834"/>
      <c r="F834"/>
      <c r="G834"/>
      <c r="H834"/>
    </row>
    <row r="835" spans="1:8" x14ac:dyDescent="0.35">
      <c r="A835"/>
      <c r="B835"/>
      <c r="C835"/>
      <c r="D835"/>
      <c r="E835"/>
      <c r="F835"/>
      <c r="G835"/>
      <c r="H835"/>
    </row>
    <row r="836" spans="1:8" x14ac:dyDescent="0.35">
      <c r="A836"/>
      <c r="B836"/>
      <c r="C836"/>
      <c r="D836"/>
      <c r="E836"/>
      <c r="F836"/>
      <c r="G836"/>
      <c r="H836"/>
    </row>
    <row r="837" spans="1:8" x14ac:dyDescent="0.35">
      <c r="A837"/>
      <c r="B837"/>
      <c r="C837"/>
      <c r="D837"/>
      <c r="E837"/>
      <c r="F837"/>
      <c r="G837"/>
      <c r="H837"/>
    </row>
    <row r="838" spans="1:8" x14ac:dyDescent="0.35">
      <c r="A838"/>
      <c r="B838"/>
      <c r="C838"/>
      <c r="D838"/>
      <c r="E838"/>
      <c r="F838"/>
      <c r="G838"/>
      <c r="H838"/>
    </row>
    <row r="839" spans="1:8" x14ac:dyDescent="0.35">
      <c r="A839"/>
      <c r="B839"/>
      <c r="C839"/>
      <c r="D839"/>
      <c r="E839"/>
      <c r="F839"/>
      <c r="G839"/>
      <c r="H839"/>
    </row>
    <row r="840" spans="1:8" x14ac:dyDescent="0.35">
      <c r="A840"/>
      <c r="B840"/>
      <c r="C840"/>
      <c r="D840"/>
      <c r="E840"/>
      <c r="F840"/>
      <c r="G840"/>
      <c r="H840"/>
    </row>
    <row r="841" spans="1:8" x14ac:dyDescent="0.35">
      <c r="A841"/>
      <c r="B841"/>
      <c r="C841"/>
      <c r="D841"/>
      <c r="E841"/>
      <c r="F841"/>
      <c r="G841"/>
      <c r="H841"/>
    </row>
    <row r="842" spans="1:8" x14ac:dyDescent="0.35">
      <c r="A842"/>
      <c r="B842"/>
      <c r="C842"/>
      <c r="D842"/>
      <c r="E842"/>
      <c r="F842"/>
      <c r="G842"/>
      <c r="H842"/>
    </row>
    <row r="843" spans="1:8" x14ac:dyDescent="0.35">
      <c r="A843"/>
      <c r="B843"/>
      <c r="C843"/>
      <c r="D843"/>
      <c r="E843"/>
      <c r="F843"/>
      <c r="G843"/>
      <c r="H843"/>
    </row>
    <row r="844" spans="1:8" x14ac:dyDescent="0.35">
      <c r="A844"/>
      <c r="B844"/>
      <c r="C844"/>
      <c r="D844"/>
      <c r="E844"/>
      <c r="F844"/>
      <c r="G844"/>
      <c r="H844"/>
    </row>
    <row r="845" spans="1:8" x14ac:dyDescent="0.35">
      <c r="A845"/>
      <c r="B845"/>
      <c r="C845"/>
      <c r="D845"/>
      <c r="E845"/>
      <c r="F845"/>
      <c r="G845"/>
      <c r="H845"/>
    </row>
    <row r="846" spans="1:8" x14ac:dyDescent="0.35">
      <c r="A846"/>
      <c r="B846"/>
      <c r="C846"/>
      <c r="D846"/>
      <c r="E846"/>
      <c r="F846"/>
      <c r="G846"/>
      <c r="H846"/>
    </row>
    <row r="847" spans="1:8" x14ac:dyDescent="0.35">
      <c r="A847"/>
      <c r="B847"/>
      <c r="C847"/>
      <c r="D847"/>
      <c r="E847"/>
      <c r="F847"/>
      <c r="G847"/>
      <c r="H847"/>
    </row>
    <row r="848" spans="1:8" x14ac:dyDescent="0.35">
      <c r="A848"/>
      <c r="B848"/>
      <c r="C848"/>
      <c r="D848"/>
      <c r="E848"/>
      <c r="F848"/>
      <c r="G848"/>
      <c r="H848"/>
    </row>
    <row r="849" spans="1:8" x14ac:dyDescent="0.35">
      <c r="A849"/>
      <c r="B849"/>
      <c r="C849"/>
      <c r="D849"/>
      <c r="E849"/>
      <c r="F849"/>
      <c r="G849"/>
      <c r="H849"/>
    </row>
    <row r="850" spans="1:8" x14ac:dyDescent="0.35">
      <c r="A850"/>
      <c r="B850"/>
      <c r="C850"/>
      <c r="D850"/>
      <c r="E850"/>
      <c r="F850"/>
      <c r="G850"/>
      <c r="H850"/>
    </row>
    <row r="851" spans="1:8" x14ac:dyDescent="0.35">
      <c r="A851"/>
      <c r="B851"/>
      <c r="C851"/>
      <c r="D851"/>
      <c r="E851"/>
      <c r="F851"/>
      <c r="G851"/>
      <c r="H851"/>
    </row>
    <row r="852" spans="1:8" x14ac:dyDescent="0.35">
      <c r="A852"/>
      <c r="B852"/>
      <c r="C852"/>
      <c r="D852"/>
      <c r="E852"/>
      <c r="F852"/>
      <c r="G852"/>
      <c r="H852"/>
    </row>
    <row r="853" spans="1:8" x14ac:dyDescent="0.35">
      <c r="A853"/>
      <c r="B853"/>
      <c r="C853"/>
      <c r="D853"/>
      <c r="E853"/>
      <c r="F853"/>
      <c r="G853"/>
      <c r="H853"/>
    </row>
    <row r="854" spans="1:8" x14ac:dyDescent="0.35">
      <c r="A854"/>
      <c r="B854"/>
      <c r="C854"/>
      <c r="D854"/>
      <c r="E854"/>
      <c r="F854"/>
      <c r="G854"/>
      <c r="H854"/>
    </row>
    <row r="855" spans="1:8" x14ac:dyDescent="0.35">
      <c r="A855"/>
      <c r="B855"/>
      <c r="C855"/>
      <c r="D855"/>
      <c r="E855"/>
      <c r="F855"/>
      <c r="G855"/>
      <c r="H855"/>
    </row>
    <row r="856" spans="1:8" x14ac:dyDescent="0.35">
      <c r="A856"/>
      <c r="B856"/>
      <c r="C856"/>
      <c r="D856"/>
      <c r="E856"/>
      <c r="F856"/>
      <c r="G856"/>
      <c r="H856"/>
    </row>
    <row r="857" spans="1:8" x14ac:dyDescent="0.35">
      <c r="A857"/>
      <c r="B857"/>
      <c r="C857"/>
      <c r="D857"/>
      <c r="E857"/>
      <c r="F857"/>
      <c r="G857"/>
      <c r="H857"/>
    </row>
    <row r="858" spans="1:8" x14ac:dyDescent="0.35">
      <c r="A858"/>
      <c r="B858"/>
      <c r="C858"/>
      <c r="D858"/>
      <c r="E858"/>
      <c r="F858"/>
      <c r="G858"/>
      <c r="H858"/>
    </row>
    <row r="859" spans="1:8" x14ac:dyDescent="0.35">
      <c r="A859"/>
      <c r="B859"/>
      <c r="C859"/>
      <c r="D859"/>
      <c r="E859"/>
      <c r="F859"/>
      <c r="G859"/>
      <c r="H859"/>
    </row>
    <row r="860" spans="1:8" x14ac:dyDescent="0.35">
      <c r="A860"/>
      <c r="B860"/>
      <c r="C860"/>
      <c r="D860"/>
      <c r="E860"/>
      <c r="F860"/>
      <c r="G860"/>
      <c r="H860"/>
    </row>
    <row r="861" spans="1:8" x14ac:dyDescent="0.35">
      <c r="A861"/>
      <c r="B861"/>
      <c r="C861"/>
      <c r="D861"/>
      <c r="E861"/>
      <c r="F861"/>
      <c r="G861"/>
      <c r="H861"/>
    </row>
    <row r="862" spans="1:8" x14ac:dyDescent="0.35">
      <c r="A862"/>
      <c r="B862"/>
      <c r="C862"/>
      <c r="D862"/>
      <c r="E862"/>
      <c r="F862"/>
      <c r="G862"/>
      <c r="H862"/>
    </row>
    <row r="863" spans="1:8" x14ac:dyDescent="0.35">
      <c r="A863"/>
      <c r="B863"/>
      <c r="C863"/>
      <c r="D863"/>
      <c r="E863"/>
      <c r="F863"/>
      <c r="G863"/>
      <c r="H863"/>
    </row>
    <row r="864" spans="1:8" x14ac:dyDescent="0.35">
      <c r="A864"/>
      <c r="B864"/>
      <c r="C864"/>
      <c r="D864"/>
      <c r="E864"/>
      <c r="F864"/>
      <c r="G864"/>
      <c r="H864"/>
    </row>
    <row r="865" spans="1:8" x14ac:dyDescent="0.35">
      <c r="A865"/>
      <c r="B865"/>
      <c r="C865"/>
      <c r="D865"/>
      <c r="E865"/>
      <c r="F865"/>
      <c r="G865"/>
      <c r="H865"/>
    </row>
    <row r="866" spans="1:8" x14ac:dyDescent="0.35">
      <c r="A866"/>
      <c r="B866"/>
      <c r="C866"/>
      <c r="D866"/>
      <c r="E866"/>
      <c r="F866"/>
      <c r="G866"/>
      <c r="H866"/>
    </row>
    <row r="867" spans="1:8" x14ac:dyDescent="0.35">
      <c r="A867"/>
      <c r="B867"/>
      <c r="C867"/>
      <c r="D867"/>
      <c r="E867"/>
      <c r="F867"/>
      <c r="G867"/>
      <c r="H867"/>
    </row>
    <row r="868" spans="1:8" x14ac:dyDescent="0.35">
      <c r="A868"/>
      <c r="B868"/>
      <c r="C868"/>
      <c r="D868"/>
      <c r="E868"/>
      <c r="F868"/>
      <c r="G868"/>
      <c r="H868"/>
    </row>
    <row r="869" spans="1:8" x14ac:dyDescent="0.35">
      <c r="A869"/>
      <c r="B869"/>
      <c r="C869"/>
      <c r="D869"/>
      <c r="E869"/>
      <c r="F869"/>
      <c r="G869"/>
      <c r="H869"/>
    </row>
    <row r="870" spans="1:8" x14ac:dyDescent="0.35">
      <c r="A870"/>
      <c r="B870"/>
      <c r="C870"/>
      <c r="D870"/>
      <c r="E870"/>
      <c r="F870"/>
      <c r="G870"/>
      <c r="H870"/>
    </row>
    <row r="871" spans="1:8" x14ac:dyDescent="0.35">
      <c r="A871"/>
      <c r="B871"/>
      <c r="C871"/>
      <c r="D871"/>
      <c r="E871"/>
      <c r="F871"/>
      <c r="G871"/>
      <c r="H871"/>
    </row>
    <row r="872" spans="1:8" x14ac:dyDescent="0.35">
      <c r="A872"/>
      <c r="B872"/>
      <c r="C872"/>
      <c r="D872"/>
      <c r="E872"/>
      <c r="F872"/>
      <c r="G872"/>
      <c r="H872"/>
    </row>
    <row r="873" spans="1:8" x14ac:dyDescent="0.35">
      <c r="A873"/>
      <c r="B873"/>
      <c r="C873"/>
      <c r="D873"/>
      <c r="E873"/>
      <c r="F873"/>
      <c r="G873"/>
      <c r="H873"/>
    </row>
    <row r="874" spans="1:8" x14ac:dyDescent="0.35">
      <c r="A874"/>
      <c r="B874"/>
      <c r="C874"/>
      <c r="D874"/>
      <c r="E874"/>
      <c r="F874"/>
      <c r="G874"/>
      <c r="H874"/>
    </row>
    <row r="875" spans="1:8" x14ac:dyDescent="0.35">
      <c r="A875"/>
      <c r="B875"/>
      <c r="C875"/>
      <c r="D875"/>
      <c r="E875"/>
      <c r="F875"/>
      <c r="G875"/>
      <c r="H875"/>
    </row>
    <row r="876" spans="1:8" x14ac:dyDescent="0.35">
      <c r="A876"/>
      <c r="B876"/>
      <c r="C876"/>
      <c r="D876"/>
      <c r="E876"/>
      <c r="F876"/>
      <c r="G876"/>
      <c r="H876"/>
    </row>
    <row r="877" spans="1:8" x14ac:dyDescent="0.35">
      <c r="A877"/>
      <c r="B877"/>
      <c r="C877"/>
      <c r="D877"/>
      <c r="E877"/>
      <c r="F877"/>
      <c r="G877"/>
      <c r="H877"/>
    </row>
    <row r="878" spans="1:8" x14ac:dyDescent="0.35">
      <c r="A878"/>
      <c r="B878"/>
      <c r="C878"/>
      <c r="D878"/>
      <c r="E878"/>
      <c r="F878"/>
      <c r="G878"/>
      <c r="H878"/>
    </row>
    <row r="879" spans="1:8" x14ac:dyDescent="0.35">
      <c r="A879"/>
      <c r="B879"/>
      <c r="C879"/>
      <c r="D879"/>
      <c r="E879"/>
      <c r="F879"/>
      <c r="G879"/>
      <c r="H879"/>
    </row>
    <row r="880" spans="1:8" x14ac:dyDescent="0.35">
      <c r="A880"/>
      <c r="B880"/>
      <c r="C880"/>
      <c r="D880"/>
      <c r="E880"/>
      <c r="F880"/>
      <c r="G880"/>
      <c r="H880"/>
    </row>
    <row r="881" spans="1:8" x14ac:dyDescent="0.35">
      <c r="A881"/>
      <c r="B881"/>
      <c r="C881"/>
      <c r="D881"/>
      <c r="E881"/>
      <c r="F881"/>
      <c r="G881"/>
      <c r="H881"/>
    </row>
    <row r="882" spans="1:8" x14ac:dyDescent="0.35">
      <c r="A882"/>
      <c r="B882"/>
      <c r="C882"/>
      <c r="D882"/>
      <c r="E882"/>
      <c r="F882"/>
      <c r="G882"/>
      <c r="H882"/>
    </row>
    <row r="883" spans="1:8" x14ac:dyDescent="0.35">
      <c r="A883"/>
      <c r="B883"/>
      <c r="C883"/>
      <c r="D883"/>
      <c r="E883"/>
      <c r="F883"/>
      <c r="G883"/>
      <c r="H883"/>
    </row>
    <row r="884" spans="1:8" x14ac:dyDescent="0.35">
      <c r="A884"/>
      <c r="B884"/>
      <c r="C884"/>
      <c r="D884"/>
      <c r="E884"/>
      <c r="F884"/>
      <c r="G884"/>
      <c r="H884"/>
    </row>
    <row r="885" spans="1:8" x14ac:dyDescent="0.35">
      <c r="A885"/>
      <c r="B885"/>
      <c r="C885"/>
      <c r="D885"/>
      <c r="E885"/>
      <c r="F885"/>
      <c r="G885"/>
      <c r="H885"/>
    </row>
    <row r="886" spans="1:8" x14ac:dyDescent="0.35">
      <c r="A886"/>
      <c r="B886"/>
      <c r="C886"/>
      <c r="D886"/>
      <c r="E886"/>
      <c r="F886"/>
      <c r="G886"/>
      <c r="H886"/>
    </row>
    <row r="887" spans="1:8" x14ac:dyDescent="0.35">
      <c r="A887"/>
      <c r="B887"/>
      <c r="C887"/>
      <c r="D887"/>
      <c r="E887"/>
      <c r="F887"/>
      <c r="G887"/>
      <c r="H887"/>
    </row>
    <row r="888" spans="1:8" x14ac:dyDescent="0.35">
      <c r="A888"/>
      <c r="B888"/>
      <c r="C888"/>
      <c r="D888"/>
      <c r="E888"/>
      <c r="F888"/>
      <c r="G888"/>
      <c r="H888"/>
    </row>
    <row r="889" spans="1:8" x14ac:dyDescent="0.35">
      <c r="A889"/>
      <c r="B889"/>
      <c r="C889"/>
      <c r="D889"/>
      <c r="E889"/>
      <c r="F889"/>
      <c r="G889"/>
      <c r="H889"/>
    </row>
    <row r="890" spans="1:8" x14ac:dyDescent="0.35">
      <c r="A890"/>
      <c r="B890"/>
      <c r="C890"/>
      <c r="D890"/>
      <c r="E890"/>
      <c r="F890"/>
      <c r="G890"/>
      <c r="H890"/>
    </row>
    <row r="891" spans="1:8" x14ac:dyDescent="0.35">
      <c r="A891"/>
      <c r="B891"/>
      <c r="C891"/>
      <c r="D891"/>
      <c r="E891"/>
      <c r="F891"/>
      <c r="G891"/>
      <c r="H891"/>
    </row>
    <row r="892" spans="1:8" x14ac:dyDescent="0.35">
      <c r="A892"/>
      <c r="B892"/>
      <c r="C892"/>
      <c r="D892"/>
      <c r="E892"/>
      <c r="F892"/>
      <c r="G892"/>
      <c r="H892"/>
    </row>
    <row r="893" spans="1:8" x14ac:dyDescent="0.35">
      <c r="A893"/>
      <c r="B893"/>
      <c r="C893"/>
      <c r="D893"/>
      <c r="E893"/>
      <c r="F893"/>
      <c r="G893"/>
      <c r="H893"/>
    </row>
    <row r="894" spans="1:8" x14ac:dyDescent="0.35">
      <c r="A894"/>
      <c r="B894"/>
      <c r="C894"/>
      <c r="D894"/>
      <c r="E894"/>
      <c r="F894"/>
      <c r="G894"/>
      <c r="H894"/>
    </row>
    <row r="895" spans="1:8" x14ac:dyDescent="0.35">
      <c r="A895"/>
      <c r="B895"/>
      <c r="C895"/>
      <c r="D895"/>
      <c r="E895"/>
      <c r="F895"/>
      <c r="G895"/>
      <c r="H895"/>
    </row>
    <row r="896" spans="1:8" x14ac:dyDescent="0.35">
      <c r="A896"/>
      <c r="B896"/>
      <c r="C896"/>
      <c r="D896"/>
      <c r="E896"/>
      <c r="F896"/>
      <c r="G896"/>
      <c r="H896"/>
    </row>
    <row r="897" spans="1:8" x14ac:dyDescent="0.35">
      <c r="A897"/>
      <c r="B897"/>
      <c r="C897"/>
      <c r="D897"/>
      <c r="E897"/>
      <c r="F897"/>
      <c r="G897"/>
      <c r="H897"/>
    </row>
    <row r="898" spans="1:8" x14ac:dyDescent="0.35">
      <c r="A898"/>
      <c r="B898"/>
      <c r="C898"/>
      <c r="D898"/>
      <c r="E898"/>
      <c r="F898"/>
      <c r="G898"/>
      <c r="H898"/>
    </row>
    <row r="899" spans="1:8" x14ac:dyDescent="0.35">
      <c r="A899"/>
      <c r="B899"/>
      <c r="C899"/>
      <c r="D899"/>
      <c r="E899"/>
      <c r="F899"/>
      <c r="G899"/>
      <c r="H899"/>
    </row>
    <row r="900" spans="1:8" x14ac:dyDescent="0.35">
      <c r="A900"/>
      <c r="B900"/>
      <c r="C900"/>
      <c r="D900"/>
      <c r="E900"/>
      <c r="F900"/>
      <c r="G900"/>
      <c r="H900"/>
    </row>
    <row r="901" spans="1:8" x14ac:dyDescent="0.35">
      <c r="A901"/>
      <c r="B901"/>
      <c r="C901"/>
      <c r="D901"/>
      <c r="E901"/>
      <c r="F901"/>
      <c r="G901"/>
      <c r="H901"/>
    </row>
    <row r="902" spans="1:8" x14ac:dyDescent="0.35">
      <c r="A902"/>
      <c r="B902"/>
      <c r="C902"/>
      <c r="D902"/>
      <c r="E902"/>
      <c r="F902"/>
      <c r="G902"/>
      <c r="H902"/>
    </row>
    <row r="903" spans="1:8" x14ac:dyDescent="0.35">
      <c r="A903"/>
      <c r="B903"/>
      <c r="C903"/>
      <c r="D903"/>
      <c r="E903"/>
      <c r="F903"/>
      <c r="G903"/>
      <c r="H903"/>
    </row>
    <row r="904" spans="1:8" x14ac:dyDescent="0.35">
      <c r="A904"/>
      <c r="B904"/>
      <c r="C904"/>
      <c r="D904"/>
      <c r="E904"/>
      <c r="F904"/>
      <c r="G904"/>
      <c r="H904"/>
    </row>
    <row r="905" spans="1:8" x14ac:dyDescent="0.35">
      <c r="A905"/>
      <c r="B905"/>
      <c r="C905"/>
      <c r="D905"/>
      <c r="E905"/>
      <c r="F905"/>
      <c r="G905"/>
      <c r="H905"/>
    </row>
    <row r="906" spans="1:8" x14ac:dyDescent="0.35">
      <c r="A906"/>
      <c r="B906"/>
      <c r="C906"/>
      <c r="D906"/>
      <c r="E906"/>
      <c r="F906"/>
      <c r="G906"/>
      <c r="H906"/>
    </row>
    <row r="907" spans="1:8" x14ac:dyDescent="0.35">
      <c r="A907"/>
      <c r="B907"/>
      <c r="C907"/>
      <c r="D907"/>
      <c r="E907"/>
      <c r="F907"/>
      <c r="G907"/>
      <c r="H907"/>
    </row>
    <row r="908" spans="1:8" x14ac:dyDescent="0.35">
      <c r="A908"/>
      <c r="B908"/>
      <c r="C908"/>
      <c r="D908"/>
      <c r="E908"/>
      <c r="F908"/>
      <c r="G908"/>
      <c r="H908"/>
    </row>
    <row r="909" spans="1:8" x14ac:dyDescent="0.35">
      <c r="A909"/>
      <c r="B909"/>
      <c r="C909"/>
      <c r="D909"/>
      <c r="E909"/>
      <c r="F909"/>
      <c r="G909"/>
      <c r="H909"/>
    </row>
    <row r="910" spans="1:8" x14ac:dyDescent="0.35">
      <c r="A910"/>
      <c r="B910"/>
      <c r="C910"/>
      <c r="D910"/>
      <c r="E910"/>
      <c r="F910"/>
      <c r="G910"/>
      <c r="H910"/>
    </row>
    <row r="911" spans="1:8" x14ac:dyDescent="0.35">
      <c r="A911"/>
      <c r="B911"/>
      <c r="C911"/>
      <c r="D911"/>
      <c r="E911"/>
      <c r="F911"/>
      <c r="G911"/>
      <c r="H911"/>
    </row>
    <row r="912" spans="1:8" x14ac:dyDescent="0.35">
      <c r="A912"/>
      <c r="B912"/>
      <c r="C912"/>
      <c r="D912"/>
      <c r="E912"/>
      <c r="F912"/>
      <c r="G912"/>
      <c r="H912"/>
    </row>
    <row r="913" spans="1:8" x14ac:dyDescent="0.35">
      <c r="A913"/>
      <c r="B913"/>
      <c r="C913"/>
      <c r="D913"/>
      <c r="E913"/>
      <c r="F913"/>
      <c r="G913"/>
      <c r="H913"/>
    </row>
    <row r="914" spans="1:8" x14ac:dyDescent="0.35">
      <c r="A914"/>
      <c r="B914"/>
      <c r="C914"/>
      <c r="D914"/>
      <c r="E914"/>
      <c r="F914"/>
      <c r="G914"/>
      <c r="H914"/>
    </row>
    <row r="915" spans="1:8" x14ac:dyDescent="0.35">
      <c r="A915"/>
      <c r="B915"/>
      <c r="C915"/>
      <c r="D915"/>
      <c r="E915"/>
      <c r="F915"/>
      <c r="G915"/>
      <c r="H915"/>
    </row>
    <row r="916" spans="1:8" x14ac:dyDescent="0.35">
      <c r="A916"/>
      <c r="B916"/>
      <c r="C916"/>
      <c r="D916"/>
      <c r="E916"/>
      <c r="F916"/>
      <c r="G916"/>
      <c r="H916"/>
    </row>
    <row r="917" spans="1:8" x14ac:dyDescent="0.35">
      <c r="A917"/>
      <c r="B917"/>
      <c r="C917"/>
      <c r="D917"/>
      <c r="E917"/>
      <c r="F917"/>
      <c r="G917"/>
      <c r="H917"/>
    </row>
    <row r="918" spans="1:8" x14ac:dyDescent="0.35">
      <c r="A918"/>
      <c r="B918"/>
      <c r="C918"/>
      <c r="D918"/>
      <c r="E918"/>
      <c r="F918"/>
      <c r="G918"/>
      <c r="H918"/>
    </row>
    <row r="919" spans="1:8" x14ac:dyDescent="0.35">
      <c r="A919"/>
      <c r="B919"/>
      <c r="C919"/>
      <c r="D919"/>
      <c r="E919"/>
      <c r="F919"/>
      <c r="G919"/>
      <c r="H919"/>
    </row>
    <row r="920" spans="1:8" x14ac:dyDescent="0.35">
      <c r="A920"/>
      <c r="B920"/>
      <c r="C920"/>
      <c r="D920"/>
      <c r="E920"/>
      <c r="F920"/>
      <c r="G920"/>
      <c r="H920"/>
    </row>
    <row r="921" spans="1:8" x14ac:dyDescent="0.35">
      <c r="A921"/>
      <c r="B921"/>
      <c r="C921"/>
      <c r="D921"/>
      <c r="E921"/>
      <c r="F921"/>
      <c r="G921"/>
      <c r="H921"/>
    </row>
    <row r="922" spans="1:8" x14ac:dyDescent="0.35">
      <c r="A922"/>
      <c r="B922"/>
      <c r="C922"/>
      <c r="D922"/>
      <c r="E922"/>
      <c r="F922"/>
      <c r="G922"/>
      <c r="H922"/>
    </row>
    <row r="923" spans="1:8" x14ac:dyDescent="0.35">
      <c r="A923"/>
      <c r="B923"/>
      <c r="C923"/>
      <c r="D923"/>
      <c r="E923"/>
      <c r="F923"/>
      <c r="G923"/>
      <c r="H923"/>
    </row>
    <row r="924" spans="1:8" x14ac:dyDescent="0.35">
      <c r="A924"/>
      <c r="B924"/>
      <c r="C924"/>
      <c r="D924"/>
      <c r="E924"/>
      <c r="F924"/>
      <c r="G924"/>
      <c r="H924"/>
    </row>
    <row r="925" spans="1:8" x14ac:dyDescent="0.35">
      <c r="A925"/>
      <c r="B925"/>
      <c r="C925"/>
      <c r="D925"/>
      <c r="E925"/>
      <c r="F925"/>
      <c r="G925"/>
      <c r="H925"/>
    </row>
    <row r="926" spans="1:8" x14ac:dyDescent="0.35">
      <c r="A926"/>
      <c r="B926"/>
      <c r="C926"/>
      <c r="D926"/>
      <c r="E926"/>
      <c r="F926"/>
      <c r="G926"/>
      <c r="H926"/>
    </row>
    <row r="927" spans="1:8" x14ac:dyDescent="0.35">
      <c r="A927"/>
      <c r="B927"/>
      <c r="C927"/>
      <c r="D927"/>
      <c r="E927"/>
      <c r="F927"/>
      <c r="G927"/>
      <c r="H927"/>
    </row>
    <row r="928" spans="1:8" x14ac:dyDescent="0.35">
      <c r="A928"/>
      <c r="B928"/>
      <c r="C928"/>
      <c r="D928"/>
      <c r="E928"/>
      <c r="F928"/>
      <c r="G928"/>
      <c r="H928"/>
    </row>
    <row r="929" spans="1:8" x14ac:dyDescent="0.35">
      <c r="A929"/>
      <c r="B929"/>
      <c r="C929"/>
      <c r="D929"/>
      <c r="E929"/>
      <c r="F929"/>
      <c r="G929"/>
      <c r="H929"/>
    </row>
    <row r="930" spans="1:8" x14ac:dyDescent="0.35">
      <c r="A930"/>
      <c r="B930"/>
      <c r="C930"/>
      <c r="D930"/>
      <c r="E930"/>
      <c r="F930"/>
      <c r="G930"/>
      <c r="H930"/>
    </row>
    <row r="931" spans="1:8" x14ac:dyDescent="0.35">
      <c r="A931"/>
      <c r="B931"/>
      <c r="C931"/>
      <c r="D931"/>
      <c r="E931"/>
      <c r="F931"/>
      <c r="G931"/>
      <c r="H931"/>
    </row>
    <row r="932" spans="1:8" x14ac:dyDescent="0.35">
      <c r="A932"/>
      <c r="B932"/>
      <c r="C932"/>
      <c r="D932"/>
      <c r="E932"/>
      <c r="F932"/>
      <c r="G932"/>
      <c r="H932"/>
    </row>
    <row r="933" spans="1:8" x14ac:dyDescent="0.35">
      <c r="A933"/>
      <c r="B933"/>
      <c r="C933"/>
      <c r="D933"/>
      <c r="E933"/>
      <c r="F933"/>
      <c r="G933"/>
      <c r="H933"/>
    </row>
    <row r="934" spans="1:8" x14ac:dyDescent="0.35">
      <c r="A934"/>
      <c r="B934"/>
      <c r="C934"/>
      <c r="D934"/>
      <c r="E934"/>
      <c r="F934"/>
      <c r="G934"/>
      <c r="H934"/>
    </row>
    <row r="935" spans="1:8" x14ac:dyDescent="0.35">
      <c r="A935"/>
      <c r="B935"/>
      <c r="C935"/>
      <c r="D935"/>
      <c r="E935"/>
      <c r="F935"/>
      <c r="G935"/>
      <c r="H935"/>
    </row>
    <row r="936" spans="1:8" x14ac:dyDescent="0.35">
      <c r="A936"/>
      <c r="B936"/>
      <c r="C936"/>
      <c r="D936"/>
      <c r="E936"/>
      <c r="F936"/>
      <c r="G936"/>
      <c r="H936"/>
    </row>
    <row r="937" spans="1:8" x14ac:dyDescent="0.35">
      <c r="A937"/>
      <c r="B937"/>
      <c r="C937"/>
      <c r="D937"/>
      <c r="E937"/>
      <c r="F937"/>
      <c r="G937"/>
      <c r="H937"/>
    </row>
    <row r="938" spans="1:8" x14ac:dyDescent="0.35">
      <c r="A938"/>
      <c r="B938"/>
      <c r="C938"/>
      <c r="D938"/>
      <c r="E938"/>
      <c r="F938"/>
      <c r="G938"/>
      <c r="H938"/>
    </row>
    <row r="939" spans="1:8" x14ac:dyDescent="0.35">
      <c r="A939"/>
      <c r="B939"/>
      <c r="C939"/>
      <c r="D939"/>
      <c r="E939"/>
      <c r="F939"/>
      <c r="G939"/>
      <c r="H939"/>
    </row>
    <row r="940" spans="1:8" x14ac:dyDescent="0.35">
      <c r="A940"/>
      <c r="B940"/>
      <c r="C940"/>
      <c r="D940"/>
      <c r="E940"/>
      <c r="F940"/>
      <c r="G940"/>
      <c r="H940"/>
    </row>
    <row r="941" spans="1:8" x14ac:dyDescent="0.35">
      <c r="A941"/>
      <c r="B941"/>
      <c r="C941"/>
      <c r="D941"/>
      <c r="E941"/>
      <c r="F941"/>
      <c r="G941"/>
      <c r="H941"/>
    </row>
    <row r="942" spans="1:8" x14ac:dyDescent="0.35">
      <c r="A942"/>
      <c r="B942"/>
      <c r="C942"/>
      <c r="D942"/>
      <c r="E942"/>
      <c r="F942"/>
      <c r="G942"/>
      <c r="H942"/>
    </row>
    <row r="943" spans="1:8" x14ac:dyDescent="0.35">
      <c r="A943"/>
      <c r="B943"/>
      <c r="C943"/>
      <c r="D943"/>
      <c r="E943"/>
      <c r="F943"/>
      <c r="G943"/>
      <c r="H943"/>
    </row>
    <row r="944" spans="1:8" x14ac:dyDescent="0.35">
      <c r="A944"/>
      <c r="B944"/>
      <c r="C944"/>
      <c r="D944"/>
      <c r="E944"/>
      <c r="F944"/>
      <c r="G944"/>
      <c r="H944"/>
    </row>
    <row r="945" spans="1:8" x14ac:dyDescent="0.35">
      <c r="A945"/>
      <c r="B945"/>
      <c r="C945"/>
      <c r="D945"/>
      <c r="E945"/>
      <c r="F945"/>
      <c r="G945"/>
      <c r="H945"/>
    </row>
    <row r="946" spans="1:8" x14ac:dyDescent="0.35">
      <c r="A946"/>
      <c r="B946"/>
      <c r="C946"/>
      <c r="D946"/>
      <c r="E946"/>
      <c r="F946"/>
      <c r="G946"/>
      <c r="H946"/>
    </row>
    <row r="947" spans="1:8" x14ac:dyDescent="0.35">
      <c r="A947"/>
      <c r="B947"/>
      <c r="C947"/>
      <c r="D947"/>
      <c r="E947"/>
      <c r="F947"/>
      <c r="G947"/>
      <c r="H947"/>
    </row>
    <row r="948" spans="1:8" x14ac:dyDescent="0.35">
      <c r="A948"/>
      <c r="B948"/>
      <c r="C948"/>
      <c r="D948"/>
      <c r="E948"/>
      <c r="F948"/>
      <c r="G948"/>
      <c r="H948"/>
    </row>
    <row r="949" spans="1:8" x14ac:dyDescent="0.35">
      <c r="A949"/>
      <c r="B949"/>
      <c r="C949"/>
      <c r="D949"/>
      <c r="E949"/>
      <c r="F949"/>
      <c r="G949"/>
      <c r="H949"/>
    </row>
    <row r="950" spans="1:8" x14ac:dyDescent="0.35">
      <c r="A950"/>
      <c r="B950"/>
      <c r="C950"/>
      <c r="D950"/>
      <c r="E950"/>
      <c r="F950"/>
      <c r="G950"/>
      <c r="H950"/>
    </row>
    <row r="951" spans="1:8" x14ac:dyDescent="0.35">
      <c r="A951"/>
      <c r="B951"/>
      <c r="C951"/>
      <c r="D951"/>
      <c r="E951"/>
      <c r="F951"/>
      <c r="G951"/>
      <c r="H951"/>
    </row>
    <row r="952" spans="1:8" x14ac:dyDescent="0.35">
      <c r="A952"/>
      <c r="B952"/>
      <c r="C952"/>
      <c r="D952"/>
      <c r="E952"/>
      <c r="F952"/>
      <c r="G952"/>
      <c r="H952"/>
    </row>
    <row r="953" spans="1:8" x14ac:dyDescent="0.35">
      <c r="A953"/>
      <c r="B953"/>
      <c r="C953"/>
      <c r="D953"/>
      <c r="E953"/>
      <c r="F953"/>
      <c r="G953"/>
      <c r="H953"/>
    </row>
    <row r="954" spans="1:8" x14ac:dyDescent="0.35">
      <c r="A954"/>
      <c r="B954"/>
      <c r="C954"/>
      <c r="D954"/>
      <c r="E954"/>
      <c r="F954"/>
      <c r="G954"/>
      <c r="H954"/>
    </row>
    <row r="955" spans="1:8" x14ac:dyDescent="0.35">
      <c r="A955"/>
      <c r="B955"/>
      <c r="C955"/>
      <c r="D955"/>
      <c r="E955"/>
      <c r="F955"/>
      <c r="G955"/>
      <c r="H955"/>
    </row>
    <row r="956" spans="1:8" x14ac:dyDescent="0.35">
      <c r="A956"/>
      <c r="B956"/>
      <c r="C956"/>
      <c r="D956"/>
      <c r="E956"/>
      <c r="F956"/>
      <c r="G956"/>
      <c r="H956"/>
    </row>
    <row r="957" spans="1:8" x14ac:dyDescent="0.35">
      <c r="A957"/>
      <c r="B957"/>
      <c r="C957"/>
      <c r="D957"/>
      <c r="E957"/>
      <c r="F957"/>
      <c r="G957"/>
      <c r="H957"/>
    </row>
    <row r="958" spans="1:8" x14ac:dyDescent="0.35">
      <c r="A958"/>
      <c r="B958"/>
      <c r="C958"/>
      <c r="D958"/>
      <c r="E958"/>
      <c r="F958"/>
      <c r="G958"/>
      <c r="H958"/>
    </row>
    <row r="959" spans="1:8" x14ac:dyDescent="0.35">
      <c r="A959"/>
      <c r="B959"/>
      <c r="C959"/>
      <c r="D959"/>
      <c r="E959"/>
      <c r="F959"/>
      <c r="G959"/>
      <c r="H959"/>
    </row>
    <row r="960" spans="1:8" x14ac:dyDescent="0.35">
      <c r="A960"/>
      <c r="B960"/>
      <c r="C960"/>
      <c r="D960"/>
      <c r="E960"/>
      <c r="F960"/>
      <c r="G960"/>
      <c r="H960"/>
    </row>
    <row r="961" spans="1:8" x14ac:dyDescent="0.35">
      <c r="A961"/>
      <c r="B961"/>
      <c r="C961"/>
      <c r="D961"/>
      <c r="E961"/>
      <c r="F961"/>
      <c r="G961"/>
      <c r="H961"/>
    </row>
    <row r="962" spans="1:8" x14ac:dyDescent="0.35">
      <c r="A962"/>
      <c r="B962"/>
      <c r="C962"/>
      <c r="D962"/>
      <c r="E962"/>
      <c r="F962"/>
      <c r="G962"/>
      <c r="H962"/>
    </row>
    <row r="963" spans="1:8" x14ac:dyDescent="0.35">
      <c r="A963"/>
      <c r="B963"/>
      <c r="C963"/>
      <c r="D963"/>
      <c r="E963"/>
      <c r="F963"/>
      <c r="G963"/>
      <c r="H963"/>
    </row>
    <row r="964" spans="1:8" x14ac:dyDescent="0.35">
      <c r="A964"/>
      <c r="B964"/>
      <c r="C964"/>
      <c r="D964"/>
      <c r="E964"/>
      <c r="F964"/>
      <c r="G964"/>
      <c r="H964"/>
    </row>
    <row r="965" spans="1:8" x14ac:dyDescent="0.35">
      <c r="A965"/>
      <c r="B965"/>
      <c r="C965"/>
      <c r="D965"/>
      <c r="E965"/>
      <c r="F965"/>
      <c r="G965"/>
      <c r="H965"/>
    </row>
    <row r="966" spans="1:8" x14ac:dyDescent="0.35">
      <c r="A966"/>
      <c r="B966"/>
      <c r="C966"/>
      <c r="D966"/>
      <c r="E966"/>
      <c r="F966"/>
      <c r="G966"/>
      <c r="H966"/>
    </row>
    <row r="967" spans="1:8" x14ac:dyDescent="0.35">
      <c r="A967"/>
      <c r="B967"/>
      <c r="C967"/>
      <c r="D967"/>
      <c r="E967"/>
      <c r="F967"/>
      <c r="G967"/>
      <c r="H967"/>
    </row>
    <row r="968" spans="1:8" x14ac:dyDescent="0.35">
      <c r="A968"/>
      <c r="B968"/>
      <c r="C968"/>
      <c r="D968"/>
      <c r="E968"/>
      <c r="F968"/>
      <c r="G968"/>
      <c r="H968"/>
    </row>
    <row r="969" spans="1:8" x14ac:dyDescent="0.35">
      <c r="A969"/>
      <c r="B969"/>
      <c r="C969"/>
      <c r="D969"/>
      <c r="E969"/>
      <c r="F969"/>
      <c r="G969"/>
      <c r="H969"/>
    </row>
    <row r="970" spans="1:8" x14ac:dyDescent="0.35">
      <c r="A970"/>
      <c r="B970"/>
      <c r="C970"/>
      <c r="D970"/>
      <c r="E970"/>
      <c r="F970"/>
      <c r="G970"/>
      <c r="H970"/>
    </row>
    <row r="971" spans="1:8" x14ac:dyDescent="0.35">
      <c r="A971"/>
      <c r="B971"/>
      <c r="C971"/>
      <c r="D971"/>
      <c r="E971"/>
      <c r="F971"/>
      <c r="G971"/>
      <c r="H971"/>
    </row>
    <row r="972" spans="1:8" x14ac:dyDescent="0.35">
      <c r="A972"/>
      <c r="B972"/>
      <c r="C972"/>
      <c r="D972"/>
      <c r="E972"/>
      <c r="F972"/>
      <c r="G972"/>
      <c r="H972"/>
    </row>
    <row r="973" spans="1:8" x14ac:dyDescent="0.35">
      <c r="A973"/>
      <c r="B973"/>
      <c r="C973"/>
      <c r="D973"/>
      <c r="E973"/>
      <c r="F973"/>
      <c r="G973"/>
      <c r="H973"/>
    </row>
    <row r="974" spans="1:8" x14ac:dyDescent="0.35">
      <c r="A974"/>
      <c r="B974"/>
      <c r="C974"/>
      <c r="D974"/>
      <c r="E974"/>
      <c r="F974"/>
      <c r="G974"/>
      <c r="H974"/>
    </row>
    <row r="975" spans="1:8" x14ac:dyDescent="0.35">
      <c r="A975"/>
      <c r="B975"/>
      <c r="C975"/>
      <c r="D975"/>
      <c r="E975"/>
      <c r="F975"/>
      <c r="G975"/>
      <c r="H975"/>
    </row>
    <row r="976" spans="1:8" x14ac:dyDescent="0.35">
      <c r="A976"/>
      <c r="B976"/>
      <c r="C976"/>
      <c r="D976"/>
      <c r="E976"/>
      <c r="F976"/>
      <c r="G976"/>
      <c r="H976"/>
    </row>
    <row r="977" spans="1:8" x14ac:dyDescent="0.35">
      <c r="A977"/>
      <c r="B977"/>
      <c r="C977"/>
      <c r="D977"/>
      <c r="E977"/>
      <c r="F977"/>
      <c r="G977"/>
      <c r="H977"/>
    </row>
    <row r="978" spans="1:8" x14ac:dyDescent="0.35">
      <c r="A978"/>
      <c r="B978"/>
      <c r="C978"/>
      <c r="D978"/>
      <c r="E978"/>
      <c r="F978"/>
      <c r="G978"/>
      <c r="H978"/>
    </row>
    <row r="979" spans="1:8" x14ac:dyDescent="0.35">
      <c r="A979"/>
      <c r="B979"/>
      <c r="C979"/>
      <c r="D979"/>
      <c r="E979"/>
      <c r="F979"/>
      <c r="G979"/>
      <c r="H979"/>
    </row>
    <row r="980" spans="1:8" x14ac:dyDescent="0.35">
      <c r="A980"/>
      <c r="B980"/>
      <c r="C980"/>
      <c r="D980"/>
      <c r="E980"/>
      <c r="F980"/>
      <c r="G980"/>
      <c r="H980"/>
    </row>
    <row r="981" spans="1:8" x14ac:dyDescent="0.35">
      <c r="A981"/>
      <c r="B981"/>
      <c r="C981"/>
      <c r="D981"/>
      <c r="E981"/>
      <c r="F981"/>
      <c r="G981"/>
      <c r="H981"/>
    </row>
    <row r="982" spans="1:8" x14ac:dyDescent="0.35">
      <c r="A982"/>
      <c r="B982"/>
      <c r="C982"/>
      <c r="D982"/>
      <c r="E982"/>
      <c r="F982"/>
      <c r="G982"/>
      <c r="H982"/>
    </row>
    <row r="983" spans="1:8" x14ac:dyDescent="0.35">
      <c r="A983"/>
      <c r="B983"/>
      <c r="C983"/>
      <c r="D983"/>
      <c r="E983"/>
      <c r="F983"/>
      <c r="G983"/>
      <c r="H983"/>
    </row>
    <row r="984" spans="1:8" x14ac:dyDescent="0.35">
      <c r="A984"/>
      <c r="B984"/>
      <c r="C984"/>
      <c r="D984"/>
      <c r="E984"/>
      <c r="F984"/>
      <c r="G984"/>
      <c r="H984"/>
    </row>
    <row r="985" spans="1:8" x14ac:dyDescent="0.35">
      <c r="A985"/>
      <c r="B985"/>
      <c r="C985"/>
      <c r="D985"/>
      <c r="E985"/>
      <c r="F985"/>
      <c r="G985"/>
      <c r="H985"/>
    </row>
    <row r="986" spans="1:8" x14ac:dyDescent="0.35">
      <c r="A986"/>
      <c r="B986"/>
      <c r="C986"/>
      <c r="D986"/>
      <c r="E986"/>
      <c r="F986"/>
      <c r="G986"/>
      <c r="H986"/>
    </row>
    <row r="987" spans="1:8" x14ac:dyDescent="0.35">
      <c r="A987"/>
      <c r="B987"/>
      <c r="C987"/>
      <c r="D987"/>
      <c r="E987"/>
      <c r="F987"/>
      <c r="G987"/>
      <c r="H987"/>
    </row>
    <row r="988" spans="1:8" x14ac:dyDescent="0.35">
      <c r="A988"/>
      <c r="B988"/>
      <c r="C988"/>
      <c r="D988"/>
      <c r="E988"/>
      <c r="F988"/>
      <c r="G988"/>
      <c r="H988"/>
    </row>
    <row r="989" spans="1:8" x14ac:dyDescent="0.35">
      <c r="A989"/>
      <c r="B989"/>
      <c r="C989"/>
      <c r="D989"/>
      <c r="E989"/>
      <c r="F989"/>
      <c r="G989"/>
      <c r="H989"/>
    </row>
    <row r="990" spans="1:8" x14ac:dyDescent="0.35">
      <c r="A990"/>
      <c r="B990"/>
      <c r="C990"/>
      <c r="D990"/>
      <c r="E990"/>
      <c r="F990"/>
      <c r="G990"/>
      <c r="H990"/>
    </row>
    <row r="991" spans="1:8" x14ac:dyDescent="0.35">
      <c r="A991"/>
      <c r="B991"/>
      <c r="C991"/>
      <c r="D991"/>
      <c r="E991"/>
      <c r="F991"/>
      <c r="G991"/>
      <c r="H991"/>
    </row>
    <row r="992" spans="1:8" x14ac:dyDescent="0.35">
      <c r="A992"/>
      <c r="B992"/>
      <c r="C992"/>
      <c r="D992"/>
      <c r="E992"/>
      <c r="F992"/>
      <c r="G992"/>
      <c r="H992"/>
    </row>
    <row r="993" spans="1:8" x14ac:dyDescent="0.35">
      <c r="A993"/>
      <c r="B993"/>
      <c r="C993"/>
      <c r="D993"/>
      <c r="E993"/>
      <c r="F993"/>
      <c r="G993"/>
      <c r="H993"/>
    </row>
    <row r="994" spans="1:8" x14ac:dyDescent="0.35">
      <c r="A994"/>
      <c r="B994"/>
      <c r="C994"/>
      <c r="D994"/>
      <c r="E994"/>
      <c r="F994"/>
      <c r="G994"/>
      <c r="H994"/>
    </row>
    <row r="995" spans="1:8" x14ac:dyDescent="0.35">
      <c r="A995"/>
      <c r="B995"/>
      <c r="C995"/>
      <c r="D995"/>
      <c r="E995"/>
      <c r="F995"/>
      <c r="G995"/>
      <c r="H995"/>
    </row>
    <row r="996" spans="1:8" x14ac:dyDescent="0.35">
      <c r="A996"/>
      <c r="B996"/>
      <c r="C996"/>
      <c r="D996"/>
      <c r="E996"/>
      <c r="F996"/>
      <c r="G996"/>
      <c r="H996"/>
    </row>
    <row r="997" spans="1:8" x14ac:dyDescent="0.35">
      <c r="A997"/>
      <c r="B997"/>
      <c r="C997"/>
      <c r="D997"/>
      <c r="E997"/>
      <c r="F997"/>
      <c r="G997"/>
      <c r="H997"/>
    </row>
    <row r="998" spans="1:8" x14ac:dyDescent="0.35">
      <c r="A998"/>
      <c r="B998"/>
      <c r="C998"/>
      <c r="D998"/>
      <c r="E998"/>
      <c r="F998"/>
      <c r="G998"/>
      <c r="H998"/>
    </row>
    <row r="999" spans="1:8" x14ac:dyDescent="0.35">
      <c r="A999"/>
      <c r="B999"/>
      <c r="C999"/>
      <c r="D999"/>
      <c r="E999"/>
      <c r="F999"/>
      <c r="G999"/>
      <c r="H999"/>
    </row>
    <row r="1000" spans="1:8" x14ac:dyDescent="0.35">
      <c r="A1000"/>
      <c r="B1000"/>
      <c r="C1000"/>
      <c r="D1000"/>
      <c r="E1000"/>
      <c r="F1000"/>
      <c r="G1000"/>
      <c r="H1000"/>
    </row>
    <row r="1001" spans="1:8" x14ac:dyDescent="0.35">
      <c r="A1001"/>
      <c r="B1001"/>
      <c r="C1001"/>
      <c r="D1001"/>
      <c r="E1001"/>
      <c r="F1001"/>
      <c r="G1001"/>
      <c r="H1001"/>
    </row>
    <row r="1002" spans="1:8" x14ac:dyDescent="0.35">
      <c r="A1002"/>
      <c r="B1002"/>
      <c r="C1002"/>
      <c r="D1002"/>
      <c r="E1002"/>
      <c r="F1002"/>
      <c r="G1002"/>
      <c r="H1002"/>
    </row>
    <row r="1003" spans="1:8" x14ac:dyDescent="0.35">
      <c r="A1003"/>
      <c r="B1003"/>
      <c r="C1003"/>
      <c r="D1003"/>
      <c r="E1003"/>
      <c r="F1003"/>
      <c r="G1003"/>
      <c r="H1003"/>
    </row>
    <row r="1004" spans="1:8" x14ac:dyDescent="0.35">
      <c r="A1004"/>
      <c r="B1004"/>
      <c r="C1004"/>
      <c r="D1004"/>
      <c r="E1004"/>
      <c r="F1004"/>
      <c r="G1004"/>
      <c r="H1004"/>
    </row>
    <row r="1005" spans="1:8" x14ac:dyDescent="0.35">
      <c r="A1005"/>
      <c r="B1005"/>
      <c r="C1005"/>
      <c r="D1005"/>
      <c r="E1005"/>
      <c r="F1005"/>
      <c r="G1005"/>
      <c r="H1005"/>
    </row>
    <row r="1006" spans="1:8" x14ac:dyDescent="0.35">
      <c r="A1006"/>
      <c r="B1006"/>
      <c r="C1006"/>
      <c r="D1006"/>
      <c r="E1006"/>
      <c r="F1006"/>
      <c r="G1006"/>
      <c r="H1006"/>
    </row>
    <row r="1007" spans="1:8" x14ac:dyDescent="0.35">
      <c r="A1007"/>
      <c r="B1007"/>
      <c r="C1007"/>
      <c r="D1007"/>
      <c r="E1007"/>
      <c r="F1007"/>
      <c r="G1007"/>
      <c r="H1007"/>
    </row>
    <row r="1008" spans="1:8" x14ac:dyDescent="0.35">
      <c r="A1008"/>
      <c r="B1008"/>
      <c r="C1008"/>
      <c r="D1008"/>
      <c r="E1008"/>
      <c r="F1008"/>
      <c r="G1008"/>
    </row>
    <row r="1009" spans="1:7" x14ac:dyDescent="0.35">
      <c r="A1009"/>
      <c r="B1009"/>
      <c r="C1009"/>
      <c r="D1009"/>
      <c r="E1009"/>
      <c r="F1009"/>
      <c r="G1009"/>
    </row>
    <row r="1010" spans="1:7" x14ac:dyDescent="0.35">
      <c r="A1010"/>
      <c r="B1010"/>
      <c r="C1010"/>
      <c r="D1010"/>
      <c r="E1010"/>
      <c r="F1010"/>
      <c r="G1010"/>
    </row>
    <row r="1011" spans="1:7" x14ac:dyDescent="0.35">
      <c r="A1011"/>
      <c r="B1011"/>
      <c r="C1011"/>
      <c r="D1011"/>
      <c r="E1011"/>
      <c r="F1011"/>
      <c r="G1011"/>
    </row>
    <row r="1012" spans="1:7" x14ac:dyDescent="0.35">
      <c r="A1012"/>
      <c r="B1012"/>
      <c r="C1012"/>
      <c r="D1012"/>
      <c r="E1012"/>
      <c r="F1012"/>
      <c r="G1012"/>
    </row>
    <row r="1013" spans="1:7" x14ac:dyDescent="0.35">
      <c r="A1013"/>
      <c r="B1013"/>
      <c r="C1013"/>
      <c r="D1013"/>
      <c r="E1013"/>
      <c r="F1013"/>
      <c r="G1013"/>
    </row>
    <row r="1014" spans="1:7" x14ac:dyDescent="0.35">
      <c r="A1014"/>
      <c r="B1014"/>
      <c r="C1014"/>
      <c r="D1014"/>
      <c r="E1014"/>
      <c r="F1014"/>
      <c r="G1014"/>
    </row>
    <row r="1015" spans="1:7" x14ac:dyDescent="0.35">
      <c r="A1015"/>
      <c r="B1015"/>
      <c r="C1015"/>
      <c r="D1015"/>
      <c r="E1015"/>
      <c r="F1015"/>
      <c r="G1015"/>
    </row>
    <row r="1016" spans="1:7" x14ac:dyDescent="0.35">
      <c r="A1016"/>
      <c r="B1016"/>
      <c r="C1016"/>
      <c r="D1016"/>
      <c r="E1016"/>
      <c r="F1016"/>
      <c r="G1016"/>
    </row>
    <row r="1017" spans="1:7" x14ac:dyDescent="0.35">
      <c r="A1017"/>
      <c r="B1017"/>
      <c r="C1017"/>
      <c r="D1017"/>
      <c r="E1017"/>
      <c r="F1017"/>
      <c r="G1017"/>
    </row>
    <row r="1018" spans="1:7" x14ac:dyDescent="0.35">
      <c r="A1018"/>
      <c r="B1018"/>
      <c r="C1018"/>
      <c r="D1018"/>
      <c r="E1018"/>
      <c r="F1018"/>
      <c r="G1018"/>
    </row>
    <row r="1019" spans="1:7" x14ac:dyDescent="0.35">
      <c r="A1019"/>
      <c r="B1019"/>
      <c r="C1019"/>
      <c r="D1019"/>
      <c r="E1019"/>
      <c r="F1019"/>
      <c r="G1019"/>
    </row>
    <row r="1020" spans="1:7" x14ac:dyDescent="0.35">
      <c r="A1020"/>
      <c r="B1020"/>
      <c r="C1020"/>
      <c r="D1020"/>
      <c r="E1020"/>
      <c r="F1020"/>
      <c r="G1020"/>
    </row>
    <row r="1021" spans="1:7" x14ac:dyDescent="0.35">
      <c r="A1021"/>
      <c r="B1021"/>
      <c r="C1021"/>
      <c r="D1021"/>
      <c r="E1021"/>
      <c r="F1021"/>
      <c r="G1021"/>
    </row>
    <row r="1022" spans="1:7" x14ac:dyDescent="0.35">
      <c r="A1022"/>
      <c r="B1022"/>
      <c r="C1022"/>
      <c r="D1022"/>
      <c r="E1022"/>
      <c r="F1022"/>
      <c r="G1022"/>
    </row>
    <row r="1023" spans="1:7" x14ac:dyDescent="0.35">
      <c r="A1023"/>
      <c r="B1023"/>
      <c r="C1023"/>
      <c r="D1023"/>
      <c r="E1023"/>
      <c r="F1023"/>
      <c r="G1023"/>
    </row>
    <row r="1024" spans="1:7" x14ac:dyDescent="0.35">
      <c r="A1024"/>
      <c r="B1024"/>
      <c r="C1024"/>
      <c r="D1024"/>
      <c r="E1024"/>
      <c r="F1024"/>
      <c r="G1024"/>
    </row>
    <row r="1025" spans="1:7" x14ac:dyDescent="0.35">
      <c r="A1025"/>
      <c r="B1025"/>
      <c r="C1025"/>
      <c r="D1025"/>
      <c r="E1025"/>
      <c r="F1025"/>
      <c r="G1025"/>
    </row>
    <row r="1026" spans="1:7" x14ac:dyDescent="0.35">
      <c r="A1026"/>
      <c r="B1026"/>
      <c r="C1026"/>
      <c r="D1026"/>
      <c r="E1026"/>
      <c r="F1026"/>
      <c r="G1026"/>
    </row>
    <row r="1027" spans="1:7" x14ac:dyDescent="0.35">
      <c r="A1027"/>
      <c r="B1027"/>
      <c r="C1027"/>
      <c r="D1027"/>
      <c r="E1027"/>
      <c r="F1027"/>
      <c r="G1027"/>
    </row>
    <row r="1028" spans="1:7" x14ac:dyDescent="0.35">
      <c r="A1028"/>
      <c r="B1028"/>
      <c r="C1028"/>
      <c r="D1028"/>
      <c r="E1028"/>
      <c r="F1028"/>
      <c r="G1028"/>
    </row>
    <row r="1029" spans="1:7" x14ac:dyDescent="0.35">
      <c r="A1029"/>
      <c r="B1029"/>
      <c r="C1029"/>
      <c r="D1029"/>
      <c r="E1029"/>
      <c r="F1029"/>
      <c r="G1029"/>
    </row>
    <row r="1030" spans="1:7" x14ac:dyDescent="0.35">
      <c r="A1030"/>
      <c r="B1030"/>
      <c r="C1030"/>
      <c r="D1030"/>
      <c r="E1030"/>
      <c r="F1030"/>
      <c r="G1030"/>
    </row>
    <row r="1031" spans="1:7" x14ac:dyDescent="0.35">
      <c r="A1031"/>
      <c r="B1031"/>
      <c r="C1031"/>
      <c r="D1031"/>
      <c r="E1031"/>
      <c r="F1031"/>
      <c r="G1031"/>
    </row>
    <row r="1032" spans="1:7" x14ac:dyDescent="0.35">
      <c r="A1032"/>
      <c r="B1032"/>
      <c r="C1032"/>
      <c r="D1032"/>
      <c r="E1032"/>
      <c r="F1032"/>
      <c r="G1032"/>
    </row>
    <row r="1033" spans="1:7" x14ac:dyDescent="0.35">
      <c r="A1033"/>
      <c r="B1033"/>
      <c r="C1033"/>
      <c r="D1033"/>
      <c r="E1033"/>
      <c r="F1033"/>
      <c r="G1033"/>
    </row>
    <row r="1034" spans="1:7" x14ac:dyDescent="0.35">
      <c r="A1034"/>
      <c r="B1034"/>
      <c r="C1034"/>
      <c r="D1034"/>
      <c r="E1034"/>
      <c r="F1034"/>
      <c r="G1034"/>
    </row>
    <row r="1035" spans="1:7" x14ac:dyDescent="0.35">
      <c r="A1035"/>
      <c r="B1035"/>
      <c r="C1035"/>
      <c r="D1035"/>
      <c r="E1035"/>
      <c r="F1035"/>
      <c r="G1035"/>
    </row>
    <row r="1036" spans="1:7" x14ac:dyDescent="0.35">
      <c r="A1036"/>
      <c r="B1036"/>
      <c r="C1036"/>
      <c r="D1036"/>
      <c r="E1036"/>
      <c r="F1036"/>
      <c r="G1036"/>
    </row>
    <row r="1037" spans="1:7" x14ac:dyDescent="0.35">
      <c r="A1037"/>
      <c r="B1037"/>
      <c r="C1037"/>
      <c r="D1037"/>
      <c r="E1037"/>
      <c r="F1037"/>
      <c r="G1037"/>
    </row>
    <row r="1038" spans="1:7" x14ac:dyDescent="0.35">
      <c r="A1038"/>
      <c r="B1038"/>
      <c r="C1038"/>
      <c r="D1038"/>
      <c r="E1038"/>
      <c r="F1038"/>
      <c r="G1038"/>
    </row>
    <row r="1039" spans="1:7" x14ac:dyDescent="0.35">
      <c r="A1039"/>
      <c r="B1039"/>
      <c r="C1039"/>
      <c r="D1039"/>
      <c r="E1039"/>
      <c r="F1039"/>
      <c r="G1039"/>
    </row>
    <row r="1040" spans="1:7" x14ac:dyDescent="0.35">
      <c r="A1040"/>
      <c r="B1040"/>
      <c r="C1040"/>
      <c r="D1040"/>
      <c r="E1040"/>
      <c r="F1040"/>
      <c r="G1040"/>
    </row>
    <row r="1041" spans="1:7" x14ac:dyDescent="0.35">
      <c r="A1041"/>
      <c r="B1041"/>
      <c r="C1041"/>
      <c r="D1041"/>
      <c r="E1041"/>
      <c r="F1041"/>
      <c r="G1041"/>
    </row>
    <row r="1042" spans="1:7" x14ac:dyDescent="0.35">
      <c r="A1042"/>
      <c r="B1042"/>
      <c r="C1042"/>
      <c r="D1042"/>
      <c r="E1042"/>
      <c r="F1042"/>
      <c r="G1042"/>
    </row>
    <row r="1043" spans="1:7" x14ac:dyDescent="0.35">
      <c r="A1043"/>
      <c r="B1043"/>
      <c r="C1043"/>
      <c r="D1043"/>
      <c r="E1043"/>
      <c r="F1043"/>
      <c r="G1043"/>
    </row>
    <row r="1044" spans="1:7" x14ac:dyDescent="0.35">
      <c r="A1044"/>
      <c r="B1044"/>
      <c r="C1044"/>
      <c r="D1044"/>
      <c r="E1044"/>
      <c r="F1044"/>
      <c r="G1044"/>
    </row>
    <row r="1045" spans="1:7" x14ac:dyDescent="0.35">
      <c r="A1045"/>
      <c r="B1045"/>
      <c r="C1045"/>
      <c r="D1045"/>
      <c r="E1045"/>
      <c r="F1045"/>
      <c r="G1045"/>
    </row>
    <row r="1046" spans="1:7" x14ac:dyDescent="0.35">
      <c r="A1046"/>
      <c r="B1046"/>
      <c r="C1046"/>
      <c r="D1046"/>
      <c r="E1046"/>
      <c r="F1046"/>
      <c r="G1046"/>
    </row>
    <row r="1047" spans="1:7" x14ac:dyDescent="0.35">
      <c r="A1047"/>
      <c r="B1047"/>
      <c r="C1047"/>
      <c r="D1047"/>
      <c r="E1047"/>
      <c r="F1047"/>
      <c r="G1047"/>
    </row>
    <row r="1048" spans="1:7" x14ac:dyDescent="0.35">
      <c r="A1048"/>
      <c r="B1048"/>
      <c r="C1048"/>
      <c r="D1048"/>
      <c r="E1048"/>
      <c r="F1048"/>
      <c r="G1048"/>
    </row>
    <row r="1049" spans="1:7" x14ac:dyDescent="0.35">
      <c r="A1049"/>
      <c r="B1049"/>
      <c r="C1049"/>
      <c r="D1049"/>
      <c r="E1049"/>
      <c r="F1049"/>
      <c r="G1049"/>
    </row>
    <row r="1050" spans="1:7" x14ac:dyDescent="0.35">
      <c r="A1050"/>
      <c r="B1050"/>
      <c r="C1050"/>
      <c r="D1050"/>
      <c r="E1050"/>
      <c r="F1050"/>
      <c r="G1050"/>
    </row>
    <row r="1051" spans="1:7" x14ac:dyDescent="0.35">
      <c r="A1051"/>
      <c r="B1051"/>
      <c r="C1051"/>
      <c r="D1051"/>
      <c r="E1051"/>
      <c r="F1051"/>
      <c r="G1051"/>
    </row>
    <row r="1052" spans="1:7" x14ac:dyDescent="0.35">
      <c r="A1052"/>
      <c r="B1052"/>
      <c r="C1052"/>
      <c r="D1052"/>
      <c r="E1052"/>
      <c r="F1052"/>
      <c r="G1052"/>
    </row>
    <row r="1053" spans="1:7" x14ac:dyDescent="0.35">
      <c r="A1053"/>
      <c r="B1053"/>
      <c r="C1053"/>
      <c r="D1053"/>
      <c r="E1053"/>
      <c r="F1053"/>
      <c r="G1053"/>
    </row>
    <row r="1054" spans="1:7" x14ac:dyDescent="0.35">
      <c r="A1054"/>
      <c r="B1054"/>
      <c r="C1054"/>
      <c r="D1054"/>
      <c r="E1054"/>
      <c r="F1054"/>
      <c r="G1054"/>
    </row>
    <row r="1055" spans="1:7" x14ac:dyDescent="0.35">
      <c r="A1055"/>
      <c r="B1055"/>
      <c r="C1055"/>
      <c r="D1055"/>
      <c r="E1055"/>
      <c r="F1055"/>
      <c r="G1055"/>
    </row>
    <row r="1056" spans="1:7" x14ac:dyDescent="0.35">
      <c r="A1056"/>
      <c r="B1056"/>
      <c r="C1056"/>
      <c r="D1056"/>
      <c r="E1056"/>
      <c r="F1056"/>
      <c r="G1056"/>
    </row>
    <row r="1057" spans="1:7" x14ac:dyDescent="0.35">
      <c r="A1057"/>
      <c r="B1057"/>
      <c r="C1057"/>
      <c r="D1057"/>
      <c r="E1057"/>
      <c r="F1057"/>
      <c r="G1057"/>
    </row>
    <row r="1058" spans="1:7" x14ac:dyDescent="0.35">
      <c r="A1058"/>
      <c r="B1058"/>
      <c r="C1058"/>
      <c r="D1058"/>
      <c r="E1058"/>
      <c r="F1058"/>
      <c r="G1058"/>
    </row>
    <row r="1059" spans="1:7" x14ac:dyDescent="0.35">
      <c r="A1059"/>
      <c r="B1059"/>
      <c r="C1059"/>
      <c r="D1059"/>
      <c r="E1059"/>
      <c r="F1059"/>
      <c r="G1059"/>
    </row>
    <row r="1060" spans="1:7" x14ac:dyDescent="0.35">
      <c r="A1060"/>
      <c r="B1060"/>
      <c r="C1060"/>
      <c r="D1060"/>
      <c r="E1060"/>
      <c r="F1060"/>
      <c r="G1060"/>
    </row>
    <row r="1061" spans="1:7" x14ac:dyDescent="0.35">
      <c r="A1061"/>
      <c r="B1061"/>
      <c r="C1061"/>
      <c r="D1061"/>
      <c r="E1061"/>
      <c r="F1061"/>
      <c r="G1061"/>
    </row>
    <row r="1062" spans="1:7" x14ac:dyDescent="0.35">
      <c r="A1062"/>
      <c r="B1062"/>
      <c r="C1062"/>
      <c r="D1062"/>
      <c r="E1062"/>
      <c r="F1062"/>
      <c r="G1062"/>
    </row>
    <row r="1063" spans="1:7" x14ac:dyDescent="0.35">
      <c r="A1063"/>
      <c r="B1063"/>
      <c r="C1063"/>
      <c r="D1063"/>
      <c r="E1063"/>
      <c r="F1063"/>
      <c r="G1063"/>
    </row>
    <row r="1064" spans="1:7" x14ac:dyDescent="0.35">
      <c r="A1064"/>
      <c r="B1064"/>
      <c r="C1064"/>
      <c r="D1064"/>
      <c r="E1064"/>
      <c r="F1064"/>
      <c r="G1064"/>
    </row>
    <row r="1065" spans="1:7" x14ac:dyDescent="0.35">
      <c r="A1065"/>
      <c r="B1065"/>
      <c r="C1065"/>
      <c r="D1065"/>
      <c r="E1065"/>
      <c r="F1065"/>
      <c r="G1065"/>
    </row>
    <row r="1066" spans="1:7" x14ac:dyDescent="0.35">
      <c r="A1066"/>
      <c r="B1066"/>
      <c r="C1066"/>
      <c r="D1066"/>
      <c r="E1066"/>
      <c r="F1066"/>
      <c r="G1066"/>
    </row>
    <row r="1067" spans="1:7" x14ac:dyDescent="0.35">
      <c r="A1067"/>
      <c r="B1067"/>
      <c r="C1067"/>
      <c r="D1067"/>
      <c r="E1067"/>
      <c r="F1067"/>
      <c r="G1067"/>
    </row>
    <row r="1068" spans="1:7" x14ac:dyDescent="0.35">
      <c r="A1068"/>
      <c r="B1068"/>
      <c r="C1068"/>
      <c r="D1068"/>
      <c r="E1068"/>
      <c r="F1068"/>
      <c r="G1068"/>
    </row>
    <row r="1069" spans="1:7" x14ac:dyDescent="0.35">
      <c r="A1069"/>
      <c r="B1069"/>
      <c r="C1069"/>
      <c r="D1069"/>
      <c r="E1069"/>
      <c r="F1069"/>
      <c r="G1069"/>
    </row>
    <row r="1070" spans="1:7" x14ac:dyDescent="0.35">
      <c r="A1070"/>
      <c r="B1070"/>
      <c r="C1070"/>
      <c r="D1070"/>
      <c r="E1070"/>
      <c r="F1070"/>
      <c r="G1070"/>
    </row>
    <row r="1071" spans="1:7" x14ac:dyDescent="0.35">
      <c r="A1071"/>
      <c r="B1071"/>
      <c r="C1071"/>
      <c r="D1071"/>
      <c r="E1071"/>
      <c r="F1071"/>
      <c r="G1071"/>
    </row>
    <row r="1072" spans="1:7" x14ac:dyDescent="0.35">
      <c r="A1072"/>
      <c r="B1072"/>
      <c r="C1072"/>
      <c r="D1072"/>
      <c r="E1072"/>
      <c r="F1072"/>
      <c r="G1072"/>
    </row>
    <row r="1073" spans="1:7" x14ac:dyDescent="0.35">
      <c r="A1073"/>
      <c r="B1073"/>
      <c r="C1073"/>
      <c r="D1073"/>
      <c r="E1073"/>
      <c r="F1073"/>
      <c r="G1073"/>
    </row>
    <row r="1074" spans="1:7" x14ac:dyDescent="0.35">
      <c r="A1074"/>
      <c r="B1074"/>
      <c r="C1074"/>
      <c r="D1074"/>
      <c r="E1074"/>
      <c r="F1074"/>
      <c r="G1074"/>
    </row>
    <row r="1075" spans="1:7" x14ac:dyDescent="0.35">
      <c r="A1075"/>
      <c r="B1075"/>
      <c r="C1075"/>
      <c r="D1075"/>
      <c r="E1075"/>
      <c r="F1075"/>
      <c r="G1075"/>
    </row>
    <row r="1076" spans="1:7" x14ac:dyDescent="0.35">
      <c r="A1076"/>
      <c r="B1076"/>
      <c r="C1076"/>
      <c r="D1076"/>
      <c r="E1076"/>
      <c r="F1076"/>
      <c r="G1076"/>
    </row>
    <row r="1077" spans="1:7" x14ac:dyDescent="0.35">
      <c r="A1077"/>
      <c r="B1077"/>
      <c r="C1077"/>
      <c r="D1077"/>
      <c r="E1077"/>
      <c r="F1077"/>
      <c r="G1077"/>
    </row>
    <row r="1078" spans="1:7" x14ac:dyDescent="0.35">
      <c r="A1078"/>
      <c r="B1078"/>
      <c r="C1078"/>
      <c r="D1078"/>
      <c r="E1078"/>
      <c r="F1078"/>
      <c r="G1078"/>
    </row>
    <row r="1079" spans="1:7" x14ac:dyDescent="0.35">
      <c r="A1079"/>
      <c r="B1079"/>
      <c r="C1079"/>
      <c r="D1079"/>
      <c r="E1079"/>
      <c r="F1079"/>
      <c r="G1079"/>
    </row>
    <row r="1080" spans="1:7" x14ac:dyDescent="0.35">
      <c r="A1080"/>
      <c r="B1080"/>
      <c r="C1080"/>
      <c r="D1080"/>
      <c r="E1080"/>
      <c r="F1080"/>
      <c r="G1080"/>
    </row>
    <row r="1081" spans="1:7" x14ac:dyDescent="0.35">
      <c r="A1081"/>
      <c r="B1081"/>
      <c r="C1081"/>
      <c r="D1081"/>
      <c r="E1081"/>
      <c r="F1081"/>
      <c r="G1081"/>
    </row>
    <row r="1082" spans="1:7" x14ac:dyDescent="0.35">
      <c r="A1082"/>
      <c r="B1082"/>
      <c r="C1082"/>
      <c r="D1082"/>
      <c r="E1082"/>
      <c r="F1082"/>
      <c r="G1082"/>
    </row>
    <row r="1083" spans="1:7" x14ac:dyDescent="0.35">
      <c r="A1083"/>
      <c r="B1083"/>
      <c r="C1083"/>
      <c r="D1083"/>
      <c r="E1083"/>
      <c r="F1083"/>
      <c r="G1083"/>
    </row>
    <row r="1084" spans="1:7" x14ac:dyDescent="0.35">
      <c r="A1084"/>
      <c r="B1084"/>
      <c r="C1084"/>
      <c r="D1084"/>
      <c r="E1084"/>
      <c r="F1084"/>
      <c r="G1084"/>
    </row>
    <row r="1085" spans="1:7" x14ac:dyDescent="0.35">
      <c r="A1085"/>
      <c r="B1085"/>
      <c r="C1085"/>
      <c r="D1085"/>
      <c r="E1085"/>
      <c r="F1085"/>
      <c r="G1085"/>
    </row>
    <row r="1086" spans="1:7" x14ac:dyDescent="0.35">
      <c r="A1086"/>
      <c r="B1086"/>
      <c r="C1086"/>
      <c r="D1086"/>
      <c r="E1086"/>
      <c r="F1086"/>
      <c r="G1086"/>
    </row>
    <row r="1087" spans="1:7" x14ac:dyDescent="0.35">
      <c r="A1087"/>
      <c r="B1087"/>
      <c r="C1087"/>
      <c r="D1087"/>
      <c r="E1087"/>
      <c r="F1087"/>
      <c r="G1087"/>
    </row>
    <row r="1088" spans="1:7" x14ac:dyDescent="0.35">
      <c r="A1088"/>
      <c r="B1088"/>
      <c r="C1088"/>
      <c r="D1088"/>
      <c r="E1088"/>
      <c r="F1088"/>
      <c r="G1088"/>
    </row>
    <row r="1089" spans="1:7" x14ac:dyDescent="0.35">
      <c r="A1089"/>
      <c r="B1089"/>
      <c r="C1089"/>
      <c r="D1089"/>
      <c r="E1089"/>
      <c r="F1089"/>
      <c r="G1089"/>
    </row>
    <row r="1090" spans="1:7" x14ac:dyDescent="0.35">
      <c r="A1090"/>
      <c r="B1090"/>
      <c r="C1090"/>
      <c r="D1090"/>
      <c r="E1090"/>
      <c r="F1090"/>
      <c r="G1090"/>
    </row>
    <row r="1091" spans="1:7" x14ac:dyDescent="0.35">
      <c r="A1091"/>
      <c r="B1091"/>
      <c r="C1091"/>
      <c r="D1091"/>
      <c r="E1091"/>
      <c r="F1091"/>
      <c r="G1091"/>
    </row>
    <row r="1092" spans="1:7" x14ac:dyDescent="0.35">
      <c r="A1092"/>
      <c r="B1092"/>
      <c r="C1092"/>
      <c r="D1092"/>
      <c r="E1092"/>
      <c r="F1092"/>
      <c r="G1092"/>
    </row>
    <row r="1093" spans="1:7" x14ac:dyDescent="0.35">
      <c r="A1093"/>
      <c r="B1093"/>
      <c r="C1093"/>
      <c r="D1093"/>
      <c r="E1093"/>
      <c r="F1093"/>
      <c r="G1093"/>
    </row>
    <row r="1094" spans="1:7" x14ac:dyDescent="0.35">
      <c r="A1094"/>
      <c r="B1094"/>
      <c r="C1094"/>
      <c r="D1094"/>
      <c r="E1094"/>
      <c r="F1094"/>
      <c r="G1094"/>
    </row>
    <row r="1095" spans="1:7" x14ac:dyDescent="0.35">
      <c r="A1095"/>
      <c r="B1095"/>
      <c r="C1095"/>
      <c r="D1095"/>
      <c r="E1095"/>
      <c r="F1095"/>
      <c r="G1095"/>
    </row>
    <row r="1096" spans="1:7" x14ac:dyDescent="0.35">
      <c r="A1096"/>
      <c r="B1096"/>
      <c r="C1096"/>
      <c r="D1096"/>
      <c r="E1096"/>
      <c r="F1096"/>
      <c r="G1096"/>
    </row>
    <row r="1097" spans="1:7" x14ac:dyDescent="0.35">
      <c r="A1097"/>
      <c r="B1097"/>
      <c r="C1097"/>
      <c r="D1097"/>
      <c r="E1097"/>
      <c r="F1097"/>
      <c r="G1097"/>
    </row>
    <row r="1098" spans="1:7" x14ac:dyDescent="0.35">
      <c r="A1098"/>
      <c r="B1098"/>
      <c r="C1098"/>
      <c r="D1098"/>
      <c r="E1098"/>
      <c r="F1098"/>
      <c r="G1098"/>
    </row>
    <row r="1099" spans="1:7" x14ac:dyDescent="0.35">
      <c r="A1099"/>
      <c r="B1099"/>
      <c r="C1099"/>
      <c r="D1099"/>
      <c r="E1099"/>
      <c r="F1099"/>
      <c r="G1099"/>
    </row>
    <row r="1100" spans="1:7" x14ac:dyDescent="0.35">
      <c r="A1100"/>
      <c r="B1100"/>
      <c r="C1100"/>
      <c r="D1100"/>
      <c r="E1100"/>
      <c r="F1100"/>
      <c r="G1100"/>
    </row>
    <row r="1101" spans="1:7" x14ac:dyDescent="0.35">
      <c r="A1101"/>
      <c r="B1101"/>
      <c r="C1101"/>
      <c r="D1101"/>
      <c r="E1101"/>
      <c r="F1101"/>
      <c r="G1101"/>
    </row>
    <row r="1102" spans="1:7" x14ac:dyDescent="0.35">
      <c r="A1102"/>
      <c r="B1102"/>
      <c r="C1102"/>
      <c r="D1102"/>
      <c r="E1102"/>
      <c r="F1102"/>
      <c r="G1102"/>
    </row>
    <row r="1103" spans="1:7" x14ac:dyDescent="0.35">
      <c r="A1103"/>
      <c r="B1103"/>
      <c r="C1103"/>
      <c r="D1103"/>
      <c r="E1103"/>
      <c r="F1103"/>
      <c r="G1103"/>
    </row>
    <row r="1104" spans="1:7" x14ac:dyDescent="0.35">
      <c r="A1104"/>
      <c r="B1104"/>
      <c r="C1104"/>
      <c r="D1104"/>
      <c r="E1104"/>
      <c r="F1104"/>
      <c r="G1104"/>
    </row>
    <row r="1105" spans="1:7" x14ac:dyDescent="0.35">
      <c r="A1105"/>
      <c r="B1105"/>
      <c r="C1105"/>
      <c r="D1105"/>
      <c r="E1105"/>
      <c r="F1105"/>
      <c r="G1105"/>
    </row>
    <row r="1106" spans="1:7" x14ac:dyDescent="0.35">
      <c r="A1106"/>
      <c r="B1106"/>
      <c r="C1106"/>
      <c r="D1106"/>
      <c r="E1106"/>
      <c r="F1106"/>
      <c r="G1106"/>
    </row>
    <row r="1107" spans="1:7" x14ac:dyDescent="0.35">
      <c r="A1107"/>
      <c r="B1107"/>
      <c r="C1107"/>
      <c r="D1107"/>
      <c r="E1107"/>
      <c r="F1107"/>
      <c r="G1107"/>
    </row>
    <row r="1108" spans="1:7" x14ac:dyDescent="0.35">
      <c r="A1108"/>
      <c r="B1108"/>
      <c r="C1108"/>
      <c r="D1108"/>
      <c r="E1108"/>
      <c r="F1108"/>
      <c r="G1108"/>
    </row>
    <row r="1109" spans="1:7" x14ac:dyDescent="0.35">
      <c r="A1109"/>
      <c r="B1109"/>
      <c r="C1109"/>
      <c r="D1109"/>
      <c r="E1109"/>
      <c r="F1109"/>
      <c r="G1109"/>
    </row>
    <row r="1110" spans="1:7" x14ac:dyDescent="0.35">
      <c r="A1110"/>
      <c r="B1110"/>
      <c r="C1110"/>
      <c r="D1110"/>
      <c r="E1110"/>
      <c r="F1110"/>
      <c r="G1110"/>
    </row>
    <row r="1111" spans="1:7" x14ac:dyDescent="0.35">
      <c r="A1111"/>
      <c r="B1111"/>
      <c r="C1111"/>
      <c r="D1111"/>
      <c r="E1111"/>
      <c r="F1111"/>
      <c r="G1111"/>
    </row>
    <row r="1112" spans="1:7" x14ac:dyDescent="0.35">
      <c r="A1112"/>
      <c r="B1112"/>
      <c r="C1112"/>
      <c r="D1112"/>
      <c r="E1112"/>
      <c r="F1112"/>
      <c r="G1112"/>
    </row>
    <row r="1113" spans="1:7" x14ac:dyDescent="0.35">
      <c r="A1113"/>
      <c r="B1113"/>
      <c r="C1113"/>
      <c r="D1113"/>
      <c r="E1113"/>
      <c r="F1113"/>
      <c r="G1113"/>
    </row>
    <row r="1114" spans="1:7" x14ac:dyDescent="0.35">
      <c r="A1114"/>
      <c r="B1114"/>
      <c r="C1114"/>
      <c r="D1114"/>
      <c r="E1114"/>
      <c r="F1114"/>
      <c r="G1114"/>
    </row>
    <row r="1115" spans="1:7" x14ac:dyDescent="0.35">
      <c r="A1115"/>
      <c r="B1115"/>
      <c r="C1115"/>
      <c r="D1115"/>
      <c r="E1115"/>
      <c r="F1115"/>
      <c r="G1115"/>
    </row>
    <row r="1116" spans="1:7" x14ac:dyDescent="0.35">
      <c r="A1116"/>
      <c r="B1116"/>
      <c r="C1116"/>
      <c r="D1116"/>
      <c r="E1116"/>
      <c r="F1116"/>
      <c r="G1116"/>
    </row>
    <row r="1117" spans="1:7" x14ac:dyDescent="0.35">
      <c r="A1117"/>
      <c r="B1117"/>
      <c r="C1117"/>
      <c r="D1117"/>
      <c r="E1117"/>
      <c r="F1117"/>
      <c r="G1117"/>
    </row>
    <row r="1118" spans="1:7" x14ac:dyDescent="0.35">
      <c r="A1118"/>
      <c r="B1118"/>
      <c r="C1118"/>
      <c r="D1118"/>
      <c r="E1118"/>
      <c r="F1118"/>
      <c r="G1118"/>
    </row>
    <row r="1119" spans="1:7" x14ac:dyDescent="0.35">
      <c r="A1119"/>
      <c r="B1119"/>
      <c r="C1119"/>
      <c r="D1119"/>
      <c r="E1119"/>
      <c r="F1119"/>
      <c r="G1119"/>
    </row>
    <row r="1120" spans="1:7" x14ac:dyDescent="0.35">
      <c r="A1120"/>
      <c r="B1120"/>
      <c r="C1120"/>
      <c r="D1120"/>
      <c r="E1120"/>
      <c r="F1120"/>
      <c r="G1120"/>
    </row>
    <row r="1121" spans="1:7" x14ac:dyDescent="0.35">
      <c r="A1121"/>
      <c r="B1121"/>
      <c r="C1121"/>
      <c r="D1121"/>
      <c r="E1121"/>
      <c r="F1121"/>
      <c r="G1121"/>
    </row>
    <row r="1122" spans="1:7" x14ac:dyDescent="0.35">
      <c r="A1122"/>
      <c r="B1122"/>
      <c r="C1122"/>
      <c r="D1122"/>
      <c r="E1122"/>
      <c r="F1122"/>
      <c r="G1122"/>
    </row>
    <row r="1123" spans="1:7" x14ac:dyDescent="0.35">
      <c r="A1123"/>
      <c r="B1123"/>
      <c r="C1123"/>
      <c r="D1123"/>
      <c r="E1123"/>
      <c r="F1123"/>
      <c r="G1123"/>
    </row>
    <row r="1124" spans="1:7" x14ac:dyDescent="0.35">
      <c r="A1124"/>
      <c r="B1124"/>
      <c r="C1124"/>
      <c r="D1124"/>
      <c r="E1124"/>
      <c r="F1124"/>
      <c r="G1124"/>
    </row>
    <row r="1125" spans="1:7" x14ac:dyDescent="0.35">
      <c r="A1125"/>
      <c r="B1125"/>
      <c r="C1125"/>
      <c r="D1125"/>
      <c r="E1125"/>
      <c r="F1125"/>
      <c r="G1125"/>
    </row>
    <row r="1126" spans="1:7" x14ac:dyDescent="0.35">
      <c r="A1126"/>
      <c r="B1126"/>
      <c r="C1126"/>
      <c r="D1126"/>
      <c r="E1126"/>
      <c r="F1126"/>
      <c r="G1126"/>
    </row>
    <row r="1127" spans="1:7" x14ac:dyDescent="0.35">
      <c r="A1127"/>
      <c r="B1127"/>
      <c r="C1127"/>
      <c r="D1127"/>
      <c r="E1127"/>
      <c r="F1127"/>
      <c r="G1127"/>
    </row>
    <row r="1128" spans="1:7" x14ac:dyDescent="0.35">
      <c r="A1128"/>
      <c r="B1128"/>
      <c r="C1128"/>
      <c r="D1128"/>
      <c r="E1128"/>
      <c r="F1128"/>
      <c r="G1128"/>
    </row>
    <row r="1129" spans="1:7" x14ac:dyDescent="0.35">
      <c r="A1129"/>
      <c r="B1129"/>
      <c r="C1129"/>
      <c r="D1129"/>
      <c r="E1129"/>
      <c r="F1129"/>
      <c r="G1129"/>
    </row>
    <row r="1130" spans="1:7" x14ac:dyDescent="0.35">
      <c r="A1130"/>
      <c r="B1130"/>
      <c r="C1130"/>
      <c r="D1130"/>
      <c r="E1130"/>
      <c r="F1130"/>
      <c r="G1130"/>
    </row>
    <row r="1131" spans="1:7" x14ac:dyDescent="0.35">
      <c r="A1131"/>
      <c r="B1131"/>
      <c r="C1131"/>
      <c r="D1131"/>
      <c r="E1131"/>
      <c r="F1131"/>
      <c r="G1131"/>
    </row>
    <row r="1132" spans="1:7" x14ac:dyDescent="0.35">
      <c r="A1132"/>
      <c r="B1132"/>
      <c r="C1132"/>
      <c r="D1132"/>
      <c r="E1132"/>
      <c r="F1132"/>
      <c r="G1132"/>
    </row>
    <row r="1133" spans="1:7" x14ac:dyDescent="0.35">
      <c r="A1133"/>
      <c r="B1133"/>
      <c r="C1133"/>
      <c r="D1133"/>
      <c r="E1133"/>
      <c r="F1133"/>
      <c r="G1133"/>
    </row>
    <row r="1134" spans="1:7" x14ac:dyDescent="0.35">
      <c r="A1134"/>
      <c r="B1134"/>
      <c r="C1134"/>
      <c r="D1134"/>
      <c r="E1134"/>
      <c r="F1134"/>
      <c r="G1134"/>
    </row>
    <row r="1135" spans="1:7" x14ac:dyDescent="0.35">
      <c r="A1135"/>
      <c r="B1135"/>
      <c r="C1135"/>
      <c r="D1135"/>
      <c r="E1135"/>
      <c r="F1135"/>
      <c r="G1135"/>
    </row>
    <row r="1136" spans="1:7" x14ac:dyDescent="0.35">
      <c r="A1136"/>
      <c r="B1136"/>
      <c r="C1136"/>
      <c r="D1136"/>
      <c r="E1136"/>
      <c r="F1136"/>
      <c r="G1136"/>
    </row>
    <row r="1137" spans="1:7" x14ac:dyDescent="0.35">
      <c r="A1137"/>
      <c r="B1137"/>
      <c r="C1137"/>
      <c r="D1137"/>
      <c r="E1137"/>
      <c r="F1137"/>
      <c r="G1137"/>
    </row>
    <row r="1138" spans="1:7" x14ac:dyDescent="0.35">
      <c r="A1138"/>
      <c r="B1138"/>
      <c r="C1138"/>
      <c r="D1138"/>
      <c r="E1138"/>
      <c r="F1138"/>
      <c r="G1138"/>
    </row>
    <row r="1139" spans="1:7" x14ac:dyDescent="0.35">
      <c r="A1139"/>
      <c r="B1139"/>
      <c r="C1139"/>
      <c r="D1139"/>
      <c r="E1139"/>
      <c r="F1139"/>
      <c r="G1139"/>
    </row>
    <row r="1140" spans="1:7" x14ac:dyDescent="0.35">
      <c r="A1140"/>
      <c r="B1140"/>
      <c r="C1140"/>
      <c r="D1140"/>
      <c r="E1140"/>
      <c r="F1140"/>
      <c r="G1140"/>
    </row>
    <row r="1141" spans="1:7" x14ac:dyDescent="0.35">
      <c r="A1141"/>
      <c r="B1141"/>
      <c r="C1141"/>
      <c r="D1141"/>
      <c r="E1141"/>
      <c r="F1141"/>
      <c r="G1141"/>
    </row>
    <row r="1142" spans="1:7" x14ac:dyDescent="0.35">
      <c r="A1142"/>
      <c r="B1142"/>
      <c r="C1142"/>
      <c r="D1142"/>
      <c r="E1142"/>
      <c r="F1142"/>
      <c r="G1142"/>
    </row>
    <row r="1143" spans="1:7" x14ac:dyDescent="0.35">
      <c r="A1143"/>
      <c r="B1143"/>
      <c r="C1143"/>
      <c r="D1143"/>
      <c r="E1143"/>
      <c r="F1143"/>
      <c r="G1143"/>
    </row>
    <row r="1144" spans="1:7" x14ac:dyDescent="0.35">
      <c r="A1144"/>
      <c r="B1144"/>
      <c r="C1144"/>
      <c r="D1144"/>
      <c r="E1144"/>
      <c r="F1144"/>
      <c r="G1144"/>
    </row>
    <row r="1145" spans="1:7" x14ac:dyDescent="0.35">
      <c r="A1145"/>
      <c r="B1145"/>
      <c r="C1145"/>
      <c r="D1145"/>
      <c r="E1145"/>
      <c r="F1145"/>
      <c r="G1145"/>
    </row>
    <row r="1146" spans="1:7" x14ac:dyDescent="0.35">
      <c r="A1146"/>
      <c r="B1146"/>
      <c r="C1146"/>
      <c r="D1146"/>
      <c r="E1146"/>
      <c r="F1146"/>
      <c r="G1146"/>
    </row>
    <row r="1147" spans="1:7" x14ac:dyDescent="0.35">
      <c r="A1147"/>
      <c r="B1147"/>
      <c r="C1147"/>
      <c r="D1147"/>
      <c r="E1147"/>
      <c r="F1147"/>
      <c r="G1147"/>
    </row>
    <row r="1148" spans="1:7" x14ac:dyDescent="0.35">
      <c r="A1148"/>
      <c r="B1148"/>
      <c r="C1148"/>
      <c r="D1148"/>
      <c r="E1148"/>
      <c r="F1148"/>
      <c r="G1148"/>
    </row>
    <row r="1149" spans="1:7" x14ac:dyDescent="0.35">
      <c r="A1149"/>
      <c r="B1149"/>
      <c r="C1149"/>
      <c r="D1149"/>
      <c r="E1149"/>
      <c r="F1149"/>
      <c r="G1149"/>
    </row>
    <row r="1150" spans="1:7" x14ac:dyDescent="0.35">
      <c r="A1150"/>
      <c r="B1150"/>
      <c r="C1150"/>
      <c r="D1150"/>
      <c r="E1150"/>
      <c r="F1150"/>
      <c r="G1150"/>
    </row>
    <row r="1151" spans="1:7" x14ac:dyDescent="0.35">
      <c r="A1151"/>
      <c r="B1151"/>
      <c r="C1151"/>
      <c r="D1151"/>
      <c r="E1151"/>
      <c r="F1151"/>
      <c r="G1151"/>
    </row>
    <row r="1152" spans="1:7" x14ac:dyDescent="0.35">
      <c r="A1152"/>
      <c r="B1152"/>
      <c r="C1152"/>
      <c r="D1152"/>
      <c r="E1152"/>
      <c r="F1152"/>
      <c r="G1152"/>
    </row>
    <row r="1153" spans="1:7" x14ac:dyDescent="0.35">
      <c r="A1153"/>
      <c r="B1153"/>
      <c r="C1153"/>
      <c r="D1153"/>
      <c r="E1153"/>
      <c r="F1153"/>
      <c r="G1153"/>
    </row>
    <row r="1154" spans="1:7" x14ac:dyDescent="0.35">
      <c r="A1154"/>
      <c r="B1154"/>
      <c r="C1154"/>
      <c r="D1154"/>
      <c r="E1154"/>
      <c r="F1154"/>
      <c r="G1154"/>
    </row>
    <row r="1155" spans="1:7" x14ac:dyDescent="0.35">
      <c r="A1155"/>
      <c r="B1155"/>
      <c r="C1155"/>
      <c r="D1155"/>
      <c r="E1155"/>
      <c r="F1155"/>
      <c r="G1155"/>
    </row>
    <row r="1156" spans="1:7" x14ac:dyDescent="0.35">
      <c r="A1156"/>
      <c r="B1156"/>
      <c r="C1156"/>
      <c r="D1156"/>
      <c r="E1156"/>
      <c r="F1156"/>
      <c r="G1156"/>
    </row>
    <row r="1157" spans="1:7" x14ac:dyDescent="0.35">
      <c r="A1157"/>
      <c r="B1157"/>
      <c r="C1157"/>
      <c r="D1157"/>
      <c r="E1157"/>
      <c r="F1157"/>
      <c r="G1157"/>
    </row>
    <row r="1158" spans="1:7" x14ac:dyDescent="0.35">
      <c r="A1158"/>
      <c r="B1158"/>
      <c r="C1158"/>
      <c r="D1158"/>
      <c r="E1158"/>
      <c r="F1158"/>
      <c r="G1158"/>
    </row>
    <row r="1159" spans="1:7" x14ac:dyDescent="0.35">
      <c r="A1159"/>
      <c r="B1159"/>
      <c r="C1159"/>
      <c r="D1159"/>
      <c r="E1159"/>
      <c r="F1159"/>
      <c r="G1159"/>
    </row>
    <row r="1160" spans="1:7" x14ac:dyDescent="0.35">
      <c r="A1160"/>
      <c r="B1160"/>
      <c r="C1160"/>
      <c r="D1160"/>
      <c r="E1160"/>
      <c r="F1160"/>
      <c r="G1160"/>
    </row>
    <row r="1161" spans="1:7" x14ac:dyDescent="0.35">
      <c r="A1161"/>
      <c r="B1161"/>
      <c r="C1161"/>
      <c r="D1161"/>
      <c r="E1161"/>
      <c r="F1161"/>
      <c r="G1161"/>
    </row>
    <row r="1162" spans="1:7" x14ac:dyDescent="0.35">
      <c r="A1162"/>
      <c r="B1162"/>
      <c r="C1162"/>
      <c r="D1162"/>
      <c r="E1162"/>
      <c r="F1162"/>
      <c r="G1162"/>
    </row>
    <row r="1163" spans="1:7" x14ac:dyDescent="0.35">
      <c r="A1163"/>
      <c r="B1163"/>
      <c r="C1163"/>
      <c r="D1163"/>
      <c r="E1163"/>
      <c r="F1163"/>
      <c r="G1163"/>
    </row>
    <row r="1164" spans="1:7" x14ac:dyDescent="0.35">
      <c r="A1164"/>
      <c r="B1164"/>
      <c r="C1164"/>
      <c r="D1164"/>
      <c r="E1164"/>
      <c r="F1164"/>
      <c r="G1164"/>
    </row>
    <row r="1165" spans="1:7" x14ac:dyDescent="0.35">
      <c r="A1165"/>
      <c r="B1165"/>
      <c r="C1165"/>
      <c r="D1165"/>
      <c r="E1165"/>
      <c r="F1165"/>
      <c r="G1165"/>
    </row>
    <row r="1166" spans="1:7" x14ac:dyDescent="0.35">
      <c r="A1166"/>
      <c r="B1166"/>
      <c r="C1166"/>
      <c r="D1166"/>
      <c r="E1166"/>
      <c r="F1166"/>
      <c r="G1166"/>
    </row>
    <row r="1167" spans="1:7" x14ac:dyDescent="0.35">
      <c r="A1167"/>
      <c r="B1167"/>
      <c r="C1167"/>
      <c r="D1167"/>
      <c r="E1167"/>
      <c r="F1167"/>
      <c r="G1167"/>
    </row>
    <row r="1168" spans="1:7" x14ac:dyDescent="0.35">
      <c r="A1168"/>
      <c r="B1168"/>
      <c r="C1168"/>
      <c r="D1168"/>
      <c r="E1168"/>
      <c r="F1168"/>
      <c r="G1168"/>
    </row>
    <row r="1169" spans="1:7" x14ac:dyDescent="0.35">
      <c r="A1169"/>
      <c r="B1169"/>
      <c r="C1169"/>
      <c r="D1169"/>
      <c r="E1169"/>
      <c r="F1169"/>
      <c r="G1169"/>
    </row>
    <row r="1170" spans="1:7" x14ac:dyDescent="0.35">
      <c r="A1170"/>
      <c r="B1170"/>
      <c r="C1170"/>
      <c r="D1170"/>
      <c r="E1170"/>
      <c r="F1170"/>
      <c r="G1170"/>
    </row>
    <row r="1171" spans="1:7" x14ac:dyDescent="0.35">
      <c r="A1171"/>
      <c r="B1171"/>
      <c r="C1171"/>
      <c r="D1171"/>
      <c r="E1171"/>
      <c r="F1171"/>
      <c r="G1171"/>
    </row>
    <row r="1172" spans="1:7" x14ac:dyDescent="0.35">
      <c r="A1172"/>
      <c r="B1172"/>
      <c r="C1172"/>
      <c r="D1172"/>
      <c r="E1172"/>
      <c r="F1172"/>
      <c r="G1172"/>
    </row>
    <row r="1173" spans="1:7" x14ac:dyDescent="0.35">
      <c r="A1173"/>
      <c r="B1173"/>
      <c r="C1173"/>
      <c r="D1173"/>
      <c r="E1173"/>
      <c r="F1173"/>
      <c r="G1173"/>
    </row>
    <row r="1174" spans="1:7" x14ac:dyDescent="0.35">
      <c r="A1174"/>
      <c r="B1174"/>
      <c r="C1174"/>
      <c r="D1174"/>
      <c r="E1174"/>
      <c r="F1174"/>
      <c r="G1174"/>
    </row>
    <row r="1175" spans="1:7" x14ac:dyDescent="0.35">
      <c r="A1175"/>
      <c r="B1175"/>
      <c r="C1175"/>
      <c r="D1175"/>
      <c r="E1175"/>
      <c r="F1175"/>
      <c r="G1175"/>
    </row>
    <row r="1176" spans="1:7" x14ac:dyDescent="0.35">
      <c r="A1176"/>
      <c r="B1176"/>
      <c r="C1176"/>
      <c r="D1176"/>
      <c r="E1176"/>
      <c r="F1176"/>
      <c r="G1176"/>
    </row>
    <row r="1177" spans="1:7" x14ac:dyDescent="0.35">
      <c r="A1177"/>
      <c r="B1177"/>
      <c r="C1177"/>
      <c r="D1177"/>
      <c r="E1177"/>
      <c r="F1177"/>
      <c r="G1177"/>
    </row>
    <row r="1178" spans="1:7" x14ac:dyDescent="0.35">
      <c r="A1178"/>
      <c r="B1178"/>
      <c r="C1178"/>
      <c r="D1178"/>
      <c r="E1178"/>
      <c r="F1178"/>
      <c r="G1178"/>
    </row>
    <row r="1179" spans="1:7" x14ac:dyDescent="0.35">
      <c r="A1179"/>
      <c r="B1179"/>
      <c r="C1179"/>
      <c r="D1179"/>
      <c r="E1179"/>
      <c r="F1179"/>
      <c r="G1179"/>
    </row>
    <row r="1180" spans="1:7" x14ac:dyDescent="0.35">
      <c r="A1180"/>
      <c r="B1180"/>
      <c r="C1180"/>
      <c r="D1180"/>
      <c r="E1180"/>
      <c r="F1180"/>
      <c r="G1180"/>
    </row>
    <row r="1181" spans="1:7" x14ac:dyDescent="0.35">
      <c r="A1181"/>
      <c r="B1181"/>
      <c r="C1181"/>
      <c r="D1181"/>
      <c r="E1181"/>
      <c r="F1181"/>
      <c r="G1181"/>
    </row>
    <row r="1182" spans="1:7" x14ac:dyDescent="0.35">
      <c r="A1182"/>
      <c r="B1182"/>
      <c r="C1182"/>
      <c r="D1182"/>
      <c r="E1182"/>
      <c r="F1182"/>
      <c r="G1182"/>
    </row>
    <row r="1183" spans="1:7" x14ac:dyDescent="0.35">
      <c r="A1183"/>
      <c r="B1183"/>
      <c r="C1183"/>
      <c r="D1183"/>
      <c r="E1183"/>
      <c r="F1183"/>
      <c r="G1183"/>
    </row>
    <row r="1184" spans="1:7" x14ac:dyDescent="0.35">
      <c r="A1184"/>
      <c r="B1184"/>
      <c r="C1184"/>
      <c r="D1184"/>
      <c r="E1184"/>
      <c r="F1184"/>
      <c r="G1184"/>
    </row>
    <row r="1185" spans="1:7" x14ac:dyDescent="0.35">
      <c r="A1185"/>
      <c r="B1185"/>
      <c r="C1185"/>
      <c r="D1185"/>
      <c r="E1185"/>
      <c r="F1185"/>
      <c r="G1185"/>
    </row>
    <row r="1186" spans="1:7" x14ac:dyDescent="0.35">
      <c r="A1186"/>
      <c r="B1186"/>
      <c r="C1186"/>
      <c r="D1186"/>
      <c r="E1186"/>
      <c r="F1186"/>
      <c r="G1186"/>
    </row>
    <row r="1187" spans="1:7" x14ac:dyDescent="0.35">
      <c r="A1187"/>
      <c r="B1187"/>
      <c r="C1187"/>
      <c r="D1187"/>
      <c r="E1187"/>
      <c r="F1187"/>
      <c r="G1187"/>
    </row>
    <row r="1188" spans="1:7" x14ac:dyDescent="0.35">
      <c r="A1188"/>
      <c r="B1188"/>
      <c r="C1188"/>
      <c r="D1188"/>
      <c r="E1188"/>
      <c r="F1188"/>
      <c r="G1188"/>
    </row>
    <row r="1189" spans="1:7" x14ac:dyDescent="0.35">
      <c r="A1189"/>
      <c r="B1189"/>
      <c r="C1189"/>
      <c r="D1189"/>
      <c r="E1189"/>
      <c r="F1189"/>
      <c r="G1189"/>
    </row>
    <row r="1190" spans="1:7" x14ac:dyDescent="0.35">
      <c r="A1190"/>
      <c r="B1190"/>
      <c r="C1190"/>
      <c r="D1190"/>
      <c r="E1190"/>
      <c r="F1190"/>
      <c r="G1190"/>
    </row>
    <row r="1191" spans="1:7" x14ac:dyDescent="0.35">
      <c r="A1191"/>
      <c r="B1191"/>
      <c r="C1191"/>
      <c r="D1191"/>
      <c r="E1191"/>
      <c r="F1191"/>
      <c r="G1191"/>
    </row>
    <row r="1192" spans="1:7" x14ac:dyDescent="0.35">
      <c r="A1192"/>
      <c r="B1192"/>
      <c r="C1192"/>
      <c r="D1192"/>
      <c r="E1192"/>
      <c r="F1192"/>
      <c r="G1192"/>
    </row>
    <row r="1193" spans="1:7" x14ac:dyDescent="0.35">
      <c r="A1193"/>
      <c r="B1193"/>
      <c r="C1193"/>
      <c r="D1193"/>
      <c r="E1193"/>
      <c r="F1193"/>
      <c r="G1193"/>
    </row>
    <row r="1194" spans="1:7" x14ac:dyDescent="0.35">
      <c r="A1194"/>
      <c r="B1194"/>
      <c r="C1194"/>
      <c r="D1194"/>
      <c r="E1194"/>
      <c r="F1194"/>
      <c r="G1194"/>
    </row>
    <row r="1195" spans="1:7" x14ac:dyDescent="0.35">
      <c r="A1195"/>
      <c r="B1195"/>
      <c r="C1195"/>
      <c r="D1195"/>
      <c r="E1195"/>
      <c r="F1195"/>
      <c r="G1195"/>
    </row>
    <row r="1196" spans="1:7" x14ac:dyDescent="0.35">
      <c r="A1196"/>
      <c r="B1196"/>
      <c r="C1196"/>
      <c r="D1196"/>
      <c r="E1196"/>
      <c r="F1196"/>
      <c r="G1196"/>
    </row>
    <row r="1197" spans="1:7" x14ac:dyDescent="0.35">
      <c r="A1197"/>
      <c r="B1197"/>
      <c r="C1197"/>
      <c r="D1197"/>
      <c r="E1197"/>
      <c r="F1197"/>
      <c r="G1197"/>
    </row>
    <row r="1198" spans="1:7" x14ac:dyDescent="0.35">
      <c r="A1198"/>
      <c r="B1198"/>
      <c r="C1198"/>
      <c r="D1198"/>
      <c r="E1198"/>
      <c r="F1198"/>
      <c r="G1198"/>
    </row>
    <row r="1199" spans="1:7" x14ac:dyDescent="0.35">
      <c r="A1199"/>
      <c r="B1199"/>
      <c r="C1199"/>
      <c r="D1199"/>
      <c r="E1199"/>
      <c r="F1199"/>
      <c r="G1199"/>
    </row>
    <row r="1200" spans="1:7" x14ac:dyDescent="0.35">
      <c r="A1200"/>
      <c r="B1200"/>
      <c r="C1200"/>
      <c r="D1200"/>
      <c r="E1200"/>
      <c r="F1200"/>
      <c r="G1200"/>
    </row>
    <row r="1201" spans="1:7" x14ac:dyDescent="0.35">
      <c r="A1201"/>
      <c r="B1201"/>
      <c r="C1201"/>
      <c r="D1201"/>
      <c r="E1201"/>
      <c r="F1201"/>
      <c r="G1201"/>
    </row>
    <row r="1202" spans="1:7" x14ac:dyDescent="0.35">
      <c r="A1202"/>
      <c r="B1202"/>
      <c r="C1202"/>
      <c r="D1202"/>
      <c r="E1202"/>
      <c r="F1202"/>
      <c r="G1202"/>
    </row>
    <row r="1203" spans="1:7" x14ac:dyDescent="0.35">
      <c r="A1203"/>
      <c r="B1203"/>
      <c r="C1203"/>
      <c r="D1203"/>
      <c r="E1203"/>
      <c r="F1203"/>
      <c r="G1203"/>
    </row>
    <row r="1204" spans="1:7" x14ac:dyDescent="0.35">
      <c r="A1204"/>
      <c r="B1204"/>
      <c r="C1204"/>
      <c r="D1204"/>
      <c r="E1204"/>
      <c r="F1204"/>
      <c r="G1204"/>
    </row>
    <row r="1205" spans="1:7" x14ac:dyDescent="0.35">
      <c r="A1205"/>
      <c r="B1205"/>
      <c r="C1205"/>
      <c r="D1205"/>
      <c r="E1205"/>
      <c r="F1205"/>
      <c r="G1205"/>
    </row>
    <row r="1206" spans="1:7" x14ac:dyDescent="0.35">
      <c r="A1206"/>
      <c r="B1206"/>
      <c r="C1206"/>
      <c r="D1206"/>
      <c r="E1206"/>
      <c r="F1206"/>
      <c r="G1206"/>
    </row>
    <row r="1207" spans="1:7" x14ac:dyDescent="0.35">
      <c r="A1207"/>
      <c r="B1207"/>
      <c r="C1207"/>
      <c r="D1207"/>
      <c r="E1207"/>
      <c r="F1207"/>
      <c r="G1207"/>
    </row>
    <row r="1208" spans="1:7" x14ac:dyDescent="0.35">
      <c r="A1208"/>
      <c r="B1208"/>
      <c r="C1208"/>
      <c r="D1208"/>
      <c r="E1208"/>
      <c r="F1208"/>
      <c r="G1208"/>
    </row>
    <row r="1209" spans="1:7" x14ac:dyDescent="0.35">
      <c r="A1209"/>
      <c r="B1209"/>
      <c r="C1209"/>
      <c r="D1209"/>
      <c r="E1209"/>
      <c r="F1209"/>
      <c r="G1209"/>
    </row>
    <row r="1210" spans="1:7" x14ac:dyDescent="0.35">
      <c r="A1210"/>
      <c r="B1210"/>
      <c r="C1210"/>
      <c r="D1210"/>
      <c r="E1210"/>
      <c r="F1210"/>
      <c r="G1210"/>
    </row>
    <row r="1211" spans="1:7" x14ac:dyDescent="0.35">
      <c r="A1211"/>
      <c r="B1211"/>
      <c r="C1211"/>
      <c r="D1211"/>
      <c r="E1211"/>
      <c r="F1211"/>
      <c r="G1211"/>
    </row>
    <row r="1212" spans="1:7" x14ac:dyDescent="0.35">
      <c r="A1212"/>
      <c r="B1212"/>
      <c r="C1212"/>
      <c r="D1212"/>
      <c r="E1212"/>
      <c r="F1212"/>
      <c r="G1212"/>
    </row>
    <row r="1213" spans="1:7" x14ac:dyDescent="0.35">
      <c r="A1213"/>
      <c r="B1213"/>
      <c r="C1213"/>
      <c r="D1213"/>
      <c r="E1213"/>
      <c r="F1213"/>
      <c r="G1213"/>
    </row>
    <row r="1214" spans="1:7" x14ac:dyDescent="0.35">
      <c r="A1214"/>
      <c r="B1214"/>
      <c r="C1214"/>
      <c r="D1214"/>
      <c r="E1214"/>
      <c r="F1214"/>
      <c r="G1214"/>
    </row>
    <row r="1215" spans="1:7" x14ac:dyDescent="0.35">
      <c r="A1215"/>
      <c r="B1215"/>
      <c r="C1215"/>
      <c r="D1215"/>
      <c r="E1215"/>
      <c r="F1215"/>
      <c r="G1215"/>
    </row>
    <row r="1216" spans="1:7" x14ac:dyDescent="0.35">
      <c r="A1216"/>
      <c r="B1216"/>
      <c r="C1216"/>
      <c r="D1216"/>
      <c r="E1216"/>
      <c r="F1216"/>
      <c r="G1216"/>
    </row>
    <row r="1217" spans="1:7" x14ac:dyDescent="0.35">
      <c r="A1217"/>
      <c r="B1217"/>
      <c r="C1217"/>
      <c r="D1217"/>
      <c r="E1217"/>
      <c r="F1217"/>
      <c r="G1217"/>
    </row>
    <row r="1218" spans="1:7" x14ac:dyDescent="0.35">
      <c r="A1218"/>
      <c r="B1218"/>
      <c r="C1218"/>
      <c r="D1218"/>
      <c r="E1218"/>
      <c r="F1218"/>
      <c r="G1218"/>
    </row>
    <row r="1219" spans="1:7" x14ac:dyDescent="0.35">
      <c r="A1219"/>
      <c r="B1219"/>
      <c r="C1219"/>
      <c r="D1219"/>
      <c r="E1219"/>
      <c r="F1219"/>
      <c r="G1219"/>
    </row>
    <row r="1220" spans="1:7" x14ac:dyDescent="0.35">
      <c r="A1220"/>
      <c r="B1220"/>
      <c r="C1220"/>
      <c r="D1220"/>
      <c r="E1220"/>
      <c r="F1220"/>
      <c r="G1220"/>
    </row>
    <row r="1221" spans="1:7" x14ac:dyDescent="0.35">
      <c r="A1221"/>
      <c r="B1221"/>
      <c r="C1221"/>
      <c r="D1221"/>
      <c r="E1221"/>
      <c r="F1221"/>
      <c r="G1221"/>
    </row>
    <row r="1222" spans="1:7" x14ac:dyDescent="0.35">
      <c r="A1222"/>
      <c r="B1222"/>
      <c r="C1222"/>
      <c r="D1222"/>
      <c r="E1222"/>
      <c r="F1222"/>
      <c r="G1222"/>
    </row>
    <row r="1223" spans="1:7" x14ac:dyDescent="0.35">
      <c r="A1223"/>
      <c r="B1223"/>
      <c r="C1223"/>
      <c r="D1223"/>
      <c r="E1223"/>
      <c r="F1223"/>
      <c r="G1223"/>
    </row>
    <row r="1224" spans="1:7" x14ac:dyDescent="0.35">
      <c r="A1224"/>
      <c r="B1224"/>
      <c r="C1224"/>
      <c r="D1224"/>
      <c r="E1224"/>
      <c r="F1224"/>
      <c r="G1224"/>
    </row>
    <row r="1225" spans="1:7" x14ac:dyDescent="0.35">
      <c r="A1225"/>
      <c r="B1225"/>
      <c r="C1225"/>
      <c r="D1225"/>
      <c r="E1225"/>
      <c r="F1225"/>
      <c r="G1225"/>
    </row>
    <row r="1226" spans="1:7" x14ac:dyDescent="0.35">
      <c r="A1226"/>
      <c r="B1226"/>
      <c r="C1226"/>
      <c r="D1226"/>
      <c r="E1226"/>
      <c r="F1226"/>
      <c r="G1226"/>
    </row>
    <row r="1227" spans="1:7" x14ac:dyDescent="0.35">
      <c r="A1227"/>
      <c r="B1227"/>
      <c r="C1227"/>
      <c r="D1227"/>
      <c r="E1227"/>
      <c r="F1227"/>
      <c r="G1227"/>
    </row>
    <row r="1228" spans="1:7" x14ac:dyDescent="0.35">
      <c r="A1228"/>
      <c r="B1228"/>
      <c r="C1228"/>
      <c r="D1228"/>
      <c r="E1228"/>
      <c r="F1228"/>
      <c r="G1228"/>
    </row>
    <row r="1229" spans="1:7" x14ac:dyDescent="0.35">
      <c r="A1229"/>
      <c r="B1229"/>
      <c r="C1229"/>
      <c r="D1229"/>
      <c r="E1229"/>
      <c r="F1229"/>
      <c r="G1229"/>
    </row>
    <row r="1230" spans="1:7" x14ac:dyDescent="0.35">
      <c r="A1230"/>
      <c r="B1230"/>
      <c r="C1230"/>
      <c r="D1230"/>
      <c r="E1230"/>
      <c r="F1230"/>
      <c r="G1230"/>
    </row>
    <row r="1231" spans="1:7" x14ac:dyDescent="0.35">
      <c r="A1231"/>
      <c r="B1231"/>
      <c r="C1231"/>
      <c r="D1231"/>
      <c r="E1231"/>
      <c r="F1231"/>
      <c r="G1231"/>
    </row>
    <row r="1232" spans="1:7" x14ac:dyDescent="0.35">
      <c r="A1232"/>
      <c r="B1232"/>
      <c r="C1232"/>
      <c r="D1232"/>
      <c r="E1232"/>
      <c r="F1232"/>
      <c r="G1232"/>
    </row>
    <row r="1233" spans="1:7" x14ac:dyDescent="0.35">
      <c r="A1233"/>
      <c r="B1233"/>
      <c r="C1233"/>
      <c r="D1233"/>
      <c r="E1233"/>
      <c r="F1233"/>
      <c r="G1233"/>
    </row>
    <row r="1234" spans="1:7" x14ac:dyDescent="0.35">
      <c r="A1234"/>
      <c r="B1234"/>
      <c r="C1234"/>
      <c r="D1234"/>
      <c r="E1234"/>
      <c r="F1234"/>
      <c r="G1234"/>
    </row>
    <row r="1235" spans="1:7" x14ac:dyDescent="0.35">
      <c r="A1235"/>
      <c r="B1235"/>
      <c r="C1235"/>
      <c r="D1235"/>
      <c r="E1235"/>
      <c r="F1235"/>
      <c r="G1235"/>
    </row>
    <row r="1236" spans="1:7" x14ac:dyDescent="0.35">
      <c r="A1236"/>
      <c r="B1236"/>
      <c r="C1236"/>
      <c r="D1236"/>
      <c r="E1236"/>
      <c r="F1236"/>
      <c r="G1236"/>
    </row>
    <row r="1237" spans="1:7" x14ac:dyDescent="0.35">
      <c r="A1237"/>
      <c r="B1237"/>
      <c r="C1237"/>
      <c r="D1237"/>
      <c r="E1237"/>
      <c r="F1237"/>
      <c r="G1237"/>
    </row>
    <row r="1238" spans="1:7" x14ac:dyDescent="0.35">
      <c r="A1238"/>
      <c r="B1238"/>
      <c r="C1238"/>
      <c r="D1238"/>
      <c r="E1238"/>
      <c r="F1238"/>
      <c r="G1238"/>
    </row>
    <row r="1239" spans="1:7" x14ac:dyDescent="0.35">
      <c r="A1239"/>
      <c r="B1239"/>
      <c r="C1239"/>
      <c r="D1239"/>
      <c r="E1239"/>
      <c r="F1239"/>
      <c r="G1239"/>
    </row>
    <row r="1240" spans="1:7" x14ac:dyDescent="0.35">
      <c r="A1240"/>
      <c r="B1240"/>
      <c r="C1240"/>
      <c r="D1240"/>
      <c r="E1240"/>
      <c r="F1240"/>
      <c r="G1240"/>
    </row>
    <row r="1241" spans="1:7" x14ac:dyDescent="0.35">
      <c r="A1241"/>
      <c r="B1241"/>
      <c r="C1241"/>
      <c r="D1241"/>
      <c r="E1241"/>
      <c r="F1241"/>
      <c r="G1241"/>
    </row>
    <row r="1242" spans="1:7" x14ac:dyDescent="0.35">
      <c r="A1242"/>
      <c r="B1242"/>
      <c r="C1242"/>
      <c r="D1242"/>
      <c r="E1242"/>
      <c r="F1242"/>
      <c r="G1242"/>
    </row>
    <row r="1243" spans="1:7" x14ac:dyDescent="0.35">
      <c r="A1243"/>
      <c r="B1243"/>
      <c r="C1243"/>
      <c r="D1243"/>
      <c r="E1243"/>
      <c r="F1243"/>
      <c r="G1243"/>
    </row>
    <row r="1244" spans="1:7" x14ac:dyDescent="0.35">
      <c r="A1244"/>
      <c r="B1244"/>
      <c r="C1244"/>
      <c r="D1244"/>
      <c r="E1244"/>
      <c r="F1244"/>
      <c r="G1244"/>
    </row>
    <row r="1245" spans="1:7" x14ac:dyDescent="0.35">
      <c r="A1245"/>
      <c r="B1245"/>
      <c r="C1245"/>
      <c r="D1245"/>
      <c r="E1245"/>
      <c r="F1245"/>
      <c r="G1245"/>
    </row>
    <row r="1246" spans="1:7" x14ac:dyDescent="0.35">
      <c r="A1246"/>
      <c r="B1246"/>
      <c r="C1246"/>
      <c r="D1246"/>
      <c r="E1246"/>
      <c r="F1246"/>
      <c r="G1246"/>
    </row>
    <row r="1247" spans="1:7" x14ac:dyDescent="0.35">
      <c r="A1247"/>
      <c r="B1247"/>
      <c r="C1247"/>
      <c r="D1247"/>
      <c r="E1247"/>
      <c r="F1247"/>
      <c r="G1247"/>
    </row>
    <row r="1248" spans="1:7" x14ac:dyDescent="0.35">
      <c r="A1248"/>
      <c r="B1248"/>
      <c r="C1248"/>
      <c r="D1248"/>
      <c r="E1248"/>
      <c r="F1248"/>
      <c r="G1248"/>
    </row>
    <row r="1249" spans="1:7" x14ac:dyDescent="0.35">
      <c r="A1249"/>
      <c r="B1249"/>
      <c r="C1249"/>
      <c r="D1249"/>
      <c r="E1249"/>
      <c r="F1249"/>
      <c r="G1249"/>
    </row>
    <row r="1250" spans="1:7" x14ac:dyDescent="0.35">
      <c r="A1250"/>
      <c r="B1250"/>
      <c r="C1250"/>
      <c r="D1250"/>
      <c r="E1250"/>
      <c r="F1250"/>
      <c r="G1250"/>
    </row>
    <row r="1251" spans="1:7" x14ac:dyDescent="0.35">
      <c r="A1251"/>
      <c r="B1251"/>
      <c r="C1251"/>
      <c r="D1251"/>
      <c r="E1251"/>
      <c r="F1251"/>
      <c r="G1251"/>
    </row>
    <row r="1252" spans="1:7" x14ac:dyDescent="0.35">
      <c r="A1252"/>
      <c r="B1252"/>
      <c r="C1252"/>
      <c r="D1252"/>
      <c r="E1252"/>
      <c r="F1252"/>
      <c r="G1252"/>
    </row>
    <row r="1253" spans="1:7" x14ac:dyDescent="0.35">
      <c r="A1253"/>
      <c r="B1253"/>
      <c r="C1253"/>
      <c r="D1253"/>
      <c r="E1253"/>
      <c r="F1253"/>
      <c r="G1253"/>
    </row>
    <row r="1254" spans="1:7" x14ac:dyDescent="0.35">
      <c r="A1254"/>
      <c r="B1254"/>
      <c r="C1254"/>
      <c r="D1254"/>
      <c r="E1254"/>
      <c r="F1254"/>
      <c r="G1254"/>
    </row>
    <row r="1255" spans="1:7" x14ac:dyDescent="0.35">
      <c r="A1255"/>
      <c r="B1255"/>
      <c r="C1255"/>
      <c r="D1255"/>
      <c r="E1255"/>
      <c r="F1255"/>
      <c r="G1255"/>
    </row>
    <row r="1256" spans="1:7" x14ac:dyDescent="0.35">
      <c r="A1256"/>
      <c r="B1256"/>
      <c r="C1256"/>
      <c r="D1256"/>
      <c r="E1256"/>
      <c r="F1256"/>
      <c r="G1256"/>
    </row>
    <row r="1257" spans="1:7" x14ac:dyDescent="0.35">
      <c r="A1257"/>
      <c r="B1257"/>
      <c r="C1257"/>
      <c r="D1257"/>
      <c r="E1257"/>
      <c r="F1257"/>
      <c r="G1257"/>
    </row>
    <row r="1258" spans="1:7" x14ac:dyDescent="0.35">
      <c r="A1258"/>
      <c r="B1258"/>
      <c r="C1258"/>
      <c r="D1258"/>
      <c r="E1258"/>
      <c r="F1258"/>
      <c r="G1258"/>
    </row>
    <row r="1259" spans="1:7" x14ac:dyDescent="0.35">
      <c r="A1259"/>
      <c r="B1259"/>
      <c r="C1259"/>
      <c r="D1259"/>
      <c r="E1259"/>
      <c r="F1259"/>
      <c r="G1259"/>
    </row>
    <row r="1260" spans="1:7" x14ac:dyDescent="0.35">
      <c r="A1260"/>
      <c r="B1260"/>
      <c r="C1260"/>
      <c r="D1260"/>
      <c r="E1260"/>
      <c r="F1260"/>
      <c r="G1260"/>
    </row>
    <row r="1261" spans="1:7" x14ac:dyDescent="0.35">
      <c r="A1261"/>
      <c r="B1261"/>
      <c r="C1261"/>
      <c r="D1261"/>
      <c r="E1261"/>
      <c r="F1261"/>
      <c r="G1261"/>
    </row>
    <row r="1262" spans="1:7" x14ac:dyDescent="0.35">
      <c r="A1262"/>
      <c r="B1262"/>
      <c r="C1262"/>
      <c r="D1262"/>
      <c r="E1262"/>
      <c r="F1262"/>
      <c r="G1262"/>
    </row>
    <row r="1263" spans="1:7" x14ac:dyDescent="0.35">
      <c r="A1263"/>
      <c r="B1263"/>
      <c r="C1263"/>
      <c r="D1263"/>
      <c r="E1263"/>
      <c r="F1263"/>
      <c r="G1263"/>
    </row>
    <row r="1264" spans="1:7" x14ac:dyDescent="0.35">
      <c r="A1264"/>
      <c r="B1264"/>
      <c r="C1264"/>
      <c r="D1264"/>
      <c r="E1264"/>
      <c r="F1264"/>
      <c r="G1264"/>
    </row>
    <row r="1265" spans="1:7" x14ac:dyDescent="0.35">
      <c r="A1265"/>
      <c r="B1265"/>
      <c r="C1265"/>
      <c r="D1265"/>
      <c r="E1265"/>
      <c r="F1265"/>
      <c r="G1265"/>
    </row>
    <row r="1266" spans="1:7" x14ac:dyDescent="0.35">
      <c r="A1266"/>
      <c r="B1266"/>
      <c r="C1266"/>
      <c r="D1266"/>
      <c r="E1266"/>
      <c r="F1266"/>
      <c r="G1266"/>
    </row>
    <row r="1267" spans="1:7" x14ac:dyDescent="0.35">
      <c r="A1267"/>
      <c r="B1267"/>
      <c r="C1267"/>
      <c r="D1267"/>
      <c r="E1267"/>
      <c r="F1267"/>
      <c r="G1267"/>
    </row>
    <row r="1268" spans="1:7" x14ac:dyDescent="0.35">
      <c r="A1268"/>
      <c r="B1268"/>
      <c r="C1268"/>
      <c r="D1268"/>
      <c r="E1268"/>
      <c r="F1268"/>
      <c r="G1268"/>
    </row>
    <row r="1269" spans="1:7" x14ac:dyDescent="0.35">
      <c r="A1269"/>
      <c r="B1269"/>
      <c r="C1269"/>
      <c r="D1269"/>
      <c r="E1269"/>
      <c r="F1269"/>
      <c r="G1269"/>
    </row>
    <row r="1270" spans="1:7" x14ac:dyDescent="0.35">
      <c r="A1270"/>
      <c r="B1270"/>
      <c r="C1270"/>
      <c r="D1270"/>
      <c r="E1270"/>
      <c r="F1270"/>
      <c r="G1270"/>
    </row>
    <row r="1271" spans="1:7" x14ac:dyDescent="0.35">
      <c r="A1271"/>
      <c r="B1271"/>
      <c r="C1271"/>
      <c r="D1271"/>
      <c r="E1271"/>
      <c r="F1271"/>
      <c r="G1271"/>
    </row>
    <row r="1272" spans="1:7" x14ac:dyDescent="0.35">
      <c r="A1272"/>
      <c r="B1272"/>
      <c r="C1272"/>
      <c r="D1272"/>
      <c r="E1272"/>
      <c r="F1272"/>
      <c r="G1272"/>
    </row>
    <row r="1273" spans="1:7" x14ac:dyDescent="0.35">
      <c r="A1273"/>
      <c r="B1273"/>
      <c r="C1273"/>
      <c r="D1273"/>
      <c r="E1273"/>
      <c r="F1273"/>
      <c r="G1273"/>
    </row>
    <row r="1274" spans="1:7" x14ac:dyDescent="0.35">
      <c r="A1274"/>
      <c r="B1274"/>
      <c r="C1274"/>
      <c r="D1274"/>
      <c r="E1274"/>
      <c r="F1274"/>
      <c r="G1274"/>
    </row>
    <row r="1275" spans="1:7" x14ac:dyDescent="0.35">
      <c r="A1275"/>
      <c r="B1275"/>
      <c r="C1275"/>
      <c r="D1275"/>
      <c r="E1275"/>
      <c r="F1275"/>
      <c r="G1275"/>
    </row>
    <row r="1276" spans="1:7" x14ac:dyDescent="0.35">
      <c r="A1276"/>
      <c r="B1276"/>
      <c r="C1276"/>
      <c r="D1276"/>
      <c r="E1276"/>
      <c r="F1276"/>
      <c r="G1276"/>
    </row>
    <row r="1277" spans="1:7" x14ac:dyDescent="0.35">
      <c r="A1277"/>
      <c r="B1277"/>
      <c r="C1277"/>
      <c r="D1277"/>
      <c r="E1277"/>
      <c r="F1277"/>
      <c r="G1277"/>
    </row>
    <row r="1278" spans="1:7" x14ac:dyDescent="0.35">
      <c r="A1278"/>
      <c r="B1278"/>
      <c r="C1278"/>
      <c r="D1278"/>
      <c r="E1278"/>
      <c r="F1278"/>
      <c r="G1278"/>
    </row>
    <row r="1279" spans="1:7" x14ac:dyDescent="0.35">
      <c r="A1279"/>
      <c r="B1279"/>
      <c r="C1279"/>
      <c r="D1279"/>
      <c r="E1279"/>
      <c r="F1279"/>
      <c r="G1279"/>
    </row>
    <row r="1280" spans="1:7" x14ac:dyDescent="0.35">
      <c r="A1280"/>
      <c r="B1280"/>
      <c r="C1280"/>
      <c r="D1280"/>
      <c r="E1280"/>
      <c r="F1280"/>
      <c r="G1280"/>
    </row>
    <row r="1281" spans="1:7" x14ac:dyDescent="0.35">
      <c r="A1281"/>
      <c r="B1281"/>
      <c r="C1281"/>
      <c r="D1281"/>
      <c r="E1281"/>
      <c r="F1281"/>
      <c r="G1281"/>
    </row>
    <row r="1282" spans="1:7" x14ac:dyDescent="0.35">
      <c r="A1282"/>
      <c r="B1282"/>
      <c r="C1282"/>
      <c r="D1282"/>
      <c r="E1282"/>
      <c r="F1282"/>
      <c r="G1282"/>
    </row>
    <row r="1283" spans="1:7" x14ac:dyDescent="0.35">
      <c r="A1283"/>
      <c r="B1283"/>
      <c r="C1283"/>
      <c r="D1283"/>
      <c r="E1283"/>
      <c r="F1283"/>
      <c r="G1283"/>
    </row>
    <row r="1284" spans="1:7" x14ac:dyDescent="0.35">
      <c r="A1284"/>
      <c r="B1284"/>
      <c r="C1284"/>
      <c r="D1284"/>
      <c r="E1284"/>
      <c r="F1284"/>
      <c r="G1284"/>
    </row>
    <row r="1285" spans="1:7" x14ac:dyDescent="0.35">
      <c r="A1285"/>
      <c r="B1285"/>
      <c r="C1285"/>
      <c r="D1285"/>
      <c r="E1285"/>
      <c r="F1285"/>
      <c r="G1285"/>
    </row>
    <row r="1286" spans="1:7" x14ac:dyDescent="0.35">
      <c r="A1286"/>
      <c r="B1286"/>
      <c r="C1286"/>
      <c r="D1286"/>
      <c r="E1286"/>
      <c r="F1286"/>
      <c r="G1286"/>
    </row>
    <row r="1287" spans="1:7" x14ac:dyDescent="0.35">
      <c r="A1287"/>
      <c r="B1287"/>
      <c r="C1287"/>
      <c r="D1287"/>
      <c r="E1287"/>
      <c r="F1287"/>
      <c r="G1287"/>
    </row>
    <row r="1288" spans="1:7" x14ac:dyDescent="0.35">
      <c r="A1288"/>
      <c r="B1288"/>
      <c r="C1288"/>
      <c r="D1288"/>
      <c r="E1288"/>
      <c r="F1288"/>
      <c r="G1288"/>
    </row>
    <row r="1289" spans="1:7" x14ac:dyDescent="0.35">
      <c r="A1289"/>
      <c r="B1289"/>
      <c r="C1289"/>
      <c r="D1289"/>
      <c r="E1289"/>
      <c r="F1289"/>
      <c r="G1289"/>
    </row>
    <row r="1290" spans="1:7" x14ac:dyDescent="0.35">
      <c r="A1290"/>
      <c r="B1290"/>
      <c r="C1290"/>
      <c r="D1290"/>
      <c r="E1290"/>
      <c r="F1290"/>
      <c r="G1290"/>
    </row>
    <row r="1291" spans="1:7" x14ac:dyDescent="0.35">
      <c r="A1291"/>
      <c r="B1291"/>
      <c r="C1291"/>
      <c r="D1291"/>
      <c r="E1291"/>
      <c r="F1291"/>
      <c r="G1291"/>
    </row>
    <row r="1292" spans="1:7" x14ac:dyDescent="0.35">
      <c r="A1292"/>
      <c r="B1292"/>
      <c r="C1292"/>
      <c r="D1292"/>
      <c r="E1292"/>
      <c r="F1292"/>
      <c r="G1292"/>
    </row>
    <row r="1293" spans="1:7" x14ac:dyDescent="0.35">
      <c r="A1293"/>
      <c r="B1293"/>
      <c r="C1293"/>
      <c r="D1293"/>
      <c r="E1293"/>
      <c r="F1293"/>
      <c r="G1293"/>
    </row>
    <row r="1294" spans="1:7" x14ac:dyDescent="0.35">
      <c r="A1294"/>
      <c r="B1294"/>
      <c r="C1294"/>
      <c r="D1294"/>
      <c r="E1294"/>
      <c r="F1294"/>
      <c r="G1294"/>
    </row>
    <row r="1295" spans="1:7" x14ac:dyDescent="0.35">
      <c r="A1295"/>
      <c r="B1295"/>
      <c r="C1295"/>
      <c r="D1295"/>
      <c r="E1295"/>
      <c r="F1295"/>
      <c r="G1295"/>
    </row>
    <row r="1296" spans="1:7" x14ac:dyDescent="0.35">
      <c r="A1296"/>
      <c r="B1296"/>
      <c r="C1296"/>
      <c r="D1296"/>
      <c r="E1296"/>
      <c r="F1296"/>
      <c r="G1296"/>
    </row>
    <row r="1297" spans="1:7" x14ac:dyDescent="0.35">
      <c r="A1297"/>
      <c r="B1297"/>
      <c r="C1297"/>
      <c r="D1297"/>
      <c r="E1297"/>
      <c r="F1297"/>
      <c r="G1297"/>
    </row>
    <row r="1298" spans="1:7" x14ac:dyDescent="0.35">
      <c r="A1298"/>
      <c r="B1298"/>
      <c r="C1298"/>
      <c r="D1298"/>
      <c r="E1298"/>
      <c r="F1298"/>
      <c r="G1298"/>
    </row>
    <row r="1299" spans="1:7" x14ac:dyDescent="0.35">
      <c r="A1299"/>
      <c r="B1299"/>
      <c r="C1299"/>
      <c r="D1299"/>
      <c r="E1299"/>
      <c r="F1299"/>
      <c r="G1299"/>
    </row>
    <row r="1300" spans="1:7" x14ac:dyDescent="0.35">
      <c r="A1300"/>
      <c r="B1300"/>
      <c r="C1300"/>
      <c r="D1300"/>
      <c r="E1300"/>
      <c r="F1300"/>
      <c r="G1300"/>
    </row>
    <row r="1301" spans="1:7" x14ac:dyDescent="0.35">
      <c r="A1301"/>
      <c r="B1301"/>
      <c r="C1301"/>
      <c r="D1301"/>
      <c r="E1301"/>
      <c r="F1301"/>
      <c r="G1301"/>
    </row>
    <row r="1302" spans="1:7" x14ac:dyDescent="0.35">
      <c r="A1302"/>
      <c r="B1302"/>
      <c r="C1302"/>
      <c r="D1302"/>
      <c r="E1302"/>
      <c r="F1302"/>
      <c r="G1302"/>
    </row>
    <row r="1303" spans="1:7" x14ac:dyDescent="0.35">
      <c r="A1303"/>
      <c r="B1303"/>
      <c r="C1303"/>
      <c r="D1303"/>
      <c r="E1303"/>
      <c r="F1303"/>
      <c r="G1303"/>
    </row>
    <row r="1304" spans="1:7" x14ac:dyDescent="0.35">
      <c r="A1304"/>
      <c r="B1304"/>
      <c r="C1304"/>
      <c r="D1304"/>
      <c r="E1304"/>
      <c r="F1304"/>
      <c r="G1304"/>
    </row>
    <row r="1305" spans="1:7" x14ac:dyDescent="0.35">
      <c r="A1305"/>
      <c r="B1305"/>
      <c r="C1305"/>
      <c r="D1305"/>
      <c r="E1305"/>
      <c r="F1305"/>
      <c r="G1305"/>
    </row>
    <row r="1306" spans="1:7" x14ac:dyDescent="0.35">
      <c r="A1306"/>
      <c r="B1306"/>
      <c r="C1306"/>
      <c r="D1306"/>
      <c r="E1306"/>
      <c r="F1306"/>
      <c r="G1306"/>
    </row>
    <row r="1307" spans="1:7" x14ac:dyDescent="0.35">
      <c r="A1307"/>
      <c r="B1307"/>
      <c r="C1307"/>
      <c r="D1307"/>
      <c r="E1307"/>
      <c r="F1307"/>
      <c r="G1307"/>
    </row>
    <row r="1308" spans="1:7" x14ac:dyDescent="0.35">
      <c r="A1308"/>
      <c r="B1308"/>
      <c r="C1308"/>
      <c r="D1308"/>
      <c r="E1308"/>
      <c r="F1308"/>
      <c r="G1308"/>
    </row>
    <row r="1309" spans="1:7" x14ac:dyDescent="0.35">
      <c r="A1309"/>
      <c r="B1309"/>
      <c r="C1309"/>
      <c r="D1309"/>
      <c r="E1309"/>
      <c r="F1309"/>
      <c r="G1309"/>
    </row>
    <row r="1310" spans="1:7" x14ac:dyDescent="0.35">
      <c r="A1310"/>
      <c r="B1310"/>
      <c r="C1310"/>
      <c r="D1310"/>
      <c r="E1310"/>
      <c r="F1310"/>
      <c r="G1310"/>
    </row>
    <row r="1311" spans="1:7" x14ac:dyDescent="0.35">
      <c r="A1311"/>
      <c r="B1311"/>
      <c r="C1311"/>
      <c r="D1311"/>
      <c r="E1311"/>
      <c r="F1311"/>
      <c r="G1311"/>
    </row>
    <row r="1312" spans="1:7" x14ac:dyDescent="0.35">
      <c r="A1312"/>
      <c r="B1312"/>
      <c r="C1312"/>
      <c r="D1312"/>
      <c r="E1312"/>
      <c r="F1312"/>
      <c r="G1312"/>
    </row>
    <row r="1313" spans="1:7" x14ac:dyDescent="0.35">
      <c r="A1313"/>
      <c r="B1313"/>
      <c r="C1313"/>
      <c r="D1313"/>
      <c r="E1313"/>
      <c r="F1313"/>
      <c r="G1313"/>
    </row>
    <row r="1314" spans="1:7" x14ac:dyDescent="0.35">
      <c r="A1314"/>
      <c r="B1314"/>
      <c r="C1314"/>
      <c r="D1314"/>
      <c r="E1314"/>
      <c r="F1314"/>
      <c r="G1314"/>
    </row>
    <row r="1315" spans="1:7" x14ac:dyDescent="0.35">
      <c r="A1315"/>
      <c r="B1315"/>
      <c r="C1315"/>
      <c r="D1315"/>
      <c r="E1315"/>
      <c r="F1315"/>
      <c r="G1315"/>
    </row>
    <row r="1316" spans="1:7" x14ac:dyDescent="0.35">
      <c r="A1316"/>
      <c r="B1316"/>
      <c r="C1316"/>
      <c r="D1316"/>
      <c r="E1316"/>
      <c r="F1316"/>
      <c r="G1316"/>
    </row>
    <row r="1317" spans="1:7" x14ac:dyDescent="0.35">
      <c r="A1317"/>
      <c r="B1317"/>
      <c r="C1317"/>
      <c r="D1317"/>
      <c r="E1317"/>
      <c r="F1317"/>
      <c r="G1317"/>
    </row>
    <row r="1318" spans="1:7" x14ac:dyDescent="0.35">
      <c r="A1318"/>
      <c r="B1318"/>
      <c r="C1318"/>
      <c r="D1318"/>
      <c r="E1318"/>
      <c r="F1318"/>
      <c r="G1318"/>
    </row>
    <row r="1319" spans="1:7" x14ac:dyDescent="0.35">
      <c r="A1319"/>
      <c r="B1319"/>
      <c r="C1319"/>
      <c r="D1319"/>
      <c r="E1319"/>
      <c r="F1319"/>
      <c r="G1319"/>
    </row>
    <row r="1320" spans="1:7" x14ac:dyDescent="0.35">
      <c r="A1320"/>
      <c r="B1320"/>
      <c r="C1320"/>
      <c r="D1320"/>
      <c r="E1320"/>
      <c r="F1320"/>
      <c r="G1320"/>
    </row>
    <row r="1321" spans="1:7" x14ac:dyDescent="0.35">
      <c r="A1321"/>
      <c r="B1321"/>
      <c r="C1321"/>
      <c r="D1321"/>
      <c r="E1321"/>
      <c r="F1321"/>
      <c r="G1321"/>
    </row>
    <row r="1322" spans="1:7" x14ac:dyDescent="0.35">
      <c r="A1322"/>
      <c r="B1322"/>
      <c r="C1322"/>
      <c r="D1322"/>
      <c r="E1322"/>
      <c r="F1322"/>
      <c r="G1322"/>
    </row>
    <row r="1323" spans="1:7" x14ac:dyDescent="0.35">
      <c r="A1323"/>
      <c r="B1323"/>
      <c r="C1323"/>
      <c r="D1323"/>
      <c r="E1323"/>
      <c r="F1323"/>
      <c r="G1323"/>
    </row>
    <row r="1324" spans="1:7" x14ac:dyDescent="0.35">
      <c r="A1324"/>
      <c r="B1324"/>
      <c r="C1324"/>
      <c r="D1324"/>
      <c r="E1324"/>
      <c r="F1324"/>
      <c r="G1324"/>
    </row>
    <row r="1325" spans="1:7" x14ac:dyDescent="0.35">
      <c r="A1325"/>
      <c r="B1325"/>
      <c r="C1325"/>
      <c r="D1325"/>
      <c r="E1325"/>
      <c r="F1325"/>
      <c r="G1325"/>
    </row>
    <row r="1326" spans="1:7" x14ac:dyDescent="0.35">
      <c r="A1326"/>
      <c r="B1326"/>
      <c r="C1326"/>
      <c r="D1326"/>
      <c r="E1326"/>
      <c r="F1326"/>
      <c r="G1326"/>
    </row>
    <row r="1327" spans="1:7" x14ac:dyDescent="0.35">
      <c r="A1327"/>
      <c r="B1327"/>
      <c r="C1327"/>
      <c r="D1327"/>
      <c r="E1327"/>
      <c r="F1327"/>
      <c r="G1327"/>
    </row>
    <row r="1328" spans="1:7" x14ac:dyDescent="0.35">
      <c r="A1328"/>
      <c r="B1328"/>
      <c r="C1328"/>
      <c r="D1328"/>
      <c r="E1328"/>
      <c r="F1328"/>
      <c r="G1328"/>
    </row>
    <row r="1329" spans="1:7" x14ac:dyDescent="0.35">
      <c r="A1329"/>
      <c r="B1329"/>
      <c r="C1329"/>
      <c r="D1329"/>
      <c r="E1329"/>
      <c r="F1329"/>
      <c r="G1329"/>
    </row>
    <row r="1330" spans="1:7" x14ac:dyDescent="0.35">
      <c r="A1330"/>
      <c r="B1330"/>
      <c r="C1330"/>
      <c r="D1330"/>
      <c r="E1330"/>
      <c r="F1330"/>
      <c r="G1330"/>
    </row>
    <row r="1331" spans="1:7" x14ac:dyDescent="0.35">
      <c r="A1331"/>
      <c r="B1331"/>
      <c r="C1331"/>
      <c r="D1331"/>
      <c r="E1331"/>
      <c r="F1331"/>
      <c r="G1331"/>
    </row>
    <row r="1332" spans="1:7" x14ac:dyDescent="0.35">
      <c r="A1332"/>
      <c r="B1332"/>
      <c r="C1332"/>
      <c r="D1332"/>
      <c r="E1332"/>
      <c r="F1332"/>
      <c r="G1332"/>
    </row>
    <row r="1333" spans="1:7" x14ac:dyDescent="0.35">
      <c r="A1333"/>
      <c r="B1333"/>
      <c r="C1333"/>
      <c r="D1333"/>
      <c r="E1333"/>
      <c r="F1333"/>
      <c r="G1333"/>
    </row>
    <row r="1334" spans="1:7" x14ac:dyDescent="0.35">
      <c r="A1334"/>
      <c r="B1334"/>
      <c r="C1334"/>
      <c r="D1334"/>
      <c r="E1334"/>
      <c r="F1334"/>
      <c r="G1334"/>
    </row>
    <row r="1335" spans="1:7" x14ac:dyDescent="0.35">
      <c r="A1335"/>
      <c r="B1335"/>
      <c r="C1335"/>
      <c r="D1335"/>
      <c r="E1335"/>
      <c r="F1335"/>
      <c r="G1335"/>
    </row>
    <row r="1336" spans="1:7" x14ac:dyDescent="0.35">
      <c r="A1336"/>
      <c r="B1336"/>
      <c r="C1336"/>
      <c r="D1336"/>
      <c r="E1336"/>
      <c r="F1336"/>
      <c r="G1336"/>
    </row>
    <row r="1337" spans="1:7" x14ac:dyDescent="0.35">
      <c r="A1337"/>
      <c r="B1337"/>
      <c r="C1337"/>
      <c r="D1337"/>
      <c r="E1337"/>
      <c r="F1337"/>
      <c r="G1337"/>
    </row>
    <row r="1338" spans="1:7" x14ac:dyDescent="0.35">
      <c r="A1338"/>
      <c r="B1338"/>
      <c r="C1338"/>
      <c r="D1338"/>
      <c r="E1338"/>
      <c r="F1338"/>
      <c r="G1338"/>
    </row>
    <row r="1339" spans="1:7" x14ac:dyDescent="0.35">
      <c r="A1339"/>
      <c r="B1339"/>
      <c r="C1339"/>
      <c r="D1339"/>
      <c r="E1339"/>
      <c r="F1339"/>
      <c r="G1339"/>
    </row>
    <row r="1340" spans="1:7" x14ac:dyDescent="0.35">
      <c r="A1340"/>
      <c r="B1340"/>
      <c r="C1340"/>
      <c r="D1340"/>
      <c r="E1340"/>
      <c r="F1340"/>
      <c r="G1340"/>
    </row>
    <row r="1341" spans="1:7" x14ac:dyDescent="0.35">
      <c r="A1341"/>
      <c r="B1341"/>
      <c r="C1341"/>
      <c r="D1341"/>
      <c r="E1341"/>
      <c r="F1341"/>
      <c r="G1341"/>
    </row>
    <row r="1342" spans="1:7" x14ac:dyDescent="0.35">
      <c r="A1342"/>
      <c r="B1342"/>
      <c r="C1342"/>
      <c r="D1342"/>
      <c r="E1342"/>
      <c r="F1342"/>
      <c r="G1342"/>
    </row>
    <row r="1343" spans="1:7" x14ac:dyDescent="0.35">
      <c r="A1343"/>
      <c r="B1343"/>
      <c r="C1343"/>
      <c r="D1343"/>
      <c r="E1343"/>
      <c r="F1343"/>
      <c r="G1343"/>
    </row>
    <row r="1344" spans="1:7" x14ac:dyDescent="0.35">
      <c r="A1344"/>
      <c r="B1344"/>
      <c r="C1344"/>
      <c r="D1344"/>
      <c r="E1344"/>
      <c r="F1344"/>
      <c r="G1344"/>
    </row>
    <row r="1345" spans="1:7" x14ac:dyDescent="0.35">
      <c r="A1345"/>
      <c r="B1345"/>
      <c r="C1345"/>
      <c r="D1345"/>
      <c r="E1345"/>
      <c r="F1345"/>
      <c r="G1345"/>
    </row>
    <row r="1346" spans="1:7" x14ac:dyDescent="0.35">
      <c r="A1346"/>
      <c r="B1346"/>
      <c r="C1346"/>
      <c r="D1346"/>
      <c r="E1346"/>
      <c r="F1346"/>
      <c r="G1346"/>
    </row>
    <row r="1347" spans="1:7" x14ac:dyDescent="0.35">
      <c r="A1347"/>
      <c r="B1347"/>
      <c r="C1347"/>
      <c r="D1347"/>
      <c r="E1347"/>
      <c r="F1347"/>
      <c r="G1347"/>
    </row>
    <row r="1348" spans="1:7" x14ac:dyDescent="0.35">
      <c r="A1348"/>
      <c r="B1348"/>
      <c r="C1348"/>
      <c r="D1348"/>
      <c r="E1348"/>
      <c r="F1348"/>
      <c r="G1348"/>
    </row>
    <row r="1349" spans="1:7" x14ac:dyDescent="0.35">
      <c r="A1349"/>
      <c r="B1349"/>
      <c r="C1349"/>
      <c r="D1349"/>
      <c r="E1349"/>
      <c r="F1349"/>
      <c r="G1349"/>
    </row>
    <row r="1350" spans="1:7" x14ac:dyDescent="0.35">
      <c r="A1350"/>
      <c r="B1350"/>
      <c r="C1350"/>
      <c r="D1350"/>
      <c r="E1350"/>
      <c r="F1350"/>
      <c r="G1350"/>
    </row>
    <row r="1351" spans="1:7" x14ac:dyDescent="0.35">
      <c r="A1351"/>
      <c r="B1351"/>
      <c r="C1351"/>
      <c r="D1351"/>
      <c r="E1351"/>
      <c r="F1351"/>
      <c r="G1351"/>
    </row>
    <row r="1352" spans="1:7" x14ac:dyDescent="0.35">
      <c r="A1352"/>
      <c r="B1352"/>
      <c r="C1352"/>
      <c r="D1352"/>
      <c r="E1352"/>
      <c r="F1352"/>
      <c r="G1352"/>
    </row>
    <row r="1353" spans="1:7" x14ac:dyDescent="0.35">
      <c r="A1353"/>
      <c r="B1353"/>
      <c r="C1353"/>
      <c r="D1353"/>
      <c r="E1353"/>
      <c r="F1353"/>
      <c r="G1353"/>
    </row>
    <row r="1354" spans="1:7" x14ac:dyDescent="0.35">
      <c r="A1354"/>
      <c r="B1354"/>
      <c r="C1354"/>
      <c r="D1354"/>
      <c r="E1354"/>
      <c r="F1354"/>
      <c r="G1354"/>
    </row>
    <row r="1355" spans="1:7" x14ac:dyDescent="0.35">
      <c r="A1355"/>
      <c r="B1355"/>
      <c r="C1355"/>
      <c r="D1355"/>
      <c r="E1355"/>
      <c r="F1355"/>
      <c r="G1355"/>
    </row>
    <row r="1356" spans="1:7" x14ac:dyDescent="0.35">
      <c r="A1356"/>
      <c r="B1356"/>
      <c r="C1356"/>
      <c r="D1356"/>
      <c r="E1356"/>
      <c r="F1356"/>
      <c r="G1356"/>
    </row>
    <row r="1357" spans="1:7" x14ac:dyDescent="0.35">
      <c r="A1357"/>
      <c r="B1357"/>
      <c r="C1357"/>
      <c r="D1357"/>
      <c r="E1357"/>
      <c r="F1357"/>
      <c r="G1357"/>
    </row>
    <row r="1358" spans="1:7" x14ac:dyDescent="0.35">
      <c r="A1358"/>
      <c r="B1358"/>
      <c r="C1358"/>
      <c r="D1358"/>
      <c r="E1358"/>
      <c r="F1358"/>
      <c r="G1358"/>
    </row>
    <row r="1359" spans="1:7" x14ac:dyDescent="0.35">
      <c r="A1359"/>
      <c r="B1359"/>
      <c r="C1359"/>
      <c r="D1359"/>
      <c r="E1359"/>
      <c r="F1359"/>
      <c r="G1359"/>
    </row>
    <row r="1360" spans="1:7" x14ac:dyDescent="0.35">
      <c r="A1360"/>
      <c r="B1360"/>
      <c r="C1360"/>
      <c r="D1360"/>
      <c r="E1360"/>
      <c r="F1360"/>
      <c r="G1360"/>
    </row>
    <row r="1361" spans="1:7" x14ac:dyDescent="0.35">
      <c r="A1361"/>
      <c r="B1361"/>
      <c r="C1361"/>
      <c r="D1361"/>
      <c r="E1361"/>
      <c r="F1361"/>
      <c r="G1361"/>
    </row>
    <row r="1362" spans="1:7" x14ac:dyDescent="0.35">
      <c r="A1362"/>
      <c r="B1362"/>
      <c r="C1362"/>
      <c r="D1362"/>
      <c r="E1362"/>
      <c r="F1362"/>
      <c r="G1362"/>
    </row>
    <row r="1363" spans="1:7" x14ac:dyDescent="0.35">
      <c r="A1363"/>
      <c r="B1363"/>
      <c r="C1363"/>
      <c r="D1363"/>
      <c r="E1363"/>
      <c r="F1363"/>
      <c r="G1363"/>
    </row>
    <row r="1364" spans="1:7" x14ac:dyDescent="0.35">
      <c r="A1364"/>
      <c r="B1364"/>
      <c r="C1364"/>
      <c r="D1364"/>
      <c r="E1364"/>
      <c r="F1364"/>
      <c r="G1364"/>
    </row>
    <row r="1365" spans="1:7" x14ac:dyDescent="0.35">
      <c r="A1365"/>
      <c r="B1365"/>
      <c r="C1365"/>
      <c r="D1365"/>
      <c r="E1365"/>
      <c r="F1365"/>
      <c r="G1365"/>
    </row>
    <row r="1366" spans="1:7" x14ac:dyDescent="0.35">
      <c r="A1366"/>
      <c r="B1366"/>
      <c r="C1366"/>
      <c r="D1366"/>
      <c r="E1366"/>
      <c r="F1366"/>
      <c r="G1366"/>
    </row>
    <row r="1367" spans="1:7" x14ac:dyDescent="0.35">
      <c r="A1367"/>
      <c r="B1367"/>
      <c r="C1367"/>
      <c r="D1367"/>
      <c r="E1367"/>
      <c r="F1367"/>
      <c r="G1367"/>
    </row>
    <row r="1368" spans="1:7" x14ac:dyDescent="0.35">
      <c r="A1368"/>
      <c r="B1368"/>
      <c r="C1368"/>
      <c r="D1368"/>
      <c r="E1368"/>
      <c r="F1368"/>
      <c r="G1368"/>
    </row>
    <row r="1369" spans="1:7" x14ac:dyDescent="0.35">
      <c r="A1369"/>
      <c r="B1369"/>
      <c r="C1369"/>
      <c r="D1369"/>
      <c r="E1369"/>
      <c r="F1369"/>
      <c r="G1369"/>
    </row>
    <row r="1370" spans="1:7" x14ac:dyDescent="0.35">
      <c r="A1370"/>
      <c r="B1370"/>
      <c r="C1370"/>
      <c r="D1370"/>
      <c r="E1370"/>
      <c r="F1370"/>
      <c r="G1370"/>
    </row>
    <row r="1371" spans="1:7" x14ac:dyDescent="0.35">
      <c r="A1371"/>
      <c r="B1371"/>
      <c r="C1371"/>
      <c r="D1371"/>
      <c r="E1371"/>
      <c r="F1371"/>
      <c r="G1371"/>
    </row>
    <row r="1372" spans="1:7" x14ac:dyDescent="0.35">
      <c r="A1372"/>
      <c r="B1372"/>
      <c r="C1372"/>
      <c r="D1372"/>
      <c r="E1372"/>
      <c r="F1372"/>
      <c r="G1372"/>
    </row>
    <row r="1373" spans="1:7" x14ac:dyDescent="0.35">
      <c r="A1373"/>
      <c r="B1373"/>
      <c r="C1373"/>
      <c r="D1373"/>
      <c r="E1373"/>
      <c r="F1373"/>
      <c r="G1373"/>
    </row>
    <row r="1374" spans="1:7" x14ac:dyDescent="0.35">
      <c r="A1374"/>
      <c r="B1374"/>
      <c r="C1374"/>
      <c r="D1374"/>
      <c r="E1374"/>
      <c r="F1374"/>
      <c r="G1374"/>
    </row>
    <row r="1375" spans="1:7" x14ac:dyDescent="0.35">
      <c r="A1375"/>
      <c r="B1375"/>
      <c r="C1375"/>
      <c r="D1375"/>
      <c r="E1375"/>
      <c r="F1375"/>
      <c r="G1375"/>
    </row>
    <row r="1376" spans="1:7" x14ac:dyDescent="0.35">
      <c r="A1376"/>
      <c r="B1376"/>
      <c r="C1376"/>
      <c r="D1376"/>
      <c r="E1376"/>
      <c r="F1376"/>
      <c r="G1376"/>
    </row>
    <row r="1377" spans="1:7" x14ac:dyDescent="0.35">
      <c r="A1377"/>
      <c r="B1377"/>
      <c r="C1377"/>
      <c r="D1377"/>
      <c r="E1377"/>
      <c r="F1377"/>
      <c r="G1377"/>
    </row>
    <row r="1378" spans="1:7" x14ac:dyDescent="0.35">
      <c r="A1378"/>
      <c r="B1378"/>
      <c r="C1378"/>
      <c r="D1378"/>
      <c r="E1378"/>
      <c r="F1378"/>
      <c r="G1378"/>
    </row>
    <row r="1379" spans="1:7" x14ac:dyDescent="0.35">
      <c r="A1379"/>
      <c r="B1379"/>
      <c r="C1379"/>
      <c r="D1379"/>
      <c r="E1379"/>
      <c r="F1379"/>
      <c r="G1379"/>
    </row>
    <row r="1380" spans="1:7" x14ac:dyDescent="0.35">
      <c r="A1380"/>
      <c r="B1380"/>
      <c r="C1380"/>
      <c r="D1380"/>
      <c r="E1380"/>
      <c r="F1380"/>
      <c r="G1380"/>
    </row>
    <row r="1381" spans="1:7" x14ac:dyDescent="0.35">
      <c r="A1381"/>
      <c r="B1381"/>
      <c r="C1381"/>
      <c r="D1381"/>
      <c r="E1381"/>
      <c r="F1381"/>
      <c r="G1381"/>
    </row>
    <row r="1382" spans="1:7" x14ac:dyDescent="0.35">
      <c r="A1382"/>
      <c r="B1382"/>
      <c r="C1382"/>
      <c r="D1382"/>
      <c r="E1382"/>
      <c r="F1382"/>
      <c r="G1382"/>
    </row>
    <row r="1383" spans="1:7" x14ac:dyDescent="0.35">
      <c r="A1383"/>
      <c r="B1383"/>
      <c r="C1383"/>
      <c r="D1383"/>
      <c r="E1383"/>
      <c r="F1383"/>
      <c r="G1383"/>
    </row>
    <row r="1384" spans="1:7" x14ac:dyDescent="0.35">
      <c r="A1384"/>
      <c r="B1384"/>
      <c r="C1384"/>
      <c r="D1384"/>
      <c r="E1384"/>
      <c r="F1384"/>
      <c r="G1384"/>
    </row>
    <row r="1385" spans="1:7" x14ac:dyDescent="0.35">
      <c r="A1385"/>
      <c r="B1385"/>
      <c r="C1385"/>
      <c r="D1385"/>
      <c r="E1385"/>
      <c r="F1385"/>
      <c r="G1385"/>
    </row>
    <row r="1386" spans="1:7" x14ac:dyDescent="0.35">
      <c r="A1386"/>
      <c r="B1386"/>
      <c r="C1386"/>
      <c r="D1386"/>
      <c r="E1386"/>
      <c r="F1386"/>
      <c r="G1386"/>
    </row>
    <row r="1387" spans="1:7" x14ac:dyDescent="0.35">
      <c r="A1387"/>
      <c r="B1387"/>
      <c r="C1387"/>
      <c r="D1387"/>
      <c r="E1387"/>
      <c r="F1387"/>
      <c r="G1387"/>
    </row>
    <row r="1388" spans="1:7" x14ac:dyDescent="0.35">
      <c r="A1388"/>
      <c r="B1388"/>
      <c r="C1388"/>
      <c r="D1388"/>
      <c r="E1388"/>
      <c r="F1388"/>
      <c r="G1388"/>
    </row>
    <row r="1389" spans="1:7" x14ac:dyDescent="0.35">
      <c r="A1389"/>
      <c r="B1389"/>
      <c r="C1389"/>
      <c r="D1389"/>
      <c r="E1389"/>
      <c r="F1389"/>
      <c r="G1389"/>
    </row>
    <row r="1390" spans="1:7" x14ac:dyDescent="0.35">
      <c r="A1390"/>
      <c r="B1390"/>
      <c r="C1390"/>
      <c r="D1390"/>
      <c r="E1390"/>
      <c r="F1390"/>
      <c r="G1390"/>
    </row>
    <row r="1391" spans="1:7" x14ac:dyDescent="0.35">
      <c r="A1391"/>
      <c r="B1391"/>
      <c r="C1391"/>
      <c r="D1391"/>
      <c r="E1391"/>
      <c r="F1391"/>
      <c r="G1391"/>
    </row>
    <row r="1392" spans="1:7" x14ac:dyDescent="0.35">
      <c r="A1392"/>
      <c r="B1392"/>
      <c r="C1392"/>
      <c r="D1392"/>
      <c r="E1392"/>
      <c r="F1392"/>
      <c r="G1392"/>
    </row>
    <row r="1393" spans="1:7" x14ac:dyDescent="0.35">
      <c r="A1393"/>
      <c r="B1393"/>
      <c r="C1393"/>
      <c r="D1393"/>
      <c r="E1393"/>
      <c r="F1393"/>
      <c r="G1393"/>
    </row>
    <row r="1394" spans="1:7" x14ac:dyDescent="0.35">
      <c r="A1394"/>
      <c r="B1394"/>
      <c r="C1394"/>
      <c r="D1394"/>
      <c r="E1394"/>
      <c r="F1394"/>
      <c r="G1394"/>
    </row>
    <row r="1395" spans="1:7" x14ac:dyDescent="0.35">
      <c r="A1395"/>
      <c r="B1395"/>
      <c r="C1395"/>
      <c r="D1395"/>
      <c r="E1395"/>
      <c r="F1395"/>
      <c r="G1395"/>
    </row>
    <row r="1396" spans="1:7" x14ac:dyDescent="0.35">
      <c r="A1396"/>
      <c r="B1396"/>
      <c r="C1396"/>
      <c r="D1396"/>
      <c r="E1396"/>
      <c r="F1396"/>
      <c r="G1396"/>
    </row>
    <row r="1397" spans="1:7" x14ac:dyDescent="0.35">
      <c r="A1397"/>
      <c r="B1397"/>
      <c r="C1397"/>
      <c r="D1397"/>
      <c r="E1397"/>
      <c r="F1397"/>
      <c r="G1397"/>
    </row>
    <row r="1398" spans="1:7" x14ac:dyDescent="0.35">
      <c r="A1398"/>
      <c r="B1398"/>
      <c r="C1398"/>
      <c r="D1398"/>
      <c r="E1398"/>
      <c r="F1398"/>
      <c r="G1398"/>
    </row>
    <row r="1399" spans="1:7" x14ac:dyDescent="0.35">
      <c r="A1399"/>
      <c r="B1399"/>
      <c r="C1399"/>
      <c r="D1399"/>
      <c r="E1399"/>
      <c r="F1399"/>
      <c r="G1399"/>
    </row>
    <row r="1400" spans="1:7" x14ac:dyDescent="0.35">
      <c r="A1400"/>
      <c r="B1400"/>
      <c r="C1400"/>
      <c r="D1400"/>
      <c r="E1400"/>
      <c r="F1400"/>
      <c r="G1400"/>
    </row>
    <row r="1401" spans="1:7" x14ac:dyDescent="0.35">
      <c r="A1401"/>
      <c r="B1401"/>
      <c r="C1401"/>
      <c r="D1401"/>
      <c r="E1401"/>
      <c r="F1401"/>
      <c r="G1401"/>
    </row>
    <row r="1402" spans="1:7" x14ac:dyDescent="0.35">
      <c r="A1402"/>
      <c r="B1402"/>
      <c r="C1402"/>
      <c r="D1402"/>
      <c r="E1402"/>
      <c r="F1402"/>
      <c r="G1402"/>
    </row>
    <row r="1403" spans="1:7" x14ac:dyDescent="0.35">
      <c r="A1403"/>
      <c r="B1403"/>
      <c r="C1403"/>
      <c r="D1403"/>
      <c r="E1403"/>
      <c r="F1403"/>
      <c r="G1403"/>
    </row>
    <row r="1404" spans="1:7" x14ac:dyDescent="0.35">
      <c r="A1404"/>
      <c r="B1404"/>
      <c r="C1404"/>
      <c r="D1404"/>
      <c r="E1404"/>
      <c r="F1404"/>
      <c r="G1404"/>
    </row>
    <row r="1405" spans="1:7" x14ac:dyDescent="0.35">
      <c r="A1405"/>
      <c r="B1405"/>
      <c r="C1405"/>
      <c r="D1405"/>
      <c r="E1405"/>
      <c r="F1405"/>
      <c r="G1405"/>
    </row>
    <row r="1406" spans="1:7" x14ac:dyDescent="0.35">
      <c r="A1406"/>
      <c r="B1406"/>
      <c r="C1406"/>
      <c r="D1406"/>
      <c r="E1406"/>
      <c r="F1406"/>
      <c r="G1406"/>
    </row>
    <row r="1407" spans="1:7" x14ac:dyDescent="0.35">
      <c r="A1407"/>
      <c r="B1407"/>
      <c r="C1407"/>
      <c r="D1407"/>
      <c r="E1407"/>
      <c r="F1407"/>
      <c r="G1407"/>
    </row>
    <row r="1408" spans="1:7" x14ac:dyDescent="0.35">
      <c r="A1408"/>
      <c r="B1408"/>
      <c r="C1408"/>
      <c r="D1408"/>
      <c r="E1408"/>
      <c r="F1408"/>
      <c r="G1408"/>
    </row>
    <row r="1409" spans="1:7" x14ac:dyDescent="0.35">
      <c r="A1409"/>
      <c r="B1409"/>
      <c r="C1409"/>
      <c r="D1409"/>
      <c r="E1409"/>
      <c r="F1409"/>
      <c r="G1409"/>
    </row>
    <row r="1410" spans="1:7" x14ac:dyDescent="0.35">
      <c r="A1410"/>
      <c r="B1410"/>
      <c r="C1410"/>
      <c r="D1410"/>
      <c r="E1410"/>
      <c r="F1410"/>
      <c r="G1410"/>
    </row>
    <row r="1411" spans="1:7" x14ac:dyDescent="0.35">
      <c r="A1411"/>
      <c r="B1411"/>
      <c r="C1411"/>
      <c r="D1411"/>
      <c r="E1411"/>
      <c r="F1411"/>
      <c r="G1411"/>
    </row>
    <row r="1412" spans="1:7" x14ac:dyDescent="0.35">
      <c r="A1412"/>
      <c r="B1412"/>
      <c r="C1412"/>
      <c r="D1412"/>
      <c r="E1412"/>
      <c r="F1412"/>
      <c r="G1412"/>
    </row>
    <row r="1413" spans="1:7" x14ac:dyDescent="0.35">
      <c r="A1413"/>
      <c r="B1413"/>
      <c r="C1413"/>
      <c r="D1413"/>
      <c r="E1413"/>
      <c r="F1413"/>
      <c r="G1413"/>
    </row>
    <row r="1414" spans="1:7" x14ac:dyDescent="0.35">
      <c r="A1414"/>
      <c r="B1414"/>
      <c r="C1414"/>
      <c r="D1414"/>
      <c r="E1414"/>
      <c r="F1414"/>
      <c r="G1414"/>
    </row>
    <row r="1415" spans="1:7" x14ac:dyDescent="0.35">
      <c r="A1415"/>
      <c r="B1415"/>
      <c r="C1415"/>
      <c r="D1415"/>
      <c r="E1415"/>
      <c r="F1415"/>
      <c r="G1415"/>
    </row>
    <row r="1416" spans="1:7" x14ac:dyDescent="0.35">
      <c r="A1416"/>
      <c r="B1416"/>
      <c r="C1416"/>
      <c r="D1416"/>
      <c r="E1416"/>
      <c r="F1416"/>
      <c r="G1416"/>
    </row>
    <row r="1417" spans="1:7" x14ac:dyDescent="0.35">
      <c r="A1417"/>
      <c r="B1417"/>
      <c r="C1417"/>
      <c r="D1417"/>
      <c r="E1417"/>
      <c r="F1417"/>
      <c r="G1417"/>
    </row>
    <row r="1418" spans="1:7" x14ac:dyDescent="0.35">
      <c r="A1418"/>
      <c r="B1418"/>
      <c r="C1418"/>
      <c r="D1418"/>
      <c r="E1418"/>
      <c r="F1418"/>
      <c r="G1418"/>
    </row>
    <row r="1419" spans="1:7" x14ac:dyDescent="0.35">
      <c r="A1419"/>
      <c r="B1419"/>
      <c r="C1419"/>
      <c r="D1419"/>
      <c r="E1419"/>
      <c r="F1419"/>
      <c r="G1419"/>
    </row>
    <row r="1420" spans="1:7" x14ac:dyDescent="0.35">
      <c r="A1420"/>
      <c r="B1420"/>
      <c r="C1420"/>
      <c r="D1420"/>
      <c r="E1420"/>
      <c r="F1420"/>
      <c r="G1420"/>
    </row>
    <row r="1421" spans="1:7" x14ac:dyDescent="0.35">
      <c r="A1421"/>
      <c r="B1421"/>
      <c r="C1421"/>
      <c r="D1421"/>
      <c r="E1421"/>
      <c r="F1421"/>
      <c r="G1421"/>
    </row>
    <row r="1422" spans="1:7" x14ac:dyDescent="0.35">
      <c r="A1422"/>
      <c r="B1422"/>
      <c r="C1422"/>
      <c r="D1422"/>
      <c r="E1422"/>
      <c r="F1422"/>
      <c r="G1422"/>
    </row>
    <row r="1423" spans="1:7" x14ac:dyDescent="0.35">
      <c r="A1423"/>
      <c r="B1423"/>
      <c r="C1423"/>
      <c r="D1423"/>
      <c r="E1423"/>
      <c r="F1423"/>
      <c r="G1423"/>
    </row>
    <row r="1424" spans="1:7" x14ac:dyDescent="0.35">
      <c r="A1424"/>
      <c r="B1424"/>
      <c r="C1424"/>
      <c r="D1424"/>
      <c r="E1424"/>
      <c r="F1424"/>
      <c r="G1424"/>
    </row>
    <row r="1425" spans="1:7" x14ac:dyDescent="0.35">
      <c r="A1425"/>
      <c r="B1425"/>
      <c r="C1425"/>
      <c r="D1425"/>
      <c r="E1425"/>
      <c r="F1425"/>
      <c r="G1425"/>
    </row>
    <row r="1426" spans="1:7" x14ac:dyDescent="0.35">
      <c r="A1426"/>
      <c r="B1426"/>
      <c r="C1426"/>
      <c r="D1426"/>
      <c r="E1426"/>
      <c r="F1426"/>
      <c r="G1426"/>
    </row>
    <row r="1427" spans="1:7" x14ac:dyDescent="0.35">
      <c r="A1427"/>
      <c r="B1427"/>
      <c r="C1427"/>
      <c r="D1427"/>
      <c r="E1427"/>
      <c r="F1427"/>
      <c r="G1427"/>
    </row>
    <row r="1428" spans="1:7" x14ac:dyDescent="0.35">
      <c r="A1428"/>
      <c r="B1428"/>
      <c r="C1428"/>
      <c r="D1428"/>
      <c r="E1428"/>
      <c r="F1428"/>
      <c r="G1428"/>
    </row>
    <row r="1429" spans="1:7" x14ac:dyDescent="0.35">
      <c r="A1429"/>
      <c r="B1429"/>
      <c r="C1429"/>
      <c r="D1429"/>
      <c r="E1429"/>
      <c r="F1429"/>
      <c r="G1429"/>
    </row>
    <row r="1430" spans="1:7" x14ac:dyDescent="0.35">
      <c r="A1430"/>
      <c r="B1430"/>
      <c r="C1430"/>
      <c r="D1430"/>
      <c r="E1430"/>
      <c r="F1430"/>
      <c r="G1430"/>
    </row>
    <row r="1431" spans="1:7" x14ac:dyDescent="0.35">
      <c r="A1431"/>
      <c r="B1431"/>
      <c r="C1431"/>
      <c r="D1431"/>
      <c r="E1431"/>
      <c r="F1431"/>
      <c r="G1431"/>
    </row>
    <row r="1432" spans="1:7" x14ac:dyDescent="0.35">
      <c r="A1432"/>
      <c r="B1432"/>
      <c r="C1432"/>
      <c r="D1432"/>
      <c r="E1432"/>
      <c r="F1432"/>
      <c r="G1432"/>
    </row>
    <row r="1433" spans="1:7" x14ac:dyDescent="0.35">
      <c r="A1433"/>
      <c r="B1433"/>
      <c r="C1433"/>
      <c r="D1433"/>
      <c r="E1433"/>
      <c r="F1433"/>
      <c r="G1433"/>
    </row>
    <row r="1434" spans="1:7" x14ac:dyDescent="0.35">
      <c r="A1434"/>
      <c r="B1434"/>
      <c r="C1434"/>
      <c r="D1434"/>
      <c r="E1434"/>
      <c r="F1434"/>
      <c r="G1434"/>
    </row>
    <row r="1435" spans="1:7" x14ac:dyDescent="0.35">
      <c r="A1435"/>
      <c r="B1435"/>
      <c r="C1435"/>
      <c r="D1435"/>
      <c r="E1435"/>
      <c r="F1435"/>
      <c r="G1435"/>
    </row>
    <row r="1436" spans="1:7" x14ac:dyDescent="0.35">
      <c r="A1436"/>
      <c r="B1436"/>
      <c r="C1436"/>
      <c r="D1436"/>
      <c r="E1436"/>
      <c r="F1436"/>
      <c r="G1436"/>
    </row>
    <row r="1437" spans="1:7" x14ac:dyDescent="0.35">
      <c r="A1437"/>
      <c r="B1437"/>
      <c r="C1437"/>
      <c r="D1437"/>
      <c r="E1437"/>
      <c r="F1437"/>
      <c r="G1437"/>
    </row>
    <row r="1438" spans="1:7" x14ac:dyDescent="0.35">
      <c r="A1438"/>
      <c r="B1438"/>
      <c r="C1438"/>
      <c r="D1438"/>
      <c r="E1438"/>
      <c r="F1438"/>
      <c r="G1438"/>
    </row>
    <row r="1439" spans="1:7" x14ac:dyDescent="0.35">
      <c r="A1439"/>
      <c r="B1439"/>
      <c r="C1439"/>
      <c r="D1439"/>
      <c r="E1439"/>
      <c r="F1439"/>
      <c r="G1439"/>
    </row>
    <row r="1440" spans="1:7" x14ac:dyDescent="0.35">
      <c r="A1440"/>
      <c r="B1440"/>
      <c r="C1440"/>
      <c r="D1440"/>
      <c r="E1440"/>
      <c r="F1440"/>
      <c r="G1440"/>
    </row>
    <row r="1441" spans="1:7" x14ac:dyDescent="0.35">
      <c r="A1441"/>
      <c r="B1441"/>
      <c r="C1441"/>
      <c r="D1441"/>
      <c r="E1441"/>
      <c r="F1441"/>
      <c r="G1441"/>
    </row>
    <row r="1442" spans="1:7" x14ac:dyDescent="0.35">
      <c r="A1442"/>
      <c r="B1442"/>
      <c r="C1442"/>
      <c r="D1442"/>
      <c r="E1442"/>
      <c r="F1442"/>
      <c r="G1442"/>
    </row>
    <row r="1443" spans="1:7" x14ac:dyDescent="0.35">
      <c r="A1443"/>
      <c r="B1443"/>
      <c r="C1443"/>
      <c r="D1443"/>
      <c r="E1443"/>
      <c r="F1443"/>
      <c r="G1443"/>
    </row>
    <row r="1444" spans="1:7" x14ac:dyDescent="0.35">
      <c r="A1444"/>
      <c r="B1444"/>
      <c r="C1444"/>
      <c r="D1444"/>
      <c r="E1444"/>
      <c r="F1444"/>
      <c r="G1444"/>
    </row>
    <row r="1445" spans="1:7" x14ac:dyDescent="0.35">
      <c r="A1445"/>
      <c r="B1445"/>
      <c r="C1445"/>
      <c r="D1445"/>
      <c r="E1445"/>
      <c r="F1445"/>
      <c r="G1445"/>
    </row>
    <row r="1446" spans="1:7" x14ac:dyDescent="0.35">
      <c r="A1446"/>
      <c r="B1446"/>
      <c r="C1446"/>
      <c r="D1446"/>
      <c r="E1446"/>
      <c r="F1446"/>
      <c r="G1446"/>
    </row>
    <row r="1447" spans="1:7" x14ac:dyDescent="0.35">
      <c r="A1447"/>
      <c r="B1447"/>
      <c r="C1447"/>
      <c r="D1447"/>
      <c r="E1447"/>
      <c r="F1447"/>
      <c r="G1447"/>
    </row>
    <row r="1448" spans="1:7" x14ac:dyDescent="0.35">
      <c r="A1448"/>
      <c r="B1448"/>
      <c r="C1448"/>
      <c r="D1448"/>
      <c r="E1448"/>
      <c r="F1448"/>
      <c r="G1448"/>
    </row>
    <row r="1449" spans="1:7" x14ac:dyDescent="0.35">
      <c r="A1449"/>
      <c r="B1449"/>
      <c r="C1449"/>
      <c r="D1449"/>
      <c r="E1449"/>
      <c r="F1449"/>
      <c r="G1449"/>
    </row>
    <row r="1450" spans="1:7" x14ac:dyDescent="0.35">
      <c r="A1450"/>
      <c r="B1450"/>
      <c r="C1450"/>
      <c r="D1450"/>
      <c r="E1450"/>
      <c r="F1450"/>
      <c r="G1450"/>
    </row>
    <row r="1451" spans="1:7" x14ac:dyDescent="0.35">
      <c r="A1451"/>
      <c r="B1451"/>
      <c r="C1451"/>
      <c r="D1451"/>
      <c r="E1451"/>
      <c r="F1451"/>
      <c r="G1451"/>
    </row>
    <row r="1452" spans="1:7" x14ac:dyDescent="0.35">
      <c r="A1452"/>
      <c r="B1452"/>
      <c r="C1452"/>
      <c r="D1452"/>
      <c r="E1452"/>
      <c r="F1452"/>
      <c r="G1452"/>
    </row>
    <row r="1453" spans="1:7" x14ac:dyDescent="0.35">
      <c r="A1453"/>
      <c r="B1453"/>
      <c r="C1453"/>
      <c r="D1453"/>
      <c r="E1453"/>
      <c r="F1453"/>
      <c r="G1453"/>
    </row>
    <row r="1454" spans="1:7" x14ac:dyDescent="0.35">
      <c r="A1454"/>
      <c r="B1454"/>
      <c r="C1454"/>
      <c r="D1454"/>
      <c r="E1454"/>
      <c r="F1454"/>
      <c r="G1454"/>
    </row>
    <row r="1455" spans="1:7" x14ac:dyDescent="0.35">
      <c r="A1455"/>
      <c r="B1455"/>
      <c r="C1455"/>
      <c r="D1455"/>
      <c r="E1455"/>
      <c r="F1455"/>
      <c r="G1455"/>
    </row>
    <row r="1456" spans="1:7" x14ac:dyDescent="0.35">
      <c r="A1456"/>
      <c r="B1456"/>
      <c r="C1456"/>
      <c r="D1456"/>
      <c r="E1456"/>
      <c r="F1456"/>
      <c r="G1456"/>
    </row>
    <row r="1457" spans="1:7" x14ac:dyDescent="0.35">
      <c r="A1457"/>
      <c r="B1457"/>
      <c r="C1457"/>
      <c r="D1457"/>
      <c r="E1457"/>
      <c r="F1457"/>
      <c r="G1457"/>
    </row>
    <row r="1458" spans="1:7" x14ac:dyDescent="0.35">
      <c r="A1458"/>
      <c r="B1458"/>
      <c r="C1458"/>
      <c r="D1458"/>
      <c r="E1458"/>
      <c r="F1458"/>
      <c r="G1458"/>
    </row>
    <row r="1459" spans="1:7" x14ac:dyDescent="0.35">
      <c r="A1459"/>
      <c r="B1459"/>
      <c r="C1459"/>
      <c r="D1459"/>
      <c r="E1459"/>
      <c r="F1459"/>
      <c r="G1459"/>
    </row>
    <row r="1460" spans="1:7" x14ac:dyDescent="0.35">
      <c r="A1460"/>
      <c r="B1460"/>
      <c r="C1460"/>
      <c r="D1460"/>
      <c r="E1460"/>
      <c r="F1460"/>
      <c r="G1460"/>
    </row>
    <row r="1461" spans="1:7" x14ac:dyDescent="0.35">
      <c r="A1461"/>
      <c r="B1461"/>
      <c r="C1461"/>
      <c r="D1461"/>
      <c r="E1461"/>
      <c r="F1461"/>
      <c r="G1461"/>
    </row>
    <row r="1462" spans="1:7" x14ac:dyDescent="0.35">
      <c r="A1462"/>
      <c r="B1462"/>
      <c r="C1462"/>
      <c r="D1462"/>
      <c r="E1462"/>
      <c r="F1462"/>
      <c r="G1462"/>
    </row>
    <row r="1463" spans="1:7" x14ac:dyDescent="0.35">
      <c r="A1463"/>
      <c r="B1463"/>
      <c r="C1463"/>
      <c r="D1463"/>
      <c r="E1463"/>
      <c r="F1463"/>
      <c r="G1463"/>
    </row>
    <row r="1464" spans="1:7" x14ac:dyDescent="0.35">
      <c r="A1464"/>
      <c r="B1464"/>
      <c r="C1464"/>
      <c r="D1464"/>
      <c r="E1464"/>
      <c r="F1464"/>
      <c r="G1464"/>
    </row>
    <row r="1465" spans="1:7" x14ac:dyDescent="0.35">
      <c r="A1465"/>
      <c r="B1465"/>
      <c r="C1465"/>
      <c r="D1465"/>
      <c r="E1465"/>
      <c r="F1465"/>
      <c r="G1465"/>
    </row>
    <row r="1466" spans="1:7" x14ac:dyDescent="0.35">
      <c r="A1466"/>
      <c r="B1466"/>
      <c r="C1466"/>
      <c r="D1466"/>
      <c r="E1466"/>
      <c r="F1466"/>
      <c r="G1466"/>
    </row>
    <row r="1467" spans="1:7" x14ac:dyDescent="0.35">
      <c r="A1467"/>
      <c r="B1467"/>
      <c r="C1467"/>
      <c r="D1467"/>
      <c r="E1467"/>
      <c r="F1467"/>
      <c r="G1467"/>
    </row>
    <row r="1468" spans="1:7" x14ac:dyDescent="0.35">
      <c r="A1468"/>
      <c r="B1468"/>
      <c r="C1468"/>
      <c r="D1468"/>
      <c r="E1468"/>
      <c r="F1468"/>
      <c r="G1468"/>
    </row>
    <row r="1469" spans="1:7" x14ac:dyDescent="0.35">
      <c r="A1469"/>
      <c r="B1469"/>
      <c r="C1469"/>
      <c r="D1469"/>
      <c r="E1469"/>
      <c r="F1469"/>
      <c r="G1469"/>
    </row>
    <row r="1470" spans="1:7" x14ac:dyDescent="0.35">
      <c r="A1470"/>
      <c r="B1470"/>
      <c r="C1470"/>
      <c r="D1470"/>
      <c r="E1470"/>
      <c r="F1470"/>
      <c r="G1470"/>
    </row>
    <row r="1471" spans="1:7" x14ac:dyDescent="0.35">
      <c r="A1471"/>
      <c r="B1471"/>
      <c r="C1471"/>
      <c r="D1471"/>
      <c r="E1471"/>
      <c r="F1471"/>
      <c r="G1471"/>
    </row>
    <row r="1472" spans="1:7" x14ac:dyDescent="0.35">
      <c r="A1472"/>
      <c r="B1472"/>
      <c r="C1472"/>
      <c r="D1472"/>
      <c r="E1472"/>
      <c r="F1472"/>
      <c r="G1472"/>
    </row>
    <row r="1473" spans="1:7" x14ac:dyDescent="0.35">
      <c r="A1473"/>
      <c r="B1473"/>
      <c r="C1473"/>
      <c r="D1473"/>
      <c r="E1473"/>
      <c r="F1473"/>
      <c r="G1473"/>
    </row>
    <row r="1474" spans="1:7" x14ac:dyDescent="0.35">
      <c r="A1474"/>
      <c r="B1474"/>
      <c r="C1474"/>
      <c r="D1474"/>
      <c r="E1474"/>
      <c r="F1474"/>
      <c r="G1474"/>
    </row>
    <row r="1475" spans="1:7" x14ac:dyDescent="0.35">
      <c r="A1475"/>
      <c r="B1475"/>
      <c r="C1475"/>
      <c r="D1475"/>
      <c r="E1475"/>
      <c r="F1475"/>
      <c r="G1475"/>
    </row>
    <row r="1476" spans="1:7" x14ac:dyDescent="0.35">
      <c r="A1476"/>
      <c r="B1476"/>
      <c r="C1476"/>
      <c r="D1476"/>
      <c r="E1476"/>
      <c r="F1476"/>
      <c r="G1476"/>
    </row>
    <row r="1477" spans="1:7" x14ac:dyDescent="0.35">
      <c r="A1477"/>
      <c r="B1477"/>
      <c r="C1477"/>
      <c r="D1477"/>
      <c r="E1477"/>
      <c r="F1477"/>
      <c r="G1477"/>
    </row>
    <row r="1478" spans="1:7" x14ac:dyDescent="0.35">
      <c r="A1478"/>
      <c r="B1478"/>
      <c r="C1478"/>
      <c r="D1478"/>
      <c r="E1478"/>
      <c r="F1478"/>
      <c r="G1478"/>
    </row>
    <row r="1479" spans="1:7" x14ac:dyDescent="0.35">
      <c r="A1479"/>
      <c r="B1479"/>
      <c r="C1479"/>
      <c r="D1479"/>
      <c r="E1479"/>
      <c r="F1479"/>
      <c r="G1479"/>
    </row>
    <row r="1480" spans="1:7" x14ac:dyDescent="0.35">
      <c r="A1480"/>
      <c r="B1480"/>
      <c r="C1480"/>
      <c r="D1480"/>
      <c r="E1480"/>
      <c r="F1480"/>
      <c r="G1480"/>
    </row>
    <row r="1481" spans="1:7" x14ac:dyDescent="0.35">
      <c r="A1481"/>
      <c r="B1481"/>
      <c r="C1481"/>
      <c r="D1481"/>
      <c r="E1481"/>
      <c r="F1481"/>
      <c r="G1481"/>
    </row>
    <row r="1482" spans="1:7" x14ac:dyDescent="0.35">
      <c r="A1482"/>
      <c r="B1482"/>
      <c r="C1482"/>
      <c r="D1482"/>
      <c r="E1482"/>
      <c r="F1482"/>
      <c r="G1482"/>
    </row>
    <row r="1483" spans="1:7" x14ac:dyDescent="0.35">
      <c r="A1483"/>
      <c r="B1483"/>
      <c r="C1483"/>
      <c r="D1483"/>
      <c r="E1483"/>
      <c r="F1483"/>
      <c r="G1483"/>
    </row>
    <row r="1484" spans="1:7" x14ac:dyDescent="0.35">
      <c r="A1484"/>
      <c r="B1484"/>
      <c r="C1484"/>
      <c r="D1484"/>
      <c r="E1484"/>
      <c r="F1484"/>
      <c r="G1484"/>
    </row>
    <row r="1485" spans="1:7" x14ac:dyDescent="0.35">
      <c r="A1485"/>
      <c r="B1485"/>
      <c r="C1485"/>
      <c r="D1485"/>
      <c r="E1485"/>
      <c r="F1485"/>
      <c r="G1485"/>
    </row>
    <row r="1486" spans="1:7" x14ac:dyDescent="0.35">
      <c r="A1486"/>
      <c r="B1486"/>
      <c r="C1486"/>
      <c r="D1486"/>
      <c r="E1486"/>
      <c r="F1486"/>
      <c r="G1486"/>
    </row>
    <row r="1487" spans="1:7" x14ac:dyDescent="0.35">
      <c r="A1487"/>
      <c r="B1487"/>
      <c r="C1487"/>
      <c r="D1487"/>
      <c r="E1487"/>
      <c r="F1487"/>
      <c r="G1487"/>
    </row>
    <row r="1488" spans="1:7" x14ac:dyDescent="0.35">
      <c r="A1488"/>
      <c r="B1488"/>
      <c r="C1488"/>
      <c r="D1488"/>
      <c r="E1488"/>
      <c r="F1488"/>
      <c r="G1488"/>
    </row>
    <row r="1489" spans="1:7" x14ac:dyDescent="0.35">
      <c r="A1489"/>
      <c r="B1489"/>
      <c r="C1489"/>
      <c r="D1489"/>
      <c r="E1489"/>
      <c r="F1489"/>
      <c r="G1489"/>
    </row>
    <row r="1490" spans="1:7" x14ac:dyDescent="0.35">
      <c r="A1490"/>
      <c r="B1490"/>
      <c r="C1490"/>
      <c r="D1490"/>
      <c r="E1490"/>
      <c r="F1490"/>
      <c r="G1490"/>
    </row>
    <row r="1491" spans="1:7" x14ac:dyDescent="0.35">
      <c r="A1491"/>
      <c r="B1491"/>
      <c r="C1491"/>
      <c r="D1491"/>
      <c r="E1491"/>
      <c r="F1491"/>
      <c r="G1491"/>
    </row>
    <row r="1492" spans="1:7" x14ac:dyDescent="0.35">
      <c r="A1492"/>
      <c r="B1492"/>
      <c r="C1492"/>
      <c r="D1492"/>
      <c r="E1492"/>
      <c r="F1492"/>
      <c r="G1492"/>
    </row>
    <row r="1493" spans="1:7" x14ac:dyDescent="0.35">
      <c r="A1493"/>
      <c r="B1493"/>
      <c r="C1493"/>
      <c r="D1493"/>
      <c r="E1493"/>
      <c r="F1493"/>
      <c r="G1493"/>
    </row>
    <row r="1494" spans="1:7" x14ac:dyDescent="0.35">
      <c r="A1494"/>
      <c r="B1494"/>
      <c r="C1494"/>
      <c r="D1494"/>
      <c r="E1494"/>
      <c r="F1494"/>
      <c r="G1494"/>
    </row>
    <row r="1495" spans="1:7" x14ac:dyDescent="0.35">
      <c r="A1495"/>
      <c r="B1495"/>
      <c r="C1495"/>
      <c r="D1495"/>
      <c r="E1495"/>
      <c r="F1495"/>
      <c r="G1495"/>
    </row>
    <row r="1496" spans="1:7" x14ac:dyDescent="0.35">
      <c r="A1496"/>
      <c r="B1496"/>
      <c r="C1496"/>
      <c r="D1496"/>
      <c r="E1496"/>
      <c r="F1496"/>
      <c r="G1496"/>
    </row>
    <row r="1497" spans="1:7" x14ac:dyDescent="0.35">
      <c r="A1497"/>
      <c r="B1497"/>
      <c r="C1497"/>
      <c r="D1497"/>
      <c r="E1497"/>
      <c r="F1497"/>
      <c r="G1497"/>
    </row>
    <row r="1498" spans="1:7" x14ac:dyDescent="0.35">
      <c r="A1498"/>
      <c r="B1498"/>
      <c r="C1498"/>
      <c r="D1498"/>
      <c r="E1498"/>
      <c r="F1498"/>
      <c r="G1498"/>
    </row>
    <row r="1499" spans="1:7" x14ac:dyDescent="0.35">
      <c r="A1499"/>
      <c r="B1499"/>
      <c r="C1499"/>
      <c r="D1499"/>
      <c r="E1499"/>
      <c r="F1499"/>
      <c r="G1499"/>
    </row>
    <row r="1500" spans="1:7" x14ac:dyDescent="0.35">
      <c r="A1500"/>
      <c r="B1500"/>
      <c r="C1500"/>
      <c r="D1500"/>
      <c r="E1500"/>
      <c r="F1500"/>
      <c r="G1500"/>
    </row>
    <row r="1501" spans="1:7" x14ac:dyDescent="0.35">
      <c r="A1501"/>
      <c r="B1501"/>
      <c r="C1501"/>
      <c r="D1501"/>
      <c r="E1501"/>
      <c r="F1501"/>
      <c r="G1501"/>
    </row>
    <row r="1502" spans="1:7" x14ac:dyDescent="0.35">
      <c r="A1502"/>
      <c r="B1502"/>
      <c r="C1502"/>
      <c r="D1502"/>
      <c r="E1502"/>
      <c r="F1502"/>
      <c r="G1502"/>
    </row>
    <row r="1503" spans="1:7" x14ac:dyDescent="0.35">
      <c r="A1503"/>
      <c r="B1503"/>
      <c r="C1503"/>
      <c r="D1503"/>
      <c r="E1503"/>
      <c r="F1503"/>
      <c r="G1503"/>
    </row>
    <row r="1504" spans="1:7" x14ac:dyDescent="0.35">
      <c r="A1504"/>
      <c r="B1504"/>
      <c r="C1504"/>
      <c r="D1504"/>
      <c r="E1504"/>
      <c r="F1504"/>
      <c r="G1504"/>
    </row>
    <row r="1505" spans="1:7" x14ac:dyDescent="0.35">
      <c r="A1505"/>
      <c r="B1505"/>
      <c r="C1505"/>
      <c r="D1505"/>
      <c r="E1505"/>
      <c r="F1505"/>
      <c r="G1505"/>
    </row>
    <row r="1506" spans="1:7" x14ac:dyDescent="0.35">
      <c r="A1506"/>
      <c r="B1506"/>
      <c r="C1506"/>
      <c r="D1506"/>
      <c r="E1506"/>
      <c r="F1506"/>
      <c r="G1506"/>
    </row>
    <row r="1507" spans="1:7" x14ac:dyDescent="0.35">
      <c r="A1507"/>
      <c r="B1507"/>
      <c r="C1507"/>
      <c r="D1507"/>
      <c r="E1507"/>
      <c r="F1507"/>
      <c r="G1507"/>
    </row>
    <row r="1508" spans="1:7" x14ac:dyDescent="0.35">
      <c r="A1508"/>
      <c r="B1508"/>
      <c r="C1508"/>
      <c r="D1508"/>
      <c r="E1508"/>
      <c r="F1508"/>
      <c r="G1508"/>
    </row>
    <row r="1509" spans="1:7" x14ac:dyDescent="0.35">
      <c r="A1509"/>
      <c r="B1509"/>
      <c r="C1509"/>
      <c r="D1509"/>
      <c r="E1509"/>
      <c r="F1509"/>
      <c r="G1509"/>
    </row>
    <row r="1510" spans="1:7" x14ac:dyDescent="0.35">
      <c r="A1510"/>
      <c r="B1510"/>
      <c r="C1510"/>
      <c r="D1510"/>
      <c r="E1510"/>
      <c r="F1510"/>
      <c r="G1510"/>
    </row>
    <row r="1511" spans="1:7" x14ac:dyDescent="0.35">
      <c r="A1511"/>
      <c r="B1511"/>
      <c r="C1511"/>
      <c r="D1511"/>
      <c r="E1511"/>
      <c r="F1511"/>
      <c r="G1511"/>
    </row>
    <row r="1512" spans="1:7" x14ac:dyDescent="0.35">
      <c r="A1512"/>
      <c r="B1512"/>
      <c r="C1512"/>
      <c r="D1512"/>
      <c r="E1512"/>
      <c r="F1512"/>
      <c r="G1512"/>
    </row>
    <row r="1513" spans="1:7" x14ac:dyDescent="0.35">
      <c r="A1513"/>
      <c r="B1513"/>
      <c r="C1513"/>
      <c r="D1513"/>
      <c r="E1513"/>
      <c r="F1513"/>
      <c r="G1513"/>
    </row>
    <row r="1514" spans="1:7" x14ac:dyDescent="0.35">
      <c r="A1514"/>
      <c r="B1514"/>
      <c r="C1514"/>
      <c r="D1514"/>
      <c r="E1514"/>
      <c r="F1514"/>
      <c r="G1514"/>
    </row>
    <row r="1515" spans="1:7" x14ac:dyDescent="0.35">
      <c r="A1515"/>
      <c r="B1515"/>
      <c r="C1515"/>
      <c r="D1515"/>
      <c r="E1515"/>
      <c r="F1515"/>
      <c r="G1515"/>
    </row>
    <row r="1516" spans="1:7" x14ac:dyDescent="0.35">
      <c r="A1516"/>
      <c r="B1516"/>
      <c r="C1516"/>
      <c r="D1516"/>
      <c r="E1516"/>
      <c r="F1516"/>
      <c r="G1516"/>
    </row>
    <row r="1517" spans="1:7" x14ac:dyDescent="0.35">
      <c r="A1517"/>
      <c r="B1517"/>
      <c r="C1517"/>
      <c r="D1517"/>
      <c r="E1517"/>
      <c r="F1517"/>
      <c r="G1517"/>
    </row>
    <row r="1518" spans="1:7" x14ac:dyDescent="0.35">
      <c r="A1518"/>
      <c r="B1518"/>
      <c r="C1518"/>
      <c r="D1518"/>
      <c r="E1518"/>
      <c r="F1518"/>
      <c r="G1518"/>
    </row>
    <row r="1519" spans="1:7" x14ac:dyDescent="0.35">
      <c r="A1519"/>
      <c r="B1519"/>
      <c r="C1519"/>
      <c r="D1519"/>
      <c r="E1519"/>
      <c r="F1519"/>
      <c r="G1519"/>
    </row>
    <row r="1520" spans="1:7" x14ac:dyDescent="0.35">
      <c r="A1520"/>
      <c r="B1520"/>
      <c r="C1520"/>
      <c r="D1520"/>
      <c r="E1520"/>
      <c r="F1520"/>
      <c r="G1520"/>
    </row>
    <row r="1521" spans="1:7" x14ac:dyDescent="0.35">
      <c r="A1521"/>
      <c r="B1521"/>
      <c r="C1521"/>
      <c r="D1521"/>
      <c r="E1521"/>
      <c r="F1521"/>
      <c r="G1521"/>
    </row>
    <row r="1522" spans="1:7" x14ac:dyDescent="0.35">
      <c r="A1522"/>
      <c r="B1522"/>
      <c r="C1522"/>
      <c r="D1522"/>
      <c r="E1522"/>
      <c r="F1522"/>
      <c r="G1522"/>
    </row>
    <row r="1523" spans="1:7" x14ac:dyDescent="0.35">
      <c r="A1523"/>
      <c r="B1523"/>
      <c r="C1523"/>
      <c r="D1523"/>
      <c r="E1523"/>
      <c r="F1523"/>
      <c r="G1523"/>
    </row>
    <row r="1524" spans="1:7" x14ac:dyDescent="0.35">
      <c r="A1524"/>
      <c r="B1524"/>
      <c r="C1524"/>
      <c r="D1524"/>
      <c r="E1524"/>
      <c r="F1524"/>
      <c r="G1524"/>
    </row>
    <row r="1525" spans="1:7" x14ac:dyDescent="0.35">
      <c r="A1525"/>
      <c r="B1525"/>
      <c r="C1525"/>
      <c r="D1525"/>
      <c r="E1525"/>
      <c r="F1525"/>
      <c r="G1525"/>
    </row>
    <row r="1526" spans="1:7" x14ac:dyDescent="0.35">
      <c r="A1526"/>
      <c r="B1526"/>
      <c r="C1526"/>
      <c r="D1526"/>
      <c r="E1526"/>
      <c r="F1526"/>
      <c r="G1526"/>
    </row>
    <row r="1527" spans="1:7" x14ac:dyDescent="0.35">
      <c r="A1527"/>
      <c r="B1527"/>
      <c r="C1527"/>
      <c r="D1527"/>
      <c r="E1527"/>
      <c r="F1527"/>
      <c r="G1527"/>
    </row>
    <row r="1528" spans="1:7" x14ac:dyDescent="0.35">
      <c r="A1528"/>
      <c r="B1528"/>
      <c r="C1528"/>
      <c r="D1528"/>
      <c r="E1528"/>
      <c r="F1528"/>
      <c r="G1528"/>
    </row>
    <row r="1529" spans="1:7" x14ac:dyDescent="0.35">
      <c r="A1529"/>
      <c r="B1529"/>
      <c r="C1529"/>
      <c r="D1529"/>
      <c r="E1529"/>
      <c r="F1529"/>
      <c r="G1529"/>
    </row>
    <row r="1530" spans="1:7" x14ac:dyDescent="0.35">
      <c r="A1530"/>
      <c r="B1530"/>
      <c r="C1530"/>
      <c r="D1530"/>
      <c r="E1530"/>
      <c r="F1530"/>
      <c r="G1530"/>
    </row>
    <row r="1531" spans="1:7" x14ac:dyDescent="0.35">
      <c r="A1531"/>
      <c r="B1531"/>
      <c r="C1531"/>
      <c r="D1531"/>
      <c r="E1531"/>
      <c r="F1531"/>
      <c r="G1531"/>
    </row>
    <row r="1532" spans="1:7" x14ac:dyDescent="0.35">
      <c r="A1532"/>
      <c r="B1532"/>
      <c r="C1532"/>
      <c r="D1532"/>
      <c r="E1532"/>
      <c r="F1532"/>
      <c r="G1532"/>
    </row>
    <row r="1533" spans="1:7" x14ac:dyDescent="0.35">
      <c r="A1533"/>
      <c r="B1533"/>
      <c r="C1533"/>
      <c r="D1533"/>
      <c r="E1533"/>
      <c r="F1533"/>
      <c r="G1533"/>
    </row>
    <row r="1534" spans="1:7" x14ac:dyDescent="0.35">
      <c r="A1534"/>
      <c r="B1534"/>
      <c r="C1534"/>
      <c r="D1534"/>
      <c r="E1534"/>
      <c r="F1534"/>
      <c r="G1534"/>
    </row>
    <row r="1535" spans="1:7" x14ac:dyDescent="0.35">
      <c r="A1535"/>
      <c r="B1535"/>
      <c r="C1535"/>
      <c r="D1535"/>
      <c r="E1535"/>
      <c r="F1535"/>
      <c r="G1535"/>
    </row>
    <row r="1536" spans="1:7" x14ac:dyDescent="0.35">
      <c r="A1536"/>
      <c r="B1536"/>
      <c r="C1536"/>
      <c r="D1536"/>
      <c r="E1536"/>
      <c r="F1536"/>
      <c r="G1536"/>
    </row>
    <row r="1537" spans="1:7" x14ac:dyDescent="0.35">
      <c r="A1537"/>
      <c r="B1537"/>
      <c r="C1537"/>
      <c r="D1537"/>
      <c r="E1537"/>
      <c r="F1537"/>
      <c r="G1537"/>
    </row>
    <row r="1538" spans="1:7" x14ac:dyDescent="0.35">
      <c r="A1538"/>
      <c r="B1538"/>
      <c r="C1538"/>
      <c r="D1538"/>
      <c r="E1538"/>
      <c r="F1538"/>
      <c r="G1538"/>
    </row>
    <row r="1539" spans="1:7" x14ac:dyDescent="0.35">
      <c r="A1539"/>
      <c r="B1539"/>
      <c r="C1539"/>
      <c r="D1539"/>
      <c r="E1539"/>
      <c r="F1539"/>
      <c r="G1539"/>
    </row>
    <row r="1540" spans="1:7" x14ac:dyDescent="0.35">
      <c r="A1540"/>
      <c r="B1540"/>
      <c r="C1540"/>
      <c r="D1540"/>
      <c r="E1540"/>
      <c r="F1540"/>
      <c r="G1540"/>
    </row>
    <row r="1541" spans="1:7" x14ac:dyDescent="0.35">
      <c r="A1541"/>
      <c r="B1541"/>
      <c r="C1541"/>
      <c r="D1541"/>
      <c r="E1541"/>
      <c r="F1541"/>
      <c r="G1541"/>
    </row>
    <row r="1542" spans="1:7" x14ac:dyDescent="0.35">
      <c r="A1542"/>
      <c r="B1542"/>
      <c r="C1542"/>
      <c r="D1542"/>
      <c r="E1542"/>
      <c r="F1542"/>
      <c r="G1542"/>
    </row>
    <row r="1543" spans="1:7" x14ac:dyDescent="0.35">
      <c r="A1543"/>
      <c r="B1543"/>
      <c r="C1543"/>
      <c r="D1543"/>
      <c r="E1543"/>
      <c r="F1543"/>
      <c r="G1543"/>
    </row>
    <row r="1544" spans="1:7" x14ac:dyDescent="0.35">
      <c r="A1544"/>
      <c r="B1544"/>
      <c r="C1544"/>
      <c r="D1544"/>
      <c r="E1544"/>
      <c r="F1544"/>
      <c r="G1544"/>
    </row>
    <row r="1545" spans="1:7" x14ac:dyDescent="0.35">
      <c r="A1545"/>
      <c r="B1545"/>
      <c r="C1545"/>
      <c r="D1545"/>
      <c r="E1545"/>
      <c r="F1545"/>
      <c r="G1545"/>
    </row>
    <row r="1546" spans="1:7" x14ac:dyDescent="0.35">
      <c r="A1546"/>
      <c r="B1546"/>
      <c r="C1546"/>
      <c r="D1546"/>
      <c r="E1546"/>
      <c r="F1546"/>
      <c r="G1546"/>
    </row>
    <row r="1547" spans="1:7" x14ac:dyDescent="0.35">
      <c r="A1547"/>
      <c r="B1547"/>
      <c r="C1547"/>
      <c r="D1547"/>
      <c r="E1547"/>
      <c r="F1547"/>
      <c r="G1547"/>
    </row>
    <row r="1548" spans="1:7" x14ac:dyDescent="0.35">
      <c r="A1548"/>
      <c r="B1548"/>
      <c r="C1548"/>
      <c r="D1548"/>
      <c r="E1548"/>
      <c r="F1548"/>
      <c r="G1548"/>
    </row>
    <row r="1549" spans="1:7" x14ac:dyDescent="0.35">
      <c r="A1549"/>
      <c r="B1549"/>
      <c r="C1549"/>
      <c r="D1549"/>
      <c r="E1549"/>
      <c r="F1549"/>
      <c r="G1549"/>
    </row>
    <row r="1550" spans="1:7" x14ac:dyDescent="0.35">
      <c r="A1550"/>
      <c r="B1550"/>
      <c r="C1550"/>
      <c r="D1550"/>
      <c r="E1550"/>
      <c r="F1550"/>
      <c r="G1550"/>
    </row>
    <row r="1551" spans="1:7" x14ac:dyDescent="0.35">
      <c r="A1551"/>
      <c r="B1551"/>
      <c r="C1551"/>
      <c r="D1551"/>
      <c r="E1551"/>
      <c r="F1551"/>
      <c r="G1551"/>
    </row>
    <row r="1552" spans="1:7" x14ac:dyDescent="0.35">
      <c r="A1552"/>
      <c r="B1552"/>
      <c r="C1552"/>
      <c r="D1552"/>
      <c r="E1552"/>
      <c r="F1552"/>
      <c r="G1552"/>
    </row>
    <row r="1553" spans="1:7" x14ac:dyDescent="0.35">
      <c r="A1553"/>
      <c r="B1553"/>
      <c r="C1553"/>
      <c r="D1553"/>
      <c r="E1553"/>
      <c r="F1553"/>
      <c r="G1553"/>
    </row>
    <row r="1554" spans="1:7" x14ac:dyDescent="0.35">
      <c r="A1554"/>
      <c r="B1554"/>
      <c r="C1554"/>
      <c r="D1554"/>
      <c r="E1554"/>
      <c r="F1554"/>
      <c r="G1554"/>
    </row>
    <row r="1555" spans="1:7" x14ac:dyDescent="0.35">
      <c r="A1555"/>
      <c r="B1555"/>
      <c r="C1555"/>
      <c r="D1555"/>
      <c r="E1555"/>
      <c r="F1555"/>
      <c r="G1555"/>
    </row>
    <row r="1556" spans="1:7" x14ac:dyDescent="0.35">
      <c r="A1556"/>
      <c r="B1556"/>
      <c r="C1556"/>
      <c r="D1556"/>
      <c r="E1556"/>
      <c r="F1556"/>
      <c r="G1556"/>
    </row>
    <row r="1557" spans="1:7" x14ac:dyDescent="0.35">
      <c r="A1557"/>
      <c r="B1557"/>
      <c r="C1557"/>
      <c r="D1557"/>
      <c r="E1557"/>
      <c r="F1557"/>
      <c r="G1557"/>
    </row>
    <row r="1558" spans="1:7" x14ac:dyDescent="0.35">
      <c r="A1558"/>
      <c r="B1558"/>
      <c r="C1558"/>
      <c r="D1558"/>
      <c r="E1558"/>
      <c r="F1558"/>
      <c r="G1558"/>
    </row>
    <row r="1559" spans="1:7" x14ac:dyDescent="0.35">
      <c r="A1559"/>
      <c r="B1559"/>
      <c r="C1559"/>
      <c r="D1559"/>
      <c r="E1559"/>
      <c r="F1559"/>
      <c r="G1559"/>
    </row>
    <row r="1560" spans="1:7" x14ac:dyDescent="0.35">
      <c r="A1560"/>
      <c r="B1560"/>
      <c r="C1560"/>
      <c r="D1560"/>
      <c r="E1560"/>
      <c r="F1560"/>
      <c r="G1560"/>
    </row>
    <row r="1561" spans="1:7" x14ac:dyDescent="0.35">
      <c r="A1561"/>
      <c r="B1561"/>
      <c r="C1561"/>
      <c r="D1561"/>
      <c r="E1561"/>
      <c r="F1561"/>
      <c r="G1561"/>
    </row>
    <row r="1562" spans="1:7" x14ac:dyDescent="0.35">
      <c r="A1562"/>
      <c r="B1562"/>
      <c r="C1562"/>
      <c r="D1562"/>
      <c r="E1562"/>
      <c r="F1562"/>
      <c r="G1562"/>
    </row>
    <row r="1563" spans="1:7" x14ac:dyDescent="0.35">
      <c r="A1563"/>
      <c r="B1563"/>
      <c r="C1563"/>
      <c r="D1563"/>
      <c r="E1563"/>
      <c r="F1563"/>
      <c r="G1563"/>
    </row>
    <row r="1564" spans="1:7" x14ac:dyDescent="0.35">
      <c r="A1564"/>
      <c r="B1564"/>
      <c r="C1564"/>
      <c r="D1564"/>
      <c r="E1564"/>
      <c r="F1564"/>
      <c r="G1564"/>
    </row>
    <row r="1565" spans="1:7" x14ac:dyDescent="0.35">
      <c r="A1565"/>
      <c r="B1565"/>
      <c r="C1565"/>
      <c r="D1565"/>
      <c r="E1565"/>
      <c r="F1565"/>
      <c r="G1565"/>
    </row>
    <row r="1566" spans="1:7" x14ac:dyDescent="0.35">
      <c r="A1566"/>
      <c r="B1566"/>
      <c r="C1566"/>
      <c r="D1566"/>
      <c r="E1566"/>
      <c r="F1566"/>
      <c r="G1566"/>
    </row>
    <row r="1567" spans="1:7" x14ac:dyDescent="0.35">
      <c r="A1567"/>
      <c r="B1567"/>
      <c r="C1567"/>
      <c r="D1567"/>
      <c r="E1567"/>
      <c r="F1567"/>
      <c r="G1567"/>
    </row>
    <row r="1568" spans="1:7" x14ac:dyDescent="0.35">
      <c r="A1568"/>
      <c r="B1568"/>
      <c r="C1568"/>
      <c r="D1568"/>
      <c r="E1568"/>
      <c r="F1568"/>
      <c r="G1568"/>
    </row>
    <row r="1569" spans="1:7" x14ac:dyDescent="0.35">
      <c r="A1569"/>
      <c r="B1569"/>
      <c r="C1569"/>
      <c r="D1569"/>
      <c r="E1569"/>
      <c r="F1569"/>
      <c r="G1569"/>
    </row>
    <row r="1570" spans="1:7" x14ac:dyDescent="0.35">
      <c r="A1570"/>
      <c r="B1570"/>
      <c r="C1570"/>
      <c r="D1570"/>
      <c r="E1570"/>
      <c r="F1570"/>
      <c r="G1570"/>
    </row>
    <row r="1571" spans="1:7" x14ac:dyDescent="0.35">
      <c r="A1571"/>
      <c r="B1571"/>
      <c r="C1571"/>
      <c r="D1571"/>
      <c r="E1571"/>
      <c r="F1571"/>
      <c r="G1571"/>
    </row>
    <row r="1572" spans="1:7" x14ac:dyDescent="0.35">
      <c r="A1572"/>
      <c r="B1572"/>
      <c r="C1572"/>
      <c r="D1572"/>
      <c r="E1572"/>
      <c r="F1572"/>
      <c r="G1572"/>
    </row>
    <row r="1573" spans="1:7" x14ac:dyDescent="0.35">
      <c r="A1573"/>
      <c r="B1573"/>
      <c r="C1573"/>
      <c r="D1573"/>
      <c r="E1573"/>
      <c r="F1573"/>
      <c r="G1573"/>
    </row>
    <row r="1574" spans="1:7" x14ac:dyDescent="0.35">
      <c r="A1574"/>
      <c r="B1574"/>
      <c r="C1574"/>
      <c r="D1574"/>
      <c r="E1574"/>
      <c r="F1574"/>
      <c r="G1574"/>
    </row>
    <row r="1575" spans="1:7" x14ac:dyDescent="0.35">
      <c r="A1575"/>
      <c r="B1575"/>
      <c r="C1575"/>
      <c r="D1575"/>
      <c r="E1575"/>
      <c r="F1575"/>
      <c r="G1575"/>
    </row>
    <row r="1576" spans="1:7" x14ac:dyDescent="0.35">
      <c r="A1576"/>
      <c r="B1576"/>
      <c r="C1576"/>
      <c r="D1576"/>
      <c r="E1576"/>
      <c r="F1576"/>
      <c r="G1576"/>
    </row>
    <row r="1577" spans="1:7" x14ac:dyDescent="0.35">
      <c r="A1577"/>
      <c r="B1577"/>
      <c r="C1577"/>
      <c r="D1577"/>
      <c r="E1577"/>
      <c r="F1577"/>
      <c r="G1577"/>
    </row>
    <row r="1578" spans="1:7" x14ac:dyDescent="0.35">
      <c r="A1578"/>
      <c r="B1578"/>
      <c r="C1578"/>
      <c r="D1578"/>
      <c r="E1578"/>
      <c r="F1578"/>
      <c r="G1578"/>
    </row>
    <row r="1579" spans="1:7" x14ac:dyDescent="0.35">
      <c r="A1579"/>
      <c r="B1579"/>
      <c r="C1579"/>
      <c r="D1579"/>
      <c r="E1579"/>
      <c r="F1579"/>
      <c r="G1579"/>
    </row>
    <row r="1580" spans="1:7" x14ac:dyDescent="0.35">
      <c r="A1580"/>
      <c r="B1580"/>
      <c r="C1580"/>
      <c r="D1580"/>
      <c r="E1580"/>
      <c r="F1580"/>
      <c r="G1580"/>
    </row>
    <row r="1581" spans="1:7" x14ac:dyDescent="0.35">
      <c r="A1581"/>
      <c r="B1581"/>
      <c r="C1581"/>
      <c r="D1581"/>
      <c r="E1581"/>
      <c r="F1581"/>
      <c r="G1581"/>
    </row>
    <row r="1582" spans="1:7" x14ac:dyDescent="0.35">
      <c r="A1582"/>
      <c r="B1582"/>
      <c r="C1582"/>
      <c r="D1582"/>
      <c r="E1582"/>
      <c r="F1582"/>
      <c r="G1582"/>
    </row>
    <row r="1583" spans="1:7" x14ac:dyDescent="0.35">
      <c r="A1583"/>
      <c r="B1583"/>
      <c r="C1583"/>
      <c r="D1583"/>
      <c r="E1583"/>
      <c r="F1583"/>
      <c r="G1583"/>
    </row>
    <row r="1584" spans="1:7" x14ac:dyDescent="0.35">
      <c r="A1584"/>
      <c r="B1584"/>
      <c r="C1584"/>
      <c r="D1584"/>
      <c r="E1584"/>
      <c r="F1584"/>
      <c r="G1584"/>
    </row>
    <row r="1585" spans="1:7" x14ac:dyDescent="0.35">
      <c r="A1585"/>
      <c r="B1585"/>
      <c r="C1585"/>
      <c r="D1585"/>
      <c r="E1585"/>
      <c r="F1585"/>
      <c r="G1585"/>
    </row>
    <row r="1586" spans="1:7" x14ac:dyDescent="0.35">
      <c r="A1586"/>
      <c r="B1586"/>
      <c r="C1586"/>
      <c r="D1586"/>
      <c r="E1586"/>
      <c r="F1586"/>
      <c r="G1586"/>
    </row>
    <row r="1587" spans="1:7" x14ac:dyDescent="0.35">
      <c r="A1587"/>
      <c r="B1587"/>
      <c r="C1587"/>
      <c r="D1587"/>
      <c r="E1587"/>
      <c r="F1587"/>
      <c r="G1587"/>
    </row>
    <row r="1588" spans="1:7" x14ac:dyDescent="0.35">
      <c r="A1588"/>
      <c r="B1588"/>
      <c r="C1588"/>
      <c r="D1588"/>
      <c r="E1588"/>
      <c r="F1588"/>
      <c r="G1588"/>
    </row>
    <row r="1589" spans="1:7" x14ac:dyDescent="0.35">
      <c r="A1589"/>
      <c r="B1589"/>
      <c r="C1589"/>
      <c r="D1589"/>
      <c r="E1589"/>
      <c r="F1589"/>
      <c r="G1589"/>
    </row>
    <row r="1590" spans="1:7" x14ac:dyDescent="0.35">
      <c r="A1590"/>
      <c r="B1590"/>
      <c r="C1590"/>
      <c r="D1590"/>
      <c r="E1590"/>
      <c r="F1590"/>
      <c r="G1590"/>
    </row>
    <row r="1591" spans="1:7" x14ac:dyDescent="0.35">
      <c r="A1591"/>
      <c r="B1591"/>
      <c r="C1591"/>
      <c r="D1591"/>
      <c r="E1591"/>
      <c r="F1591"/>
      <c r="G1591"/>
    </row>
    <row r="1592" spans="1:7" x14ac:dyDescent="0.35">
      <c r="A1592"/>
      <c r="B1592"/>
      <c r="C1592"/>
      <c r="D1592"/>
      <c r="E1592"/>
      <c r="F1592"/>
      <c r="G1592"/>
    </row>
    <row r="1593" spans="1:7" x14ac:dyDescent="0.35">
      <c r="A1593"/>
      <c r="B1593"/>
      <c r="C1593"/>
      <c r="D1593"/>
      <c r="E1593"/>
      <c r="F1593"/>
      <c r="G1593"/>
    </row>
    <row r="1594" spans="1:7" x14ac:dyDescent="0.35">
      <c r="A1594"/>
      <c r="B1594"/>
      <c r="C1594"/>
      <c r="D1594"/>
      <c r="E1594"/>
      <c r="F1594"/>
      <c r="G1594"/>
    </row>
    <row r="1595" spans="1:7" x14ac:dyDescent="0.35">
      <c r="A1595"/>
      <c r="B1595"/>
      <c r="C1595"/>
      <c r="D1595"/>
      <c r="E1595"/>
      <c r="F1595"/>
      <c r="G1595"/>
    </row>
    <row r="1596" spans="1:7" x14ac:dyDescent="0.35">
      <c r="A1596"/>
      <c r="B1596"/>
      <c r="C1596"/>
      <c r="D1596"/>
      <c r="E1596"/>
      <c r="F1596"/>
      <c r="G1596"/>
    </row>
    <row r="1597" spans="1:7" x14ac:dyDescent="0.35">
      <c r="A1597"/>
      <c r="B1597"/>
      <c r="C1597"/>
      <c r="D1597"/>
      <c r="E1597"/>
      <c r="F1597"/>
      <c r="G1597"/>
    </row>
    <row r="1598" spans="1:7" x14ac:dyDescent="0.35">
      <c r="A1598"/>
      <c r="B1598"/>
      <c r="C1598"/>
      <c r="D1598"/>
      <c r="E1598"/>
      <c r="F1598"/>
      <c r="G1598"/>
    </row>
    <row r="1599" spans="1:7" x14ac:dyDescent="0.35">
      <c r="A1599"/>
      <c r="B1599"/>
      <c r="C1599"/>
      <c r="D1599"/>
      <c r="E1599"/>
      <c r="F1599"/>
      <c r="G1599"/>
    </row>
    <row r="1600" spans="1:7" x14ac:dyDescent="0.35">
      <c r="A1600"/>
      <c r="B1600"/>
      <c r="C1600"/>
      <c r="D1600"/>
      <c r="E1600"/>
      <c r="F1600"/>
      <c r="G1600"/>
    </row>
    <row r="1601" spans="1:7" x14ac:dyDescent="0.35">
      <c r="A1601"/>
      <c r="B1601"/>
      <c r="C1601"/>
      <c r="D1601"/>
      <c r="E1601"/>
      <c r="F1601"/>
      <c r="G1601"/>
    </row>
    <row r="1602" spans="1:7" x14ac:dyDescent="0.35">
      <c r="A1602"/>
      <c r="B1602"/>
      <c r="C1602"/>
      <c r="D1602"/>
      <c r="E1602"/>
      <c r="F1602"/>
      <c r="G1602"/>
    </row>
    <row r="1603" spans="1:7" x14ac:dyDescent="0.35">
      <c r="A1603"/>
      <c r="B1603"/>
      <c r="C1603"/>
      <c r="D1603"/>
      <c r="E1603"/>
      <c r="F1603"/>
      <c r="G1603"/>
    </row>
    <row r="1604" spans="1:7" x14ac:dyDescent="0.35">
      <c r="A1604"/>
      <c r="B1604"/>
      <c r="C1604"/>
      <c r="D1604"/>
      <c r="E1604"/>
      <c r="F1604"/>
      <c r="G1604"/>
    </row>
    <row r="1605" spans="1:7" x14ac:dyDescent="0.35">
      <c r="A1605"/>
      <c r="B1605"/>
      <c r="C1605"/>
      <c r="D1605"/>
      <c r="E1605"/>
      <c r="F1605"/>
      <c r="G1605"/>
    </row>
    <row r="1606" spans="1:7" x14ac:dyDescent="0.35">
      <c r="A1606"/>
      <c r="B1606"/>
      <c r="C1606"/>
      <c r="D1606"/>
      <c r="E1606"/>
      <c r="F1606"/>
      <c r="G1606"/>
    </row>
    <row r="1607" spans="1:7" x14ac:dyDescent="0.35">
      <c r="A1607"/>
      <c r="B1607"/>
      <c r="C1607"/>
      <c r="D1607"/>
      <c r="E1607"/>
      <c r="F1607"/>
      <c r="G1607"/>
    </row>
    <row r="1608" spans="1:7" x14ac:dyDescent="0.35">
      <c r="A1608"/>
      <c r="B1608"/>
      <c r="C1608"/>
      <c r="D1608"/>
      <c r="E1608"/>
      <c r="F1608"/>
      <c r="G1608"/>
    </row>
    <row r="1609" spans="1:7" x14ac:dyDescent="0.35">
      <c r="A1609"/>
      <c r="B1609"/>
      <c r="C1609"/>
      <c r="D1609"/>
      <c r="E1609"/>
      <c r="F1609"/>
      <c r="G1609"/>
    </row>
    <row r="1610" spans="1:7" x14ac:dyDescent="0.35">
      <c r="A1610"/>
      <c r="B1610"/>
      <c r="C1610"/>
      <c r="D1610"/>
      <c r="E1610"/>
      <c r="F1610"/>
      <c r="G1610"/>
    </row>
    <row r="1611" spans="1:7" x14ac:dyDescent="0.35">
      <c r="A1611"/>
      <c r="B1611"/>
      <c r="C1611"/>
      <c r="D1611"/>
      <c r="E1611"/>
      <c r="F1611"/>
      <c r="G1611"/>
    </row>
    <row r="1612" spans="1:7" x14ac:dyDescent="0.35">
      <c r="A1612"/>
      <c r="B1612"/>
      <c r="C1612"/>
      <c r="D1612"/>
      <c r="E1612"/>
      <c r="F1612"/>
      <c r="G1612"/>
    </row>
    <row r="1613" spans="1:7" x14ac:dyDescent="0.35">
      <c r="A1613"/>
      <c r="B1613"/>
      <c r="C1613"/>
      <c r="D1613"/>
      <c r="E1613"/>
      <c r="F1613"/>
      <c r="G1613"/>
    </row>
    <row r="1614" spans="1:7" x14ac:dyDescent="0.35">
      <c r="A1614"/>
      <c r="B1614"/>
      <c r="C1614"/>
      <c r="D1614"/>
      <c r="E1614"/>
      <c r="F1614"/>
      <c r="G1614"/>
    </row>
    <row r="1615" spans="1:7" x14ac:dyDescent="0.35">
      <c r="A1615"/>
      <c r="B1615"/>
      <c r="C1615"/>
      <c r="D1615"/>
      <c r="E1615"/>
      <c r="F1615"/>
      <c r="G1615"/>
    </row>
    <row r="1616" spans="1:7" x14ac:dyDescent="0.35">
      <c r="A1616"/>
      <c r="B1616"/>
      <c r="C1616"/>
      <c r="D1616"/>
      <c r="E1616"/>
      <c r="F1616"/>
      <c r="G1616"/>
    </row>
    <row r="1617" spans="1:7" x14ac:dyDescent="0.35">
      <c r="A1617"/>
      <c r="B1617"/>
      <c r="C1617"/>
      <c r="D1617"/>
      <c r="E1617"/>
      <c r="F1617"/>
      <c r="G1617"/>
    </row>
    <row r="1618" spans="1:7" x14ac:dyDescent="0.35">
      <c r="A1618"/>
      <c r="B1618"/>
      <c r="C1618"/>
      <c r="D1618"/>
      <c r="E1618"/>
      <c r="F1618"/>
      <c r="G1618"/>
    </row>
    <row r="1619" spans="1:7" x14ac:dyDescent="0.35">
      <c r="A1619"/>
      <c r="B1619"/>
      <c r="C1619"/>
      <c r="D1619"/>
      <c r="E1619"/>
      <c r="F1619"/>
      <c r="G1619"/>
    </row>
    <row r="1620" spans="1:7" x14ac:dyDescent="0.35">
      <c r="A1620"/>
      <c r="B1620"/>
      <c r="C1620"/>
      <c r="D1620"/>
      <c r="E1620"/>
      <c r="F1620"/>
      <c r="G1620"/>
    </row>
    <row r="1621" spans="1:7" x14ac:dyDescent="0.35">
      <c r="A1621"/>
      <c r="B1621"/>
      <c r="C1621"/>
      <c r="D1621"/>
      <c r="E1621"/>
      <c r="F1621"/>
      <c r="G1621"/>
    </row>
    <row r="1622" spans="1:7" x14ac:dyDescent="0.35">
      <c r="A1622"/>
      <c r="B1622"/>
      <c r="C1622"/>
      <c r="D1622"/>
      <c r="E1622"/>
      <c r="F1622"/>
      <c r="G1622"/>
    </row>
    <row r="1623" spans="1:7" x14ac:dyDescent="0.35">
      <c r="A1623"/>
      <c r="B1623"/>
      <c r="C1623"/>
      <c r="D1623"/>
      <c r="E1623"/>
      <c r="F1623"/>
      <c r="G1623"/>
    </row>
    <row r="1624" spans="1:7" x14ac:dyDescent="0.35">
      <c r="A1624"/>
      <c r="B1624"/>
      <c r="C1624"/>
      <c r="D1624"/>
      <c r="E1624"/>
      <c r="F1624"/>
      <c r="G1624"/>
    </row>
    <row r="1625" spans="1:7" x14ac:dyDescent="0.35">
      <c r="A1625"/>
      <c r="B1625"/>
      <c r="C1625"/>
      <c r="D1625"/>
      <c r="E1625"/>
      <c r="F1625"/>
      <c r="G1625"/>
    </row>
    <row r="1626" spans="1:7" x14ac:dyDescent="0.35">
      <c r="A1626"/>
      <c r="B1626"/>
      <c r="C1626"/>
      <c r="D1626"/>
      <c r="E1626"/>
      <c r="F1626"/>
      <c r="G1626"/>
    </row>
    <row r="1627" spans="1:7" x14ac:dyDescent="0.35">
      <c r="A1627"/>
      <c r="B1627"/>
      <c r="C1627"/>
      <c r="D1627"/>
      <c r="E1627"/>
      <c r="F1627"/>
      <c r="G1627"/>
    </row>
    <row r="1628" spans="1:7" x14ac:dyDescent="0.35">
      <c r="A1628"/>
      <c r="B1628"/>
      <c r="C1628"/>
      <c r="D1628"/>
      <c r="E1628"/>
      <c r="F1628"/>
      <c r="G1628"/>
    </row>
    <row r="1629" spans="1:7" x14ac:dyDescent="0.35">
      <c r="A1629"/>
      <c r="B1629"/>
      <c r="C1629"/>
      <c r="D1629"/>
      <c r="E1629"/>
      <c r="F1629"/>
      <c r="G1629"/>
    </row>
    <row r="1630" spans="1:7" x14ac:dyDescent="0.35">
      <c r="A1630"/>
      <c r="B1630"/>
      <c r="C1630"/>
      <c r="D1630"/>
      <c r="E1630"/>
      <c r="F1630"/>
      <c r="G1630"/>
    </row>
    <row r="1631" spans="1:7" x14ac:dyDescent="0.35">
      <c r="A1631"/>
      <c r="B1631"/>
      <c r="C1631"/>
      <c r="D1631"/>
      <c r="E1631"/>
      <c r="F1631"/>
      <c r="G1631"/>
    </row>
    <row r="1632" spans="1:7" x14ac:dyDescent="0.35">
      <c r="A1632"/>
      <c r="B1632"/>
      <c r="C1632"/>
      <c r="D1632"/>
      <c r="E1632"/>
      <c r="F1632"/>
      <c r="G1632"/>
    </row>
    <row r="1633" spans="1:7" x14ac:dyDescent="0.35">
      <c r="A1633"/>
      <c r="B1633"/>
      <c r="C1633"/>
      <c r="D1633"/>
      <c r="E1633"/>
      <c r="F1633"/>
      <c r="G1633"/>
    </row>
    <row r="1634" spans="1:7" x14ac:dyDescent="0.35">
      <c r="A1634"/>
      <c r="B1634"/>
      <c r="C1634"/>
      <c r="D1634"/>
      <c r="E1634"/>
      <c r="F1634"/>
      <c r="G1634"/>
    </row>
    <row r="1635" spans="1:7" x14ac:dyDescent="0.35">
      <c r="A1635"/>
      <c r="B1635"/>
      <c r="C1635"/>
      <c r="D1635"/>
      <c r="E1635"/>
      <c r="F1635"/>
      <c r="G1635"/>
    </row>
    <row r="1636" spans="1:7" x14ac:dyDescent="0.35">
      <c r="A1636"/>
      <c r="B1636"/>
      <c r="C1636"/>
      <c r="D1636"/>
      <c r="E1636"/>
      <c r="F1636"/>
      <c r="G1636"/>
    </row>
    <row r="1637" spans="1:7" x14ac:dyDescent="0.35">
      <c r="A1637"/>
      <c r="B1637"/>
      <c r="C1637"/>
      <c r="D1637"/>
      <c r="E1637"/>
      <c r="F1637"/>
      <c r="G1637"/>
    </row>
    <row r="1638" spans="1:7" x14ac:dyDescent="0.35">
      <c r="A1638"/>
      <c r="B1638"/>
      <c r="C1638"/>
      <c r="D1638"/>
      <c r="E1638"/>
      <c r="F1638"/>
      <c r="G1638"/>
    </row>
    <row r="1639" spans="1:7" x14ac:dyDescent="0.35">
      <c r="A1639"/>
      <c r="B1639"/>
      <c r="C1639"/>
      <c r="D1639"/>
      <c r="E1639"/>
      <c r="F1639"/>
      <c r="G1639"/>
    </row>
    <row r="1640" spans="1:7" x14ac:dyDescent="0.35">
      <c r="A1640"/>
      <c r="B1640"/>
      <c r="C1640"/>
      <c r="D1640"/>
      <c r="E1640"/>
      <c r="F1640"/>
      <c r="G1640"/>
    </row>
    <row r="1641" spans="1:7" x14ac:dyDescent="0.35">
      <c r="A1641"/>
      <c r="B1641"/>
      <c r="C1641"/>
      <c r="D1641"/>
      <c r="E1641"/>
      <c r="F1641"/>
      <c r="G1641"/>
    </row>
    <row r="1642" spans="1:7" x14ac:dyDescent="0.35">
      <c r="A1642"/>
      <c r="B1642"/>
      <c r="C1642"/>
      <c r="D1642"/>
      <c r="E1642"/>
      <c r="F1642"/>
      <c r="G1642"/>
    </row>
    <row r="1643" spans="1:7" x14ac:dyDescent="0.35">
      <c r="A1643"/>
      <c r="B1643"/>
      <c r="C1643"/>
      <c r="D1643"/>
      <c r="E1643"/>
      <c r="F1643"/>
      <c r="G1643"/>
    </row>
    <row r="1644" spans="1:7" x14ac:dyDescent="0.35">
      <c r="A1644"/>
      <c r="B1644"/>
      <c r="C1644"/>
      <c r="D1644"/>
      <c r="E1644"/>
      <c r="F1644"/>
      <c r="G1644"/>
    </row>
    <row r="1645" spans="1:7" x14ac:dyDescent="0.35">
      <c r="A1645"/>
      <c r="B1645"/>
      <c r="C1645"/>
      <c r="D1645"/>
      <c r="E1645"/>
      <c r="F1645"/>
      <c r="G1645"/>
    </row>
    <row r="1646" spans="1:7" x14ac:dyDescent="0.35">
      <c r="A1646"/>
      <c r="B1646"/>
      <c r="C1646"/>
      <c r="D1646"/>
      <c r="E1646"/>
      <c r="F1646"/>
      <c r="G1646"/>
    </row>
    <row r="1647" spans="1:7" x14ac:dyDescent="0.35">
      <c r="A1647"/>
      <c r="B1647"/>
      <c r="C1647"/>
      <c r="D1647"/>
      <c r="E1647"/>
      <c r="F1647"/>
      <c r="G1647"/>
    </row>
    <row r="1648" spans="1:7" x14ac:dyDescent="0.35">
      <c r="A1648"/>
      <c r="B1648"/>
      <c r="C1648"/>
      <c r="D1648"/>
      <c r="E1648"/>
      <c r="F1648"/>
      <c r="G1648"/>
    </row>
    <row r="1649" spans="1:7" x14ac:dyDescent="0.35">
      <c r="A1649"/>
      <c r="B1649"/>
      <c r="C1649"/>
      <c r="D1649"/>
      <c r="E1649"/>
      <c r="F1649"/>
      <c r="G1649"/>
    </row>
    <row r="1650" spans="1:7" x14ac:dyDescent="0.35">
      <c r="A1650"/>
      <c r="B1650"/>
      <c r="C1650"/>
      <c r="D1650"/>
      <c r="E1650"/>
      <c r="F1650"/>
      <c r="G1650"/>
    </row>
    <row r="1651" spans="1:7" x14ac:dyDescent="0.35">
      <c r="A1651"/>
      <c r="B1651"/>
      <c r="C1651"/>
      <c r="D1651"/>
      <c r="E1651"/>
      <c r="F1651"/>
      <c r="G1651"/>
    </row>
    <row r="1652" spans="1:7" x14ac:dyDescent="0.35">
      <c r="A1652"/>
      <c r="B1652"/>
      <c r="C1652"/>
      <c r="D1652"/>
      <c r="E1652"/>
      <c r="F1652"/>
      <c r="G1652"/>
    </row>
    <row r="1653" spans="1:7" x14ac:dyDescent="0.35">
      <c r="A1653"/>
      <c r="B1653"/>
      <c r="C1653"/>
      <c r="D1653"/>
      <c r="E1653"/>
      <c r="F1653"/>
      <c r="G1653"/>
    </row>
    <row r="1654" spans="1:7" x14ac:dyDescent="0.35">
      <c r="A1654"/>
      <c r="B1654"/>
      <c r="C1654"/>
      <c r="D1654"/>
      <c r="E1654"/>
      <c r="F1654"/>
      <c r="G1654"/>
    </row>
    <row r="1655" spans="1:7" x14ac:dyDescent="0.35">
      <c r="A1655"/>
      <c r="B1655"/>
      <c r="C1655"/>
      <c r="D1655"/>
      <c r="E1655"/>
      <c r="F1655"/>
      <c r="G1655"/>
    </row>
    <row r="1656" spans="1:7" x14ac:dyDescent="0.35">
      <c r="A1656"/>
      <c r="B1656"/>
      <c r="C1656"/>
      <c r="D1656"/>
      <c r="E1656"/>
      <c r="F1656"/>
      <c r="G1656"/>
    </row>
    <row r="1657" spans="1:7" x14ac:dyDescent="0.35">
      <c r="A1657"/>
      <c r="B1657"/>
      <c r="C1657"/>
      <c r="D1657"/>
      <c r="E1657"/>
      <c r="F1657"/>
      <c r="G1657"/>
    </row>
    <row r="1658" spans="1:7" x14ac:dyDescent="0.35">
      <c r="A1658"/>
      <c r="B1658"/>
      <c r="C1658"/>
      <c r="D1658"/>
      <c r="E1658"/>
      <c r="F1658"/>
      <c r="G1658"/>
    </row>
    <row r="1659" spans="1:7" x14ac:dyDescent="0.35">
      <c r="A1659"/>
      <c r="B1659"/>
      <c r="C1659"/>
      <c r="D1659"/>
      <c r="E1659"/>
      <c r="F1659"/>
      <c r="G1659"/>
    </row>
    <row r="1660" spans="1:7" x14ac:dyDescent="0.35">
      <c r="A1660"/>
      <c r="B1660"/>
      <c r="C1660"/>
      <c r="D1660"/>
      <c r="E1660"/>
      <c r="F1660"/>
      <c r="G1660"/>
    </row>
    <row r="1661" spans="1:7" x14ac:dyDescent="0.35">
      <c r="A1661"/>
      <c r="B1661"/>
      <c r="C1661"/>
      <c r="D1661"/>
      <c r="E1661"/>
      <c r="F1661"/>
      <c r="G1661"/>
    </row>
    <row r="1662" spans="1:7" x14ac:dyDescent="0.35">
      <c r="A1662"/>
      <c r="B1662"/>
      <c r="C1662"/>
      <c r="D1662"/>
      <c r="E1662"/>
      <c r="F1662"/>
      <c r="G1662"/>
    </row>
    <row r="1663" spans="1:7" x14ac:dyDescent="0.35">
      <c r="A1663"/>
      <c r="B1663"/>
      <c r="C1663"/>
      <c r="D1663"/>
      <c r="E1663"/>
      <c r="F1663"/>
      <c r="G1663"/>
    </row>
    <row r="1664" spans="1:7" x14ac:dyDescent="0.35">
      <c r="A1664"/>
      <c r="B1664"/>
      <c r="C1664"/>
      <c r="D1664"/>
      <c r="E1664"/>
      <c r="F1664"/>
      <c r="G1664"/>
    </row>
    <row r="1665" spans="1:7" x14ac:dyDescent="0.35">
      <c r="A1665"/>
      <c r="B1665"/>
      <c r="C1665"/>
      <c r="D1665"/>
      <c r="E1665"/>
      <c r="F1665"/>
      <c r="G1665"/>
    </row>
    <row r="1666" spans="1:7" x14ac:dyDescent="0.35">
      <c r="A1666"/>
      <c r="B1666"/>
      <c r="C1666"/>
      <c r="D1666"/>
      <c r="E1666"/>
      <c r="F1666"/>
      <c r="G1666"/>
    </row>
    <row r="1667" spans="1:7" x14ac:dyDescent="0.35">
      <c r="A1667"/>
      <c r="B1667"/>
      <c r="C1667"/>
      <c r="D1667"/>
      <c r="E1667"/>
      <c r="F1667"/>
      <c r="G1667"/>
    </row>
    <row r="1668" spans="1:7" x14ac:dyDescent="0.35">
      <c r="A1668"/>
      <c r="B1668"/>
      <c r="C1668"/>
      <c r="D1668"/>
      <c r="E1668"/>
      <c r="F1668"/>
      <c r="G1668"/>
    </row>
    <row r="1669" spans="1:7" x14ac:dyDescent="0.35">
      <c r="A1669"/>
      <c r="B1669"/>
      <c r="C1669"/>
      <c r="D1669"/>
      <c r="E1669"/>
      <c r="F1669"/>
      <c r="G1669"/>
    </row>
    <row r="1670" spans="1:7" x14ac:dyDescent="0.35">
      <c r="A1670"/>
      <c r="B1670"/>
      <c r="C1670"/>
      <c r="D1670"/>
      <c r="E1670"/>
      <c r="F1670"/>
      <c r="G1670"/>
    </row>
    <row r="1671" spans="1:7" x14ac:dyDescent="0.35">
      <c r="A1671"/>
      <c r="B1671"/>
      <c r="C1671"/>
      <c r="D1671"/>
      <c r="E1671"/>
      <c r="F1671"/>
      <c r="G1671"/>
    </row>
    <row r="1672" spans="1:7" x14ac:dyDescent="0.35">
      <c r="A1672"/>
      <c r="B1672"/>
      <c r="C1672"/>
      <c r="D1672"/>
      <c r="E1672"/>
      <c r="F1672"/>
      <c r="G1672"/>
    </row>
    <row r="1673" spans="1:7" x14ac:dyDescent="0.35">
      <c r="A1673"/>
      <c r="B1673"/>
      <c r="C1673"/>
      <c r="D1673"/>
      <c r="E1673"/>
      <c r="F1673"/>
      <c r="G1673"/>
    </row>
    <row r="1674" spans="1:7" x14ac:dyDescent="0.35">
      <c r="A1674"/>
      <c r="B1674"/>
      <c r="C1674"/>
      <c r="D1674"/>
      <c r="E1674"/>
      <c r="F1674"/>
      <c r="G1674"/>
    </row>
    <row r="1675" spans="1:7" x14ac:dyDescent="0.35">
      <c r="A1675"/>
      <c r="B1675"/>
      <c r="C1675"/>
      <c r="D1675"/>
      <c r="E1675"/>
      <c r="F1675"/>
      <c r="G1675"/>
    </row>
    <row r="1676" spans="1:7" x14ac:dyDescent="0.35">
      <c r="A1676"/>
      <c r="B1676"/>
      <c r="C1676"/>
      <c r="D1676"/>
      <c r="E1676"/>
      <c r="F1676"/>
      <c r="G1676"/>
    </row>
    <row r="1677" spans="1:7" x14ac:dyDescent="0.35">
      <c r="A1677"/>
      <c r="B1677"/>
      <c r="C1677"/>
      <c r="D1677"/>
      <c r="E1677"/>
      <c r="F1677"/>
      <c r="G1677"/>
    </row>
    <row r="1678" spans="1:7" x14ac:dyDescent="0.35">
      <c r="A1678"/>
      <c r="B1678"/>
      <c r="C1678"/>
      <c r="D1678"/>
      <c r="E1678"/>
      <c r="F1678"/>
      <c r="G1678"/>
    </row>
    <row r="1679" spans="1:7" x14ac:dyDescent="0.35">
      <c r="A1679"/>
      <c r="B1679"/>
      <c r="C1679"/>
      <c r="D1679"/>
      <c r="E1679"/>
      <c r="F1679"/>
      <c r="G1679"/>
    </row>
    <row r="1680" spans="1:7" x14ac:dyDescent="0.35">
      <c r="A1680"/>
      <c r="B1680"/>
      <c r="C1680"/>
      <c r="D1680"/>
      <c r="E1680"/>
      <c r="F1680"/>
      <c r="G1680"/>
    </row>
    <row r="1681" spans="1:7" x14ac:dyDescent="0.35">
      <c r="A1681"/>
      <c r="B1681"/>
      <c r="C1681"/>
      <c r="D1681"/>
      <c r="E1681"/>
      <c r="F1681"/>
      <c r="G1681"/>
    </row>
    <row r="1682" spans="1:7" x14ac:dyDescent="0.35">
      <c r="A1682"/>
      <c r="B1682"/>
      <c r="C1682"/>
      <c r="D1682"/>
      <c r="E1682"/>
      <c r="F1682"/>
      <c r="G1682"/>
    </row>
    <row r="1683" spans="1:7" x14ac:dyDescent="0.35">
      <c r="A1683"/>
      <c r="B1683"/>
      <c r="C1683"/>
      <c r="D1683"/>
      <c r="E1683"/>
      <c r="F1683"/>
      <c r="G1683"/>
    </row>
    <row r="1684" spans="1:7" x14ac:dyDescent="0.35">
      <c r="A1684"/>
      <c r="B1684"/>
      <c r="C1684"/>
      <c r="D1684"/>
      <c r="E1684"/>
      <c r="F1684"/>
      <c r="G1684"/>
    </row>
    <row r="1685" spans="1:7" x14ac:dyDescent="0.35">
      <c r="A1685"/>
      <c r="B1685"/>
      <c r="C1685"/>
      <c r="D1685"/>
      <c r="E1685"/>
      <c r="F1685"/>
      <c r="G1685"/>
    </row>
    <row r="1686" spans="1:7" x14ac:dyDescent="0.35">
      <c r="A1686"/>
      <c r="B1686"/>
      <c r="C1686"/>
      <c r="D1686"/>
      <c r="E1686"/>
      <c r="F1686"/>
      <c r="G1686"/>
    </row>
    <row r="1687" spans="1:7" x14ac:dyDescent="0.35">
      <c r="A1687"/>
      <c r="B1687"/>
      <c r="C1687"/>
      <c r="D1687"/>
      <c r="E1687"/>
      <c r="F1687"/>
      <c r="G1687"/>
    </row>
    <row r="1688" spans="1:7" x14ac:dyDescent="0.35">
      <c r="A1688"/>
      <c r="B1688"/>
      <c r="C1688"/>
      <c r="D1688"/>
      <c r="E1688"/>
      <c r="F1688"/>
      <c r="G1688"/>
    </row>
    <row r="1689" spans="1:7" x14ac:dyDescent="0.35">
      <c r="A1689"/>
      <c r="B1689"/>
      <c r="C1689"/>
      <c r="D1689"/>
      <c r="E1689"/>
      <c r="F1689"/>
      <c r="G1689"/>
    </row>
    <row r="1690" spans="1:7" x14ac:dyDescent="0.35">
      <c r="A1690"/>
      <c r="B1690"/>
      <c r="C1690"/>
      <c r="D1690"/>
      <c r="E1690"/>
      <c r="F1690"/>
      <c r="G1690"/>
    </row>
    <row r="1691" spans="1:7" x14ac:dyDescent="0.35">
      <c r="A1691"/>
      <c r="B1691"/>
      <c r="C1691"/>
      <c r="D1691"/>
      <c r="E1691"/>
      <c r="F1691"/>
      <c r="G1691"/>
    </row>
    <row r="1692" spans="1:7" x14ac:dyDescent="0.35">
      <c r="A1692"/>
      <c r="B1692"/>
      <c r="C1692"/>
      <c r="D1692"/>
      <c r="E1692"/>
      <c r="F1692"/>
      <c r="G1692"/>
    </row>
    <row r="1693" spans="1:7" x14ac:dyDescent="0.35">
      <c r="A1693"/>
      <c r="B1693"/>
      <c r="C1693"/>
      <c r="D1693"/>
      <c r="E1693"/>
      <c r="F1693"/>
      <c r="G1693"/>
    </row>
    <row r="1694" spans="1:7" x14ac:dyDescent="0.35">
      <c r="A1694"/>
      <c r="B1694"/>
      <c r="C1694"/>
      <c r="D1694"/>
      <c r="E1694"/>
      <c r="F1694"/>
      <c r="G1694"/>
    </row>
    <row r="1695" spans="1:7" x14ac:dyDescent="0.35">
      <c r="A1695"/>
      <c r="B1695"/>
      <c r="C1695"/>
      <c r="D1695"/>
      <c r="E1695"/>
      <c r="F1695"/>
      <c r="G1695"/>
    </row>
    <row r="1696" spans="1:7" x14ac:dyDescent="0.35">
      <c r="A1696"/>
      <c r="B1696"/>
      <c r="C1696"/>
      <c r="D1696"/>
      <c r="E1696"/>
      <c r="F1696"/>
      <c r="G1696"/>
    </row>
    <row r="1697" spans="1:7" x14ac:dyDescent="0.35">
      <c r="A1697"/>
      <c r="B1697"/>
      <c r="C1697"/>
      <c r="D1697"/>
      <c r="E1697"/>
      <c r="F1697"/>
      <c r="G1697"/>
    </row>
    <row r="1698" spans="1:7" x14ac:dyDescent="0.35">
      <c r="A1698"/>
      <c r="B1698"/>
      <c r="C1698"/>
      <c r="D1698"/>
      <c r="E1698"/>
      <c r="F1698"/>
      <c r="G1698"/>
    </row>
    <row r="1699" spans="1:7" x14ac:dyDescent="0.35">
      <c r="A1699"/>
      <c r="B1699"/>
      <c r="C1699"/>
      <c r="D1699"/>
      <c r="E1699"/>
      <c r="F1699"/>
      <c r="G1699"/>
    </row>
    <row r="1700" spans="1:7" x14ac:dyDescent="0.35">
      <c r="A1700"/>
      <c r="B1700"/>
      <c r="C1700"/>
      <c r="D1700"/>
      <c r="E1700"/>
      <c r="F1700"/>
      <c r="G1700"/>
    </row>
    <row r="1701" spans="1:7" x14ac:dyDescent="0.35">
      <c r="A1701"/>
      <c r="B1701"/>
      <c r="C1701"/>
      <c r="D1701"/>
      <c r="E1701"/>
      <c r="F1701"/>
      <c r="G1701"/>
    </row>
    <row r="1702" spans="1:7" x14ac:dyDescent="0.35">
      <c r="A1702"/>
      <c r="B1702"/>
      <c r="C1702"/>
      <c r="D1702"/>
      <c r="E1702"/>
      <c r="F1702"/>
      <c r="G1702"/>
    </row>
    <row r="1703" spans="1:7" x14ac:dyDescent="0.35">
      <c r="A1703"/>
      <c r="B1703"/>
      <c r="C1703"/>
      <c r="D1703"/>
      <c r="E1703"/>
      <c r="F1703"/>
      <c r="G1703"/>
    </row>
    <row r="1704" spans="1:7" x14ac:dyDescent="0.35">
      <c r="A1704"/>
      <c r="B1704"/>
      <c r="C1704"/>
      <c r="D1704"/>
      <c r="E1704"/>
      <c r="F1704"/>
      <c r="G1704"/>
    </row>
    <row r="1705" spans="1:7" x14ac:dyDescent="0.35">
      <c r="A1705"/>
      <c r="B1705"/>
      <c r="C1705"/>
      <c r="D1705"/>
      <c r="E1705"/>
      <c r="F1705"/>
      <c r="G1705"/>
    </row>
    <row r="1706" spans="1:7" x14ac:dyDescent="0.35">
      <c r="A1706"/>
      <c r="B1706"/>
      <c r="C1706"/>
      <c r="D1706"/>
      <c r="E1706"/>
      <c r="F1706"/>
      <c r="G1706"/>
    </row>
    <row r="1707" spans="1:7" x14ac:dyDescent="0.35">
      <c r="A1707"/>
      <c r="B1707"/>
      <c r="C1707"/>
      <c r="D1707"/>
      <c r="E1707"/>
      <c r="F1707"/>
      <c r="G1707"/>
    </row>
    <row r="1708" spans="1:7" x14ac:dyDescent="0.35">
      <c r="A1708"/>
      <c r="B1708"/>
      <c r="C1708"/>
      <c r="D1708"/>
      <c r="E1708"/>
      <c r="F1708"/>
      <c r="G1708"/>
    </row>
    <row r="1709" spans="1:7" x14ac:dyDescent="0.35">
      <c r="A1709"/>
      <c r="B1709"/>
      <c r="C1709"/>
      <c r="D1709"/>
      <c r="E1709"/>
      <c r="F1709"/>
      <c r="G1709"/>
    </row>
    <row r="1710" spans="1:7" x14ac:dyDescent="0.35">
      <c r="A1710"/>
      <c r="B1710"/>
      <c r="C1710"/>
      <c r="D1710"/>
      <c r="E1710"/>
      <c r="F1710"/>
      <c r="G1710"/>
    </row>
    <row r="1711" spans="1:7" x14ac:dyDescent="0.35">
      <c r="A1711"/>
      <c r="B1711"/>
      <c r="C1711"/>
      <c r="D1711"/>
      <c r="E1711"/>
      <c r="F1711"/>
      <c r="G1711"/>
    </row>
    <row r="1712" spans="1:7" x14ac:dyDescent="0.35">
      <c r="A1712"/>
      <c r="B1712"/>
      <c r="C1712"/>
      <c r="D1712"/>
      <c r="E1712"/>
      <c r="F1712"/>
      <c r="G1712"/>
    </row>
    <row r="1713" spans="1:7" x14ac:dyDescent="0.35">
      <c r="A1713"/>
      <c r="B1713"/>
      <c r="C1713"/>
      <c r="D1713"/>
      <c r="E1713"/>
      <c r="F1713"/>
      <c r="G1713"/>
    </row>
    <row r="1714" spans="1:7" x14ac:dyDescent="0.35">
      <c r="A1714"/>
      <c r="B1714"/>
      <c r="C1714"/>
      <c r="D1714"/>
      <c r="E1714"/>
      <c r="F1714"/>
      <c r="G1714"/>
    </row>
    <row r="1715" spans="1:7" x14ac:dyDescent="0.35">
      <c r="A1715"/>
      <c r="B1715"/>
      <c r="C1715"/>
      <c r="D1715"/>
      <c r="E1715"/>
      <c r="F1715"/>
      <c r="G1715"/>
    </row>
    <row r="1716" spans="1:7" x14ac:dyDescent="0.35">
      <c r="A1716"/>
      <c r="B1716"/>
      <c r="C1716"/>
      <c r="D1716"/>
      <c r="E1716"/>
      <c r="F1716"/>
      <c r="G1716"/>
    </row>
    <row r="1717" spans="1:7" x14ac:dyDescent="0.35">
      <c r="A1717"/>
      <c r="B1717"/>
      <c r="C1717"/>
      <c r="D1717"/>
      <c r="E1717"/>
      <c r="F1717"/>
      <c r="G1717"/>
    </row>
    <row r="1718" spans="1:7" x14ac:dyDescent="0.35">
      <c r="A1718"/>
      <c r="B1718"/>
      <c r="C1718"/>
      <c r="D1718"/>
      <c r="E1718"/>
      <c r="F1718"/>
      <c r="G1718"/>
    </row>
    <row r="1719" spans="1:7" x14ac:dyDescent="0.35">
      <c r="A1719"/>
      <c r="B1719"/>
      <c r="C1719"/>
      <c r="D1719"/>
      <c r="E1719"/>
      <c r="F1719"/>
      <c r="G1719"/>
    </row>
    <row r="1720" spans="1:7" x14ac:dyDescent="0.35">
      <c r="A1720"/>
      <c r="B1720"/>
      <c r="C1720"/>
      <c r="D1720"/>
      <c r="E1720"/>
      <c r="F1720"/>
      <c r="G1720"/>
    </row>
    <row r="1721" spans="1:7" x14ac:dyDescent="0.35">
      <c r="A1721"/>
      <c r="B1721"/>
      <c r="C1721"/>
      <c r="D1721"/>
      <c r="E1721"/>
      <c r="F1721"/>
      <c r="G1721"/>
    </row>
    <row r="1722" spans="1:7" x14ac:dyDescent="0.35">
      <c r="A1722"/>
      <c r="B1722"/>
      <c r="C1722"/>
      <c r="D1722"/>
      <c r="E1722"/>
      <c r="F1722"/>
      <c r="G1722"/>
    </row>
    <row r="1723" spans="1:7" x14ac:dyDescent="0.35">
      <c r="A1723"/>
      <c r="B1723"/>
      <c r="C1723"/>
      <c r="D1723"/>
      <c r="E1723"/>
      <c r="F1723"/>
      <c r="G1723"/>
    </row>
    <row r="1724" spans="1:7" x14ac:dyDescent="0.35">
      <c r="A1724"/>
      <c r="B1724"/>
      <c r="C1724"/>
      <c r="D1724"/>
      <c r="E1724"/>
      <c r="F1724"/>
      <c r="G1724"/>
    </row>
    <row r="1725" spans="1:7" x14ac:dyDescent="0.35">
      <c r="A1725"/>
      <c r="B1725"/>
      <c r="C1725"/>
      <c r="D1725"/>
      <c r="E1725"/>
      <c r="F1725"/>
      <c r="G1725"/>
    </row>
    <row r="1726" spans="1:7" x14ac:dyDescent="0.35">
      <c r="A1726"/>
      <c r="B1726"/>
      <c r="C1726"/>
      <c r="D1726"/>
      <c r="E1726"/>
      <c r="F1726"/>
      <c r="G1726"/>
    </row>
    <row r="1727" spans="1:7" x14ac:dyDescent="0.35">
      <c r="A1727"/>
      <c r="B1727"/>
      <c r="C1727"/>
      <c r="D1727"/>
      <c r="E1727"/>
      <c r="F1727"/>
      <c r="G1727"/>
    </row>
    <row r="1728" spans="1:7" x14ac:dyDescent="0.35">
      <c r="A1728"/>
      <c r="B1728"/>
      <c r="C1728"/>
      <c r="D1728"/>
      <c r="E1728"/>
      <c r="F1728"/>
      <c r="G1728"/>
    </row>
    <row r="1729" spans="1:7" x14ac:dyDescent="0.35">
      <c r="A1729"/>
      <c r="B1729"/>
      <c r="C1729"/>
      <c r="D1729"/>
      <c r="E1729"/>
      <c r="F1729"/>
      <c r="G1729"/>
    </row>
    <row r="1730" spans="1:7" x14ac:dyDescent="0.35">
      <c r="A1730"/>
      <c r="B1730"/>
      <c r="C1730"/>
      <c r="D1730"/>
      <c r="E1730"/>
      <c r="F1730"/>
      <c r="G1730"/>
    </row>
    <row r="1731" spans="1:7" x14ac:dyDescent="0.35">
      <c r="A1731"/>
      <c r="B1731"/>
      <c r="C1731"/>
      <c r="D1731"/>
      <c r="E1731"/>
      <c r="F1731"/>
      <c r="G1731"/>
    </row>
    <row r="1732" spans="1:7" x14ac:dyDescent="0.35">
      <c r="A1732"/>
      <c r="B1732"/>
      <c r="C1732"/>
      <c r="D1732"/>
      <c r="E1732"/>
      <c r="F1732"/>
      <c r="G1732"/>
    </row>
    <row r="1733" spans="1:7" x14ac:dyDescent="0.35">
      <c r="A1733"/>
      <c r="B1733"/>
      <c r="C1733"/>
      <c r="D1733"/>
      <c r="E1733"/>
      <c r="F1733"/>
      <c r="G1733"/>
    </row>
    <row r="1734" spans="1:7" x14ac:dyDescent="0.35">
      <c r="A1734"/>
      <c r="B1734"/>
      <c r="C1734"/>
      <c r="D1734"/>
      <c r="E1734"/>
      <c r="F1734"/>
      <c r="G1734"/>
    </row>
    <row r="1735" spans="1:7" x14ac:dyDescent="0.35">
      <c r="A1735"/>
      <c r="B1735"/>
      <c r="C1735"/>
      <c r="D1735"/>
      <c r="E1735"/>
      <c r="F1735"/>
      <c r="G1735"/>
    </row>
    <row r="1736" spans="1:7" x14ac:dyDescent="0.35">
      <c r="A1736"/>
      <c r="B1736"/>
      <c r="C1736"/>
      <c r="D1736"/>
      <c r="E1736"/>
      <c r="F1736"/>
      <c r="G1736"/>
    </row>
    <row r="1737" spans="1:7" x14ac:dyDescent="0.35">
      <c r="A1737"/>
      <c r="B1737"/>
      <c r="C1737"/>
      <c r="D1737"/>
      <c r="E1737"/>
      <c r="F1737"/>
      <c r="G1737"/>
    </row>
    <row r="1738" spans="1:7" x14ac:dyDescent="0.35">
      <c r="A1738"/>
      <c r="B1738"/>
      <c r="C1738"/>
      <c r="D1738"/>
      <c r="E1738"/>
      <c r="F1738"/>
      <c r="G1738"/>
    </row>
    <row r="1739" spans="1:7" x14ac:dyDescent="0.35">
      <c r="A1739"/>
      <c r="B1739"/>
      <c r="C1739"/>
      <c r="D1739"/>
      <c r="E1739"/>
      <c r="F1739"/>
      <c r="G1739"/>
    </row>
    <row r="1740" spans="1:7" x14ac:dyDescent="0.35">
      <c r="A1740"/>
      <c r="B1740"/>
      <c r="C1740"/>
      <c r="D1740"/>
      <c r="E1740"/>
      <c r="F1740"/>
      <c r="G1740"/>
    </row>
    <row r="1741" spans="1:7" x14ac:dyDescent="0.35">
      <c r="A1741"/>
      <c r="B1741"/>
      <c r="C1741"/>
      <c r="D1741"/>
      <c r="E1741"/>
      <c r="F1741"/>
      <c r="G1741"/>
    </row>
    <row r="1742" spans="1:7" x14ac:dyDescent="0.35">
      <c r="A1742"/>
      <c r="B1742"/>
      <c r="C1742"/>
      <c r="D1742"/>
      <c r="E1742"/>
      <c r="F1742"/>
      <c r="G1742"/>
    </row>
    <row r="1743" spans="1:7" x14ac:dyDescent="0.35">
      <c r="A1743"/>
      <c r="B1743"/>
      <c r="C1743"/>
      <c r="D1743"/>
      <c r="E1743"/>
      <c r="F1743"/>
      <c r="G1743"/>
    </row>
    <row r="1744" spans="1:7" x14ac:dyDescent="0.35">
      <c r="A1744"/>
      <c r="B1744"/>
      <c r="C1744"/>
      <c r="D1744"/>
      <c r="E1744"/>
      <c r="F1744"/>
      <c r="G1744"/>
    </row>
    <row r="1745" spans="1:7" x14ac:dyDescent="0.35">
      <c r="A1745"/>
      <c r="B1745"/>
      <c r="C1745"/>
      <c r="D1745"/>
      <c r="E1745"/>
      <c r="F1745"/>
      <c r="G1745"/>
    </row>
    <row r="1746" spans="1:7" x14ac:dyDescent="0.35">
      <c r="A1746"/>
      <c r="B1746"/>
      <c r="C1746"/>
      <c r="D1746"/>
      <c r="E1746"/>
      <c r="F1746"/>
      <c r="G1746"/>
    </row>
    <row r="1747" spans="1:7" x14ac:dyDescent="0.35">
      <c r="A1747"/>
      <c r="B1747"/>
      <c r="C1747"/>
      <c r="D1747"/>
      <c r="E1747"/>
      <c r="F1747"/>
      <c r="G1747"/>
    </row>
    <row r="1748" spans="1:7" x14ac:dyDescent="0.35">
      <c r="A1748"/>
      <c r="B1748"/>
      <c r="C1748"/>
      <c r="D1748"/>
      <c r="E1748"/>
      <c r="F1748"/>
      <c r="G1748"/>
    </row>
    <row r="1749" spans="1:7" x14ac:dyDescent="0.35">
      <c r="A1749"/>
      <c r="B1749"/>
      <c r="C1749"/>
      <c r="D1749"/>
      <c r="E1749"/>
      <c r="F1749"/>
      <c r="G1749"/>
    </row>
    <row r="1750" spans="1:7" x14ac:dyDescent="0.35">
      <c r="A1750"/>
      <c r="B1750"/>
      <c r="C1750"/>
      <c r="D1750"/>
      <c r="E1750"/>
      <c r="F1750"/>
      <c r="G1750"/>
    </row>
    <row r="1751" spans="1:7" x14ac:dyDescent="0.35">
      <c r="A1751"/>
      <c r="B1751"/>
      <c r="C1751"/>
      <c r="D1751"/>
      <c r="E1751"/>
      <c r="F1751"/>
      <c r="G1751"/>
    </row>
    <row r="1752" spans="1:7" x14ac:dyDescent="0.35">
      <c r="A1752"/>
      <c r="B1752"/>
      <c r="C1752"/>
      <c r="D1752"/>
      <c r="E1752"/>
      <c r="F1752"/>
      <c r="G1752"/>
    </row>
    <row r="1753" spans="1:7" x14ac:dyDescent="0.35">
      <c r="A1753"/>
      <c r="B1753"/>
      <c r="C1753"/>
      <c r="D1753"/>
      <c r="E1753"/>
      <c r="F1753"/>
      <c r="G1753"/>
    </row>
    <row r="1754" spans="1:7" x14ac:dyDescent="0.35">
      <c r="A1754"/>
      <c r="B1754"/>
      <c r="C1754"/>
      <c r="D1754"/>
      <c r="E1754"/>
      <c r="F1754"/>
      <c r="G1754"/>
    </row>
    <row r="1755" spans="1:7" x14ac:dyDescent="0.35">
      <c r="A1755"/>
      <c r="B1755"/>
      <c r="C1755"/>
      <c r="D1755"/>
      <c r="E1755"/>
      <c r="F1755"/>
      <c r="G1755"/>
    </row>
    <row r="1756" spans="1:7" x14ac:dyDescent="0.35">
      <c r="A1756"/>
      <c r="B1756"/>
      <c r="C1756"/>
      <c r="D1756"/>
      <c r="E1756"/>
      <c r="F1756"/>
      <c r="G1756"/>
    </row>
    <row r="1757" spans="1:7" x14ac:dyDescent="0.35">
      <c r="A1757"/>
      <c r="B1757"/>
      <c r="C1757"/>
      <c r="D1757"/>
      <c r="E1757"/>
      <c r="F1757"/>
      <c r="G1757"/>
    </row>
    <row r="1758" spans="1:7" x14ac:dyDescent="0.35">
      <c r="A1758"/>
      <c r="B1758"/>
      <c r="C1758"/>
      <c r="D1758"/>
      <c r="E1758"/>
      <c r="F1758"/>
      <c r="G1758"/>
    </row>
    <row r="1759" spans="1:7" x14ac:dyDescent="0.35">
      <c r="A1759"/>
      <c r="B1759"/>
      <c r="C1759"/>
      <c r="D1759"/>
      <c r="E1759"/>
      <c r="F1759"/>
      <c r="G1759"/>
    </row>
    <row r="1760" spans="1:7" x14ac:dyDescent="0.35">
      <c r="A1760"/>
      <c r="B1760"/>
      <c r="C1760"/>
      <c r="D1760"/>
      <c r="E1760"/>
      <c r="F1760"/>
      <c r="G1760"/>
    </row>
    <row r="1761" spans="1:7" x14ac:dyDescent="0.35">
      <c r="A1761"/>
      <c r="B1761"/>
      <c r="C1761"/>
      <c r="D1761"/>
      <c r="E1761"/>
      <c r="F1761"/>
      <c r="G1761"/>
    </row>
    <row r="1762" spans="1:7" x14ac:dyDescent="0.35">
      <c r="A1762"/>
      <c r="B1762"/>
      <c r="C1762"/>
      <c r="D1762"/>
      <c r="E1762"/>
      <c r="F1762"/>
      <c r="G1762"/>
    </row>
    <row r="1763" spans="1:7" x14ac:dyDescent="0.35">
      <c r="A1763"/>
      <c r="B1763"/>
      <c r="C1763"/>
      <c r="D1763"/>
      <c r="E1763"/>
      <c r="F1763"/>
      <c r="G1763"/>
    </row>
    <row r="1764" spans="1:7" x14ac:dyDescent="0.35">
      <c r="A1764"/>
      <c r="B1764"/>
      <c r="C1764"/>
      <c r="D1764"/>
      <c r="E1764"/>
      <c r="F1764"/>
      <c r="G1764"/>
    </row>
    <row r="1765" spans="1:7" x14ac:dyDescent="0.35">
      <c r="A1765"/>
      <c r="B1765"/>
      <c r="C1765"/>
      <c r="D1765"/>
      <c r="E1765"/>
      <c r="F1765"/>
      <c r="G1765"/>
    </row>
    <row r="1766" spans="1:7" x14ac:dyDescent="0.35">
      <c r="A1766"/>
      <c r="B1766"/>
      <c r="C1766"/>
      <c r="D1766"/>
      <c r="E1766"/>
      <c r="F1766"/>
      <c r="G1766"/>
    </row>
    <row r="1767" spans="1:7" x14ac:dyDescent="0.35">
      <c r="A1767"/>
      <c r="B1767"/>
      <c r="C1767"/>
      <c r="D1767"/>
      <c r="E1767"/>
      <c r="F1767"/>
      <c r="G1767"/>
    </row>
    <row r="1768" spans="1:7" x14ac:dyDescent="0.35">
      <c r="A1768"/>
      <c r="B1768"/>
      <c r="C1768"/>
      <c r="D1768"/>
      <c r="E1768"/>
      <c r="F1768"/>
      <c r="G1768"/>
    </row>
    <row r="1769" spans="1:7" x14ac:dyDescent="0.35">
      <c r="A1769"/>
      <c r="B1769"/>
      <c r="C1769"/>
      <c r="D1769"/>
      <c r="E1769"/>
      <c r="F1769"/>
      <c r="G1769"/>
    </row>
    <row r="1770" spans="1:7" x14ac:dyDescent="0.35">
      <c r="A1770"/>
      <c r="B1770"/>
      <c r="C1770"/>
      <c r="D1770"/>
      <c r="E1770"/>
      <c r="F1770"/>
      <c r="G1770"/>
    </row>
    <row r="1771" spans="1:7" x14ac:dyDescent="0.35">
      <c r="A1771"/>
      <c r="B1771"/>
      <c r="C1771"/>
      <c r="D1771"/>
      <c r="E1771"/>
      <c r="F1771"/>
      <c r="G1771"/>
    </row>
    <row r="1772" spans="1:7" x14ac:dyDescent="0.35">
      <c r="A1772"/>
      <c r="B1772"/>
      <c r="C1772"/>
      <c r="D1772"/>
      <c r="E1772"/>
      <c r="F1772"/>
      <c r="G1772"/>
    </row>
    <row r="1773" spans="1:7" x14ac:dyDescent="0.35">
      <c r="A1773"/>
      <c r="B1773"/>
      <c r="C1773"/>
      <c r="D1773"/>
      <c r="E1773"/>
      <c r="F1773"/>
      <c r="G1773"/>
    </row>
    <row r="1774" spans="1:7" x14ac:dyDescent="0.35">
      <c r="A1774"/>
      <c r="B1774"/>
      <c r="C1774"/>
      <c r="D1774"/>
      <c r="E1774"/>
      <c r="F1774"/>
      <c r="G1774"/>
    </row>
    <row r="1775" spans="1:7" x14ac:dyDescent="0.35">
      <c r="A1775"/>
      <c r="B1775"/>
      <c r="C1775"/>
      <c r="D1775"/>
      <c r="E1775"/>
      <c r="F1775"/>
      <c r="G1775"/>
    </row>
    <row r="1776" spans="1:7" x14ac:dyDescent="0.35">
      <c r="A1776"/>
      <c r="B1776"/>
      <c r="C1776"/>
      <c r="D1776"/>
      <c r="E1776"/>
      <c r="F1776"/>
      <c r="G1776"/>
    </row>
    <row r="1777" spans="1:7" x14ac:dyDescent="0.35">
      <c r="A1777"/>
      <c r="B1777"/>
      <c r="C1777"/>
      <c r="D1777"/>
      <c r="E1777"/>
      <c r="F1777"/>
      <c r="G1777"/>
    </row>
    <row r="1778" spans="1:7" x14ac:dyDescent="0.35">
      <c r="A1778"/>
      <c r="B1778"/>
      <c r="C1778"/>
      <c r="D1778"/>
      <c r="E1778"/>
      <c r="F1778"/>
      <c r="G1778"/>
    </row>
    <row r="1779" spans="1:7" x14ac:dyDescent="0.35">
      <c r="A1779"/>
      <c r="B1779"/>
      <c r="C1779"/>
      <c r="D1779"/>
      <c r="E1779"/>
      <c r="F1779"/>
      <c r="G1779"/>
    </row>
    <row r="1780" spans="1:7" x14ac:dyDescent="0.35">
      <c r="A1780"/>
      <c r="B1780"/>
      <c r="C1780"/>
      <c r="D1780"/>
      <c r="E1780"/>
      <c r="F1780"/>
      <c r="G1780"/>
    </row>
    <row r="1781" spans="1:7" x14ac:dyDescent="0.35">
      <c r="A1781"/>
      <c r="B1781"/>
      <c r="C1781"/>
      <c r="D1781"/>
      <c r="E1781"/>
      <c r="F1781"/>
      <c r="G1781"/>
    </row>
    <row r="1782" spans="1:7" x14ac:dyDescent="0.35">
      <c r="A1782"/>
      <c r="B1782"/>
      <c r="C1782"/>
      <c r="D1782"/>
      <c r="E1782"/>
      <c r="F1782"/>
      <c r="G1782"/>
    </row>
    <row r="1783" spans="1:7" x14ac:dyDescent="0.35">
      <c r="A1783"/>
      <c r="B1783"/>
      <c r="C1783"/>
      <c r="D1783"/>
      <c r="E1783"/>
      <c r="F1783"/>
      <c r="G1783"/>
    </row>
    <row r="1784" spans="1:7" x14ac:dyDescent="0.35">
      <c r="A1784"/>
      <c r="B1784"/>
      <c r="C1784"/>
      <c r="D1784"/>
      <c r="E1784"/>
      <c r="F1784"/>
      <c r="G1784"/>
    </row>
    <row r="1785" spans="1:7" x14ac:dyDescent="0.35">
      <c r="A1785"/>
      <c r="B1785"/>
      <c r="C1785"/>
      <c r="D1785"/>
      <c r="E1785"/>
      <c r="F1785"/>
      <c r="G1785"/>
    </row>
    <row r="1786" spans="1:7" x14ac:dyDescent="0.35">
      <c r="A1786"/>
      <c r="B1786"/>
      <c r="C1786"/>
      <c r="D1786"/>
      <c r="E1786"/>
      <c r="F1786"/>
      <c r="G1786"/>
    </row>
    <row r="1787" spans="1:7" x14ac:dyDescent="0.35">
      <c r="A1787"/>
      <c r="B1787"/>
      <c r="C1787"/>
      <c r="D1787"/>
      <c r="E1787"/>
      <c r="F1787"/>
      <c r="G1787"/>
    </row>
    <row r="1788" spans="1:7" x14ac:dyDescent="0.35">
      <c r="A1788"/>
      <c r="B1788"/>
      <c r="C1788"/>
      <c r="D1788"/>
      <c r="E1788"/>
      <c r="F1788"/>
      <c r="G1788"/>
    </row>
    <row r="1789" spans="1:7" x14ac:dyDescent="0.35">
      <c r="A1789"/>
      <c r="B1789"/>
      <c r="C1789"/>
      <c r="D1789"/>
      <c r="E1789"/>
      <c r="F1789"/>
      <c r="G1789"/>
    </row>
    <row r="1790" spans="1:7" x14ac:dyDescent="0.35">
      <c r="A1790"/>
      <c r="B1790"/>
      <c r="C1790"/>
      <c r="D1790"/>
      <c r="E1790"/>
      <c r="F1790"/>
      <c r="G1790"/>
    </row>
    <row r="1791" spans="1:7" x14ac:dyDescent="0.35">
      <c r="A1791"/>
      <c r="B1791"/>
      <c r="C1791"/>
      <c r="D1791"/>
      <c r="E1791"/>
      <c r="F1791"/>
      <c r="G1791"/>
    </row>
    <row r="1792" spans="1:7" x14ac:dyDescent="0.35">
      <c r="A1792"/>
      <c r="B1792"/>
      <c r="C1792"/>
      <c r="D1792"/>
      <c r="E1792"/>
      <c r="F1792"/>
      <c r="G1792"/>
    </row>
    <row r="1793" spans="1:7" x14ac:dyDescent="0.35">
      <c r="A1793"/>
      <c r="B1793"/>
      <c r="C1793"/>
      <c r="D1793"/>
      <c r="E1793"/>
      <c r="F1793"/>
      <c r="G1793"/>
    </row>
    <row r="1794" spans="1:7" x14ac:dyDescent="0.35">
      <c r="A1794"/>
      <c r="B1794"/>
      <c r="C1794"/>
      <c r="D1794"/>
      <c r="E1794"/>
      <c r="F1794"/>
      <c r="G1794"/>
    </row>
    <row r="1795" spans="1:7" x14ac:dyDescent="0.35">
      <c r="A1795"/>
      <c r="B1795"/>
      <c r="C1795"/>
      <c r="D1795"/>
      <c r="E1795"/>
      <c r="F1795"/>
      <c r="G1795"/>
    </row>
    <row r="1796" spans="1:7" x14ac:dyDescent="0.35">
      <c r="A1796"/>
      <c r="B1796"/>
      <c r="C1796"/>
      <c r="D1796"/>
      <c r="E1796"/>
      <c r="F1796"/>
      <c r="G1796"/>
    </row>
    <row r="1797" spans="1:7" x14ac:dyDescent="0.35">
      <c r="A1797"/>
      <c r="B1797"/>
      <c r="C1797"/>
      <c r="D1797"/>
      <c r="E1797"/>
      <c r="F1797"/>
      <c r="G1797"/>
    </row>
    <row r="1798" spans="1:7" x14ac:dyDescent="0.35">
      <c r="A1798"/>
      <c r="B1798"/>
      <c r="C1798"/>
      <c r="D1798"/>
      <c r="E1798"/>
      <c r="F1798"/>
      <c r="G1798"/>
    </row>
    <row r="1799" spans="1:7" x14ac:dyDescent="0.35">
      <c r="A1799"/>
      <c r="B1799"/>
      <c r="C1799"/>
      <c r="D1799"/>
      <c r="E1799"/>
      <c r="F1799"/>
      <c r="G1799"/>
    </row>
    <row r="1800" spans="1:7" x14ac:dyDescent="0.35">
      <c r="A1800"/>
      <c r="B1800"/>
      <c r="C1800"/>
      <c r="D1800"/>
      <c r="E1800"/>
      <c r="F1800"/>
      <c r="G1800"/>
    </row>
    <row r="1801" spans="1:7" x14ac:dyDescent="0.35">
      <c r="A1801"/>
      <c r="B1801"/>
      <c r="C1801"/>
      <c r="D1801"/>
      <c r="E1801"/>
      <c r="F1801"/>
      <c r="G1801"/>
    </row>
    <row r="1802" spans="1:7" x14ac:dyDescent="0.35">
      <c r="A1802"/>
      <c r="B1802"/>
      <c r="C1802"/>
      <c r="D1802"/>
      <c r="E1802"/>
      <c r="F1802"/>
      <c r="G1802"/>
    </row>
    <row r="1803" spans="1:7" x14ac:dyDescent="0.35">
      <c r="A1803"/>
      <c r="B1803"/>
      <c r="C1803"/>
      <c r="D1803"/>
      <c r="E1803"/>
      <c r="F1803"/>
      <c r="G1803"/>
    </row>
    <row r="1804" spans="1:7" x14ac:dyDescent="0.35">
      <c r="A1804"/>
      <c r="B1804"/>
      <c r="C1804"/>
      <c r="D1804"/>
      <c r="E1804"/>
      <c r="F1804"/>
      <c r="G1804"/>
    </row>
    <row r="1805" spans="1:7" x14ac:dyDescent="0.35">
      <c r="A1805"/>
      <c r="B1805"/>
      <c r="C1805"/>
      <c r="D1805"/>
      <c r="E1805"/>
      <c r="F1805"/>
      <c r="G1805"/>
    </row>
    <row r="1806" spans="1:7" x14ac:dyDescent="0.35">
      <c r="A1806"/>
      <c r="B1806"/>
      <c r="C1806"/>
      <c r="D1806"/>
      <c r="E1806"/>
      <c r="F1806"/>
      <c r="G1806"/>
    </row>
    <row r="1807" spans="1:7" x14ac:dyDescent="0.35">
      <c r="A1807"/>
      <c r="B1807"/>
      <c r="C1807"/>
      <c r="D1807"/>
      <c r="E1807"/>
      <c r="F1807"/>
      <c r="G1807"/>
    </row>
    <row r="1808" spans="1:7" x14ac:dyDescent="0.35">
      <c r="A1808"/>
      <c r="B1808"/>
      <c r="C1808"/>
      <c r="D1808"/>
      <c r="E1808"/>
      <c r="F1808"/>
      <c r="G1808"/>
    </row>
    <row r="1809" spans="1:7" x14ac:dyDescent="0.35">
      <c r="A1809"/>
      <c r="B1809"/>
      <c r="C1809"/>
      <c r="D1809"/>
      <c r="E1809"/>
      <c r="F1809"/>
      <c r="G1809"/>
    </row>
    <row r="1810" spans="1:7" x14ac:dyDescent="0.35">
      <c r="A1810"/>
      <c r="B1810"/>
      <c r="C1810"/>
      <c r="D1810"/>
      <c r="E1810"/>
      <c r="F1810"/>
      <c r="G1810"/>
    </row>
    <row r="1811" spans="1:7" x14ac:dyDescent="0.35">
      <c r="A1811"/>
      <c r="B1811"/>
      <c r="C1811"/>
      <c r="D1811"/>
      <c r="E1811"/>
      <c r="F1811"/>
      <c r="G1811"/>
    </row>
    <row r="1812" spans="1:7" x14ac:dyDescent="0.35">
      <c r="A1812"/>
      <c r="B1812"/>
      <c r="C1812"/>
      <c r="D1812"/>
      <c r="E1812"/>
      <c r="F1812"/>
      <c r="G1812"/>
    </row>
    <row r="1813" spans="1:7" x14ac:dyDescent="0.35">
      <c r="A1813"/>
      <c r="B1813"/>
      <c r="C1813"/>
      <c r="D1813"/>
      <c r="E1813"/>
      <c r="F1813"/>
      <c r="G1813"/>
    </row>
    <row r="1814" spans="1:7" x14ac:dyDescent="0.35">
      <c r="A1814"/>
      <c r="B1814"/>
      <c r="C1814"/>
      <c r="D1814"/>
      <c r="E1814"/>
      <c r="F1814"/>
      <c r="G1814"/>
    </row>
    <row r="1815" spans="1:7" x14ac:dyDescent="0.35">
      <c r="A1815"/>
      <c r="B1815"/>
      <c r="C1815"/>
      <c r="D1815"/>
      <c r="E1815"/>
      <c r="F1815"/>
      <c r="G1815"/>
    </row>
    <row r="1816" spans="1:7" x14ac:dyDescent="0.35">
      <c r="A1816"/>
      <c r="B1816"/>
      <c r="C1816"/>
      <c r="D1816"/>
      <c r="E1816"/>
      <c r="F1816"/>
      <c r="G1816"/>
    </row>
    <row r="1817" spans="1:7" x14ac:dyDescent="0.35">
      <c r="A1817"/>
      <c r="B1817"/>
      <c r="C1817"/>
      <c r="D1817"/>
      <c r="E1817"/>
      <c r="F1817"/>
      <c r="G1817"/>
    </row>
    <row r="1818" spans="1:7" x14ac:dyDescent="0.35">
      <c r="A1818"/>
      <c r="B1818"/>
      <c r="C1818"/>
      <c r="D1818"/>
      <c r="E1818"/>
      <c r="F1818"/>
      <c r="G1818"/>
    </row>
    <row r="1819" spans="1:7" x14ac:dyDescent="0.35">
      <c r="A1819"/>
      <c r="B1819"/>
      <c r="C1819"/>
      <c r="D1819"/>
      <c r="E1819"/>
      <c r="F1819"/>
      <c r="G1819"/>
    </row>
    <row r="1820" spans="1:7" x14ac:dyDescent="0.35">
      <c r="A1820"/>
      <c r="B1820"/>
      <c r="C1820"/>
      <c r="D1820"/>
      <c r="E1820"/>
      <c r="F1820"/>
      <c r="G1820"/>
    </row>
    <row r="1821" spans="1:7" x14ac:dyDescent="0.35">
      <c r="A1821"/>
      <c r="B1821"/>
      <c r="C1821"/>
      <c r="D1821"/>
      <c r="E1821"/>
      <c r="F1821"/>
      <c r="G1821"/>
    </row>
    <row r="1822" spans="1:7" x14ac:dyDescent="0.35">
      <c r="A1822"/>
      <c r="B1822"/>
      <c r="C1822"/>
      <c r="D1822"/>
      <c r="E1822"/>
      <c r="F1822"/>
      <c r="G1822"/>
    </row>
    <row r="1823" spans="1:7" x14ac:dyDescent="0.35">
      <c r="A1823"/>
      <c r="B1823"/>
      <c r="C1823"/>
      <c r="D1823"/>
      <c r="E1823"/>
      <c r="F1823"/>
      <c r="G1823"/>
    </row>
    <row r="1824" spans="1:7" x14ac:dyDescent="0.35">
      <c r="A1824"/>
      <c r="B1824"/>
      <c r="C1824"/>
      <c r="D1824"/>
      <c r="E1824"/>
      <c r="F1824"/>
      <c r="G1824"/>
    </row>
    <row r="1825" spans="1:7" x14ac:dyDescent="0.35">
      <c r="A1825"/>
      <c r="B1825"/>
      <c r="C1825"/>
      <c r="D1825"/>
      <c r="E1825"/>
      <c r="F1825"/>
      <c r="G1825"/>
    </row>
    <row r="1826" spans="1:7" x14ac:dyDescent="0.35">
      <c r="A1826"/>
      <c r="B1826"/>
      <c r="C1826"/>
      <c r="D1826"/>
      <c r="E1826"/>
      <c r="F1826"/>
      <c r="G1826"/>
    </row>
    <row r="1827" spans="1:7" x14ac:dyDescent="0.35">
      <c r="A1827"/>
      <c r="B1827"/>
      <c r="C1827"/>
      <c r="D1827"/>
      <c r="E1827"/>
      <c r="F1827"/>
      <c r="G1827"/>
    </row>
    <row r="1828" spans="1:7" x14ac:dyDescent="0.35">
      <c r="A1828"/>
      <c r="B1828"/>
      <c r="C1828"/>
      <c r="D1828"/>
      <c r="E1828"/>
      <c r="F1828"/>
      <c r="G1828"/>
    </row>
    <row r="1829" spans="1:7" x14ac:dyDescent="0.35">
      <c r="A1829"/>
      <c r="B1829"/>
      <c r="C1829"/>
      <c r="D1829"/>
      <c r="E1829"/>
      <c r="F1829"/>
      <c r="G1829"/>
    </row>
    <row r="1830" spans="1:7" x14ac:dyDescent="0.35">
      <c r="A1830"/>
      <c r="B1830"/>
      <c r="C1830"/>
      <c r="D1830"/>
      <c r="E1830"/>
      <c r="F1830"/>
      <c r="G1830"/>
    </row>
    <row r="1831" spans="1:7" x14ac:dyDescent="0.35">
      <c r="A1831"/>
      <c r="B1831"/>
      <c r="C1831"/>
      <c r="D1831"/>
      <c r="E1831"/>
      <c r="F1831"/>
      <c r="G1831"/>
    </row>
    <row r="1832" spans="1:7" x14ac:dyDescent="0.35">
      <c r="A1832"/>
      <c r="B1832"/>
      <c r="C1832"/>
      <c r="D1832"/>
      <c r="E1832"/>
      <c r="F1832"/>
      <c r="G1832"/>
    </row>
    <row r="1833" spans="1:7" x14ac:dyDescent="0.35">
      <c r="A1833"/>
      <c r="B1833"/>
      <c r="C1833"/>
      <c r="D1833"/>
      <c r="E1833"/>
      <c r="F1833"/>
      <c r="G1833"/>
    </row>
    <row r="1834" spans="1:7" x14ac:dyDescent="0.35">
      <c r="A1834"/>
      <c r="B1834"/>
      <c r="C1834"/>
      <c r="D1834"/>
      <c r="E1834"/>
      <c r="F1834"/>
      <c r="G1834"/>
    </row>
    <row r="1835" spans="1:7" x14ac:dyDescent="0.35">
      <c r="A1835"/>
      <c r="B1835"/>
      <c r="C1835"/>
      <c r="D1835"/>
      <c r="E1835"/>
      <c r="F1835"/>
      <c r="G1835"/>
    </row>
    <row r="1836" spans="1:7" x14ac:dyDescent="0.35">
      <c r="A1836"/>
      <c r="B1836"/>
      <c r="C1836"/>
      <c r="D1836"/>
      <c r="E1836"/>
      <c r="F1836"/>
      <c r="G1836"/>
    </row>
    <row r="1837" spans="1:7" x14ac:dyDescent="0.35">
      <c r="A1837"/>
      <c r="B1837"/>
      <c r="C1837"/>
      <c r="D1837"/>
      <c r="E1837"/>
      <c r="F1837"/>
      <c r="G1837"/>
    </row>
    <row r="1838" spans="1:7" x14ac:dyDescent="0.35">
      <c r="A1838"/>
      <c r="B1838"/>
      <c r="C1838"/>
      <c r="D1838"/>
      <c r="E1838"/>
      <c r="F1838"/>
      <c r="G1838"/>
    </row>
    <row r="1839" spans="1:7" x14ac:dyDescent="0.35">
      <c r="A1839"/>
      <c r="B1839"/>
      <c r="C1839"/>
      <c r="D1839"/>
      <c r="E1839"/>
      <c r="F1839"/>
      <c r="G1839"/>
    </row>
    <row r="1840" spans="1:7" x14ac:dyDescent="0.35">
      <c r="A1840"/>
      <c r="B1840"/>
      <c r="C1840"/>
      <c r="D1840"/>
      <c r="E1840"/>
      <c r="F1840"/>
      <c r="G1840"/>
    </row>
    <row r="1841" spans="1:7" x14ac:dyDescent="0.35">
      <c r="A1841"/>
      <c r="B1841"/>
      <c r="C1841"/>
      <c r="D1841"/>
      <c r="E1841"/>
      <c r="F1841"/>
      <c r="G1841"/>
    </row>
    <row r="1842" spans="1:7" x14ac:dyDescent="0.35">
      <c r="A1842"/>
      <c r="B1842"/>
      <c r="C1842"/>
      <c r="D1842"/>
      <c r="E1842"/>
      <c r="F1842"/>
      <c r="G1842"/>
    </row>
    <row r="1843" spans="1:7" x14ac:dyDescent="0.35">
      <c r="A1843"/>
      <c r="B1843"/>
      <c r="C1843"/>
      <c r="D1843"/>
      <c r="E1843"/>
      <c r="F1843"/>
      <c r="G1843"/>
    </row>
    <row r="1844" spans="1:7" x14ac:dyDescent="0.35">
      <c r="A1844"/>
      <c r="B1844"/>
      <c r="C1844"/>
      <c r="D1844"/>
      <c r="E1844"/>
      <c r="F1844"/>
      <c r="G1844"/>
    </row>
    <row r="1845" spans="1:7" x14ac:dyDescent="0.35">
      <c r="A1845"/>
      <c r="B1845"/>
      <c r="C1845"/>
      <c r="D1845"/>
      <c r="E1845"/>
      <c r="F1845"/>
      <c r="G1845"/>
    </row>
    <row r="1846" spans="1:7" x14ac:dyDescent="0.35">
      <c r="A1846"/>
      <c r="B1846"/>
      <c r="C1846"/>
      <c r="D1846"/>
      <c r="E1846"/>
      <c r="F1846"/>
      <c r="G1846"/>
    </row>
    <row r="1847" spans="1:7" x14ac:dyDescent="0.35">
      <c r="A1847"/>
      <c r="B1847"/>
      <c r="C1847"/>
      <c r="D1847"/>
      <c r="E1847"/>
      <c r="F1847"/>
      <c r="G1847"/>
    </row>
    <row r="1848" spans="1:7" x14ac:dyDescent="0.35">
      <c r="A1848"/>
      <c r="B1848"/>
      <c r="C1848"/>
      <c r="D1848"/>
      <c r="E1848"/>
      <c r="F1848"/>
      <c r="G1848"/>
    </row>
    <row r="1849" spans="1:7" x14ac:dyDescent="0.35">
      <c r="A1849"/>
      <c r="B1849"/>
      <c r="C1849"/>
      <c r="D1849"/>
      <c r="E1849"/>
      <c r="F1849"/>
      <c r="G1849"/>
    </row>
    <row r="1850" spans="1:7" x14ac:dyDescent="0.35">
      <c r="A1850"/>
      <c r="B1850"/>
      <c r="C1850"/>
      <c r="D1850"/>
      <c r="E1850"/>
      <c r="F1850"/>
      <c r="G1850"/>
    </row>
    <row r="1851" spans="1:7" x14ac:dyDescent="0.35">
      <c r="A1851"/>
      <c r="B1851"/>
      <c r="C1851"/>
      <c r="D1851"/>
      <c r="E1851"/>
      <c r="F1851"/>
      <c r="G1851"/>
    </row>
    <row r="1852" spans="1:7" x14ac:dyDescent="0.35">
      <c r="A1852"/>
      <c r="B1852"/>
      <c r="C1852"/>
      <c r="D1852"/>
      <c r="E1852"/>
      <c r="F1852"/>
      <c r="G1852"/>
    </row>
    <row r="1853" spans="1:7" x14ac:dyDescent="0.35">
      <c r="A1853"/>
      <c r="B1853"/>
      <c r="C1853"/>
      <c r="D1853"/>
      <c r="E1853"/>
      <c r="F1853"/>
      <c r="G1853"/>
    </row>
    <row r="1854" spans="1:7" x14ac:dyDescent="0.35">
      <c r="A1854"/>
      <c r="B1854"/>
      <c r="C1854"/>
      <c r="D1854"/>
      <c r="E1854"/>
      <c r="F1854"/>
      <c r="G1854"/>
    </row>
    <row r="1855" spans="1:7" x14ac:dyDescent="0.35">
      <c r="A1855"/>
      <c r="B1855"/>
      <c r="C1855"/>
      <c r="D1855"/>
      <c r="E1855"/>
      <c r="F1855"/>
      <c r="G1855"/>
    </row>
    <row r="1856" spans="1:7" x14ac:dyDescent="0.35">
      <c r="A1856"/>
      <c r="B1856"/>
      <c r="C1856"/>
      <c r="D1856"/>
      <c r="E1856"/>
      <c r="F1856"/>
      <c r="G1856"/>
    </row>
    <row r="1857" spans="1:7" x14ac:dyDescent="0.35">
      <c r="A1857"/>
      <c r="B1857"/>
      <c r="C1857"/>
      <c r="D1857"/>
      <c r="E1857"/>
      <c r="F1857"/>
      <c r="G1857"/>
    </row>
    <row r="1858" spans="1:7" x14ac:dyDescent="0.35">
      <c r="A1858"/>
      <c r="B1858"/>
      <c r="C1858"/>
      <c r="D1858"/>
      <c r="E1858"/>
      <c r="F1858"/>
      <c r="G1858"/>
    </row>
    <row r="1859" spans="1:7" x14ac:dyDescent="0.35">
      <c r="A1859"/>
      <c r="B1859"/>
      <c r="C1859"/>
      <c r="D1859"/>
      <c r="E1859"/>
      <c r="F1859"/>
      <c r="G1859"/>
    </row>
    <row r="1860" spans="1:7" x14ac:dyDescent="0.35">
      <c r="A1860"/>
      <c r="B1860"/>
      <c r="C1860"/>
      <c r="D1860"/>
      <c r="E1860"/>
      <c r="F1860"/>
      <c r="G1860"/>
    </row>
    <row r="1861" spans="1:7" x14ac:dyDescent="0.35">
      <c r="A1861"/>
      <c r="B1861"/>
      <c r="C1861"/>
      <c r="D1861"/>
      <c r="E1861"/>
      <c r="F1861"/>
      <c r="G1861"/>
    </row>
    <row r="1862" spans="1:7" x14ac:dyDescent="0.35">
      <c r="A1862"/>
      <c r="B1862"/>
      <c r="C1862"/>
      <c r="D1862"/>
      <c r="E1862"/>
      <c r="F1862"/>
      <c r="G1862"/>
    </row>
    <row r="1863" spans="1:7" x14ac:dyDescent="0.35">
      <c r="A1863"/>
      <c r="B1863"/>
      <c r="C1863"/>
      <c r="D1863"/>
      <c r="E1863"/>
      <c r="F1863"/>
      <c r="G1863"/>
    </row>
    <row r="1864" spans="1:7" x14ac:dyDescent="0.35">
      <c r="A1864"/>
      <c r="B1864"/>
      <c r="C1864"/>
      <c r="D1864"/>
      <c r="E1864"/>
      <c r="F1864"/>
      <c r="G1864"/>
    </row>
    <row r="1865" spans="1:7" x14ac:dyDescent="0.35">
      <c r="A1865"/>
      <c r="B1865"/>
      <c r="C1865"/>
      <c r="D1865"/>
      <c r="E1865"/>
      <c r="F1865"/>
      <c r="G1865"/>
    </row>
    <row r="1866" spans="1:7" x14ac:dyDescent="0.35">
      <c r="A1866"/>
      <c r="B1866"/>
      <c r="C1866"/>
      <c r="D1866"/>
      <c r="E1866"/>
      <c r="F1866"/>
      <c r="G1866"/>
    </row>
    <row r="1867" spans="1:7" x14ac:dyDescent="0.35">
      <c r="A1867"/>
      <c r="B1867"/>
      <c r="C1867"/>
      <c r="D1867"/>
      <c r="E1867"/>
      <c r="F1867"/>
      <c r="G1867"/>
    </row>
    <row r="1868" spans="1:7" x14ac:dyDescent="0.35">
      <c r="A1868"/>
      <c r="B1868"/>
      <c r="C1868"/>
      <c r="D1868"/>
      <c r="E1868"/>
      <c r="F1868"/>
      <c r="G1868"/>
    </row>
    <row r="1869" spans="1:7" x14ac:dyDescent="0.35">
      <c r="A1869"/>
      <c r="B1869"/>
      <c r="C1869"/>
      <c r="D1869"/>
      <c r="E1869"/>
      <c r="F1869"/>
      <c r="G1869"/>
    </row>
    <row r="1870" spans="1:7" x14ac:dyDescent="0.35">
      <c r="A1870"/>
      <c r="B1870"/>
      <c r="C1870"/>
      <c r="D1870"/>
      <c r="E1870"/>
      <c r="F1870"/>
      <c r="G1870"/>
    </row>
    <row r="1871" spans="1:7" x14ac:dyDescent="0.35">
      <c r="A1871"/>
      <c r="B1871"/>
      <c r="C1871"/>
      <c r="D1871"/>
      <c r="E1871"/>
      <c r="F1871"/>
      <c r="G1871"/>
    </row>
    <row r="1872" spans="1:7" x14ac:dyDescent="0.35">
      <c r="A1872"/>
      <c r="B1872"/>
      <c r="C1872"/>
      <c r="D1872"/>
      <c r="E1872"/>
      <c r="F1872"/>
      <c r="G1872"/>
    </row>
    <row r="1873" spans="1:7" x14ac:dyDescent="0.35">
      <c r="A1873"/>
      <c r="B1873"/>
      <c r="C1873"/>
      <c r="D1873"/>
      <c r="E1873"/>
      <c r="F1873"/>
      <c r="G1873"/>
    </row>
    <row r="1874" spans="1:7" x14ac:dyDescent="0.35">
      <c r="A1874"/>
      <c r="B1874"/>
      <c r="C1874"/>
      <c r="D1874"/>
      <c r="E1874"/>
      <c r="F1874"/>
      <c r="G1874"/>
    </row>
    <row r="1875" spans="1:7" x14ac:dyDescent="0.35">
      <c r="A1875"/>
      <c r="B1875"/>
      <c r="C1875"/>
      <c r="D1875"/>
      <c r="E1875"/>
      <c r="F1875"/>
      <c r="G1875"/>
    </row>
    <row r="1876" spans="1:7" x14ac:dyDescent="0.35">
      <c r="A1876"/>
      <c r="B1876"/>
      <c r="C1876"/>
      <c r="D1876"/>
      <c r="E1876"/>
      <c r="F1876"/>
      <c r="G1876"/>
    </row>
    <row r="1877" spans="1:7" x14ac:dyDescent="0.35">
      <c r="A1877"/>
      <c r="B1877"/>
      <c r="C1877"/>
      <c r="D1877"/>
      <c r="E1877"/>
      <c r="F1877"/>
      <c r="G1877"/>
    </row>
    <row r="1878" spans="1:7" x14ac:dyDescent="0.35">
      <c r="A1878"/>
      <c r="B1878"/>
      <c r="C1878"/>
      <c r="D1878"/>
      <c r="E1878"/>
      <c r="F1878"/>
      <c r="G1878"/>
    </row>
    <row r="1879" spans="1:7" x14ac:dyDescent="0.35">
      <c r="A1879"/>
      <c r="B1879"/>
      <c r="C1879"/>
      <c r="D1879"/>
      <c r="E1879"/>
      <c r="F1879"/>
      <c r="G1879"/>
    </row>
    <row r="1880" spans="1:7" x14ac:dyDescent="0.35">
      <c r="A1880"/>
      <c r="B1880"/>
      <c r="C1880"/>
      <c r="D1880"/>
      <c r="E1880"/>
      <c r="F1880"/>
      <c r="G1880"/>
    </row>
    <row r="1881" spans="1:7" x14ac:dyDescent="0.35">
      <c r="A1881"/>
      <c r="B1881"/>
      <c r="C1881"/>
      <c r="D1881"/>
      <c r="E1881"/>
      <c r="F1881"/>
      <c r="G1881"/>
    </row>
    <row r="1882" spans="1:7" x14ac:dyDescent="0.35">
      <c r="A1882"/>
      <c r="B1882"/>
      <c r="C1882"/>
      <c r="D1882"/>
      <c r="E1882"/>
      <c r="F1882"/>
      <c r="G1882"/>
    </row>
    <row r="1883" spans="1:7" x14ac:dyDescent="0.35">
      <c r="A1883"/>
      <c r="B1883"/>
      <c r="C1883"/>
      <c r="D1883"/>
      <c r="E1883"/>
      <c r="F1883"/>
      <c r="G1883"/>
    </row>
    <row r="1884" spans="1:7" x14ac:dyDescent="0.35">
      <c r="A1884"/>
      <c r="B1884"/>
      <c r="C1884"/>
      <c r="D1884"/>
      <c r="E1884"/>
      <c r="F1884"/>
      <c r="G1884"/>
    </row>
    <row r="1885" spans="1:7" x14ac:dyDescent="0.35">
      <c r="A1885"/>
      <c r="B1885"/>
      <c r="C1885"/>
      <c r="D1885"/>
      <c r="E1885"/>
      <c r="F1885"/>
      <c r="G1885"/>
    </row>
    <row r="1886" spans="1:7" x14ac:dyDescent="0.35">
      <c r="A1886"/>
      <c r="B1886"/>
      <c r="C1886"/>
      <c r="D1886"/>
      <c r="E1886"/>
      <c r="F1886"/>
      <c r="G1886"/>
    </row>
    <row r="1887" spans="1:7" x14ac:dyDescent="0.35">
      <c r="A1887"/>
      <c r="B1887"/>
      <c r="C1887"/>
      <c r="D1887"/>
      <c r="E1887"/>
      <c r="F1887"/>
      <c r="G1887"/>
    </row>
    <row r="1888" spans="1:7" x14ac:dyDescent="0.35">
      <c r="A1888"/>
      <c r="B1888"/>
      <c r="C1888"/>
      <c r="D1888"/>
      <c r="E1888"/>
      <c r="F1888"/>
      <c r="G1888"/>
    </row>
    <row r="1889" spans="1:7" x14ac:dyDescent="0.35">
      <c r="A1889"/>
      <c r="B1889"/>
      <c r="C1889"/>
      <c r="D1889"/>
      <c r="E1889"/>
      <c r="F1889"/>
      <c r="G1889"/>
    </row>
    <row r="1890" spans="1:7" x14ac:dyDescent="0.35">
      <c r="A1890"/>
      <c r="B1890"/>
      <c r="C1890"/>
      <c r="D1890"/>
      <c r="E1890"/>
      <c r="F1890"/>
      <c r="G1890"/>
    </row>
    <row r="1891" spans="1:7" x14ac:dyDescent="0.35">
      <c r="A1891"/>
      <c r="B1891"/>
      <c r="C1891"/>
      <c r="D1891"/>
      <c r="E1891"/>
      <c r="F1891"/>
      <c r="G1891"/>
    </row>
    <row r="1892" spans="1:7" x14ac:dyDescent="0.35">
      <c r="A1892"/>
      <c r="B1892"/>
      <c r="C1892"/>
      <c r="D1892"/>
      <c r="E1892"/>
      <c r="F1892"/>
      <c r="G1892"/>
    </row>
    <row r="1893" spans="1:7" x14ac:dyDescent="0.35">
      <c r="A1893"/>
      <c r="B1893"/>
      <c r="C1893"/>
      <c r="D1893"/>
      <c r="E1893"/>
      <c r="F1893"/>
      <c r="G1893"/>
    </row>
    <row r="1894" spans="1:7" x14ac:dyDescent="0.35">
      <c r="A1894"/>
      <c r="B1894"/>
      <c r="C1894"/>
      <c r="D1894"/>
      <c r="E1894"/>
      <c r="F1894"/>
      <c r="G1894"/>
    </row>
    <row r="1895" spans="1:7" x14ac:dyDescent="0.35">
      <c r="A1895"/>
      <c r="B1895"/>
      <c r="C1895"/>
      <c r="D1895"/>
      <c r="E1895"/>
      <c r="F1895"/>
      <c r="G1895"/>
    </row>
    <row r="1896" spans="1:7" x14ac:dyDescent="0.35">
      <c r="A1896"/>
      <c r="B1896"/>
      <c r="C1896"/>
      <c r="D1896"/>
      <c r="E1896"/>
      <c r="F1896"/>
      <c r="G1896"/>
    </row>
    <row r="1897" spans="1:7" x14ac:dyDescent="0.35">
      <c r="A1897"/>
      <c r="B1897"/>
      <c r="C1897"/>
      <c r="D1897"/>
      <c r="E1897"/>
      <c r="F1897"/>
      <c r="G1897"/>
    </row>
    <row r="1898" spans="1:7" x14ac:dyDescent="0.35">
      <c r="A1898"/>
      <c r="B1898"/>
      <c r="C1898"/>
      <c r="D1898"/>
      <c r="E1898"/>
      <c r="F1898"/>
      <c r="G1898"/>
    </row>
    <row r="1899" spans="1:7" x14ac:dyDescent="0.35">
      <c r="A1899"/>
      <c r="B1899"/>
      <c r="C1899"/>
      <c r="D1899"/>
      <c r="E1899"/>
      <c r="F1899"/>
      <c r="G1899"/>
    </row>
    <row r="1900" spans="1:7" x14ac:dyDescent="0.35">
      <c r="A1900"/>
      <c r="B1900"/>
      <c r="C1900"/>
      <c r="D1900"/>
      <c r="E1900"/>
      <c r="F1900"/>
      <c r="G1900"/>
    </row>
    <row r="1901" spans="1:7" x14ac:dyDescent="0.35">
      <c r="A1901"/>
      <c r="B1901"/>
      <c r="C1901"/>
      <c r="D1901"/>
      <c r="E1901"/>
      <c r="F1901"/>
      <c r="G1901"/>
    </row>
    <row r="1902" spans="1:7" x14ac:dyDescent="0.35">
      <c r="A1902"/>
      <c r="B1902"/>
      <c r="C1902"/>
      <c r="D1902"/>
      <c r="E1902"/>
      <c r="F1902"/>
      <c r="G1902"/>
    </row>
    <row r="1903" spans="1:7" x14ac:dyDescent="0.35">
      <c r="A1903"/>
      <c r="B1903"/>
      <c r="C1903"/>
      <c r="D1903"/>
      <c r="E1903"/>
      <c r="F1903"/>
      <c r="G1903"/>
    </row>
    <row r="1904" spans="1:7" x14ac:dyDescent="0.35">
      <c r="A1904"/>
      <c r="B1904"/>
      <c r="C1904"/>
      <c r="D1904"/>
      <c r="E1904"/>
      <c r="F1904"/>
      <c r="G1904"/>
    </row>
    <row r="1905" spans="1:7" x14ac:dyDescent="0.35">
      <c r="A1905"/>
      <c r="B1905"/>
      <c r="C1905"/>
      <c r="D1905"/>
      <c r="E1905"/>
      <c r="F1905"/>
      <c r="G1905"/>
    </row>
    <row r="1906" spans="1:7" x14ac:dyDescent="0.35">
      <c r="A1906"/>
      <c r="B1906"/>
      <c r="C1906"/>
      <c r="D1906"/>
      <c r="E1906"/>
      <c r="F1906"/>
      <c r="G1906"/>
    </row>
    <row r="1907" spans="1:7" x14ac:dyDescent="0.35">
      <c r="A1907"/>
      <c r="B1907"/>
      <c r="C1907"/>
      <c r="D1907"/>
      <c r="E1907"/>
      <c r="F1907"/>
      <c r="G1907"/>
    </row>
    <row r="1908" spans="1:7" x14ac:dyDescent="0.35">
      <c r="A1908"/>
      <c r="B1908"/>
      <c r="C1908"/>
      <c r="D1908"/>
      <c r="E1908"/>
      <c r="F1908"/>
      <c r="G1908"/>
    </row>
    <row r="1909" spans="1:7" x14ac:dyDescent="0.35">
      <c r="A1909"/>
      <c r="B1909"/>
      <c r="C1909"/>
      <c r="D1909"/>
      <c r="E1909"/>
      <c r="F1909"/>
      <c r="G1909"/>
    </row>
    <row r="1910" spans="1:7" x14ac:dyDescent="0.35">
      <c r="A1910"/>
      <c r="B1910"/>
      <c r="C1910"/>
      <c r="D1910"/>
      <c r="E1910"/>
      <c r="F1910"/>
      <c r="G1910"/>
    </row>
    <row r="1911" spans="1:7" x14ac:dyDescent="0.35">
      <c r="A1911"/>
      <c r="B1911"/>
      <c r="C1911"/>
      <c r="D1911"/>
      <c r="E1911"/>
      <c r="F1911"/>
      <c r="G1911"/>
    </row>
    <row r="1912" spans="1:7" x14ac:dyDescent="0.35">
      <c r="A1912"/>
      <c r="B1912"/>
      <c r="C1912"/>
      <c r="D1912"/>
      <c r="E1912"/>
      <c r="F1912"/>
      <c r="G1912"/>
    </row>
    <row r="1913" spans="1:7" x14ac:dyDescent="0.35">
      <c r="A1913"/>
      <c r="B1913"/>
      <c r="C1913"/>
      <c r="D1913"/>
      <c r="E1913"/>
      <c r="F1913"/>
      <c r="G1913"/>
    </row>
    <row r="1914" spans="1:7" x14ac:dyDescent="0.35">
      <c r="A1914"/>
      <c r="B1914"/>
      <c r="C1914"/>
      <c r="D1914"/>
      <c r="E1914"/>
      <c r="F1914"/>
      <c r="G1914"/>
    </row>
    <row r="1915" spans="1:7" x14ac:dyDescent="0.35">
      <c r="A1915"/>
      <c r="B1915"/>
      <c r="C1915"/>
      <c r="D1915"/>
      <c r="E1915"/>
      <c r="F1915"/>
      <c r="G1915"/>
    </row>
    <row r="1916" spans="1:7" x14ac:dyDescent="0.35">
      <c r="A1916"/>
      <c r="B1916"/>
      <c r="C1916"/>
      <c r="D1916"/>
      <c r="E1916"/>
      <c r="F1916"/>
      <c r="G1916"/>
    </row>
    <row r="1917" spans="1:7" x14ac:dyDescent="0.35">
      <c r="A1917"/>
      <c r="B1917"/>
      <c r="C1917"/>
      <c r="D1917"/>
      <c r="E1917"/>
      <c r="F1917"/>
      <c r="G1917"/>
    </row>
    <row r="1918" spans="1:7" x14ac:dyDescent="0.35">
      <c r="A1918"/>
      <c r="B1918"/>
      <c r="C1918"/>
      <c r="D1918"/>
      <c r="E1918"/>
      <c r="F1918"/>
      <c r="G1918"/>
    </row>
    <row r="1919" spans="1:7" x14ac:dyDescent="0.35">
      <c r="A1919"/>
      <c r="B1919"/>
      <c r="C1919"/>
      <c r="D1919"/>
      <c r="E1919"/>
      <c r="F1919"/>
      <c r="G1919"/>
    </row>
    <row r="1920" spans="1:7" x14ac:dyDescent="0.35">
      <c r="A1920"/>
      <c r="B1920"/>
      <c r="C1920"/>
      <c r="D1920"/>
      <c r="E1920"/>
      <c r="F1920"/>
      <c r="G1920"/>
    </row>
    <row r="1921" spans="1:7" x14ac:dyDescent="0.35">
      <c r="A1921"/>
      <c r="B1921"/>
      <c r="C1921"/>
      <c r="D1921"/>
      <c r="E1921"/>
      <c r="F1921"/>
      <c r="G1921"/>
    </row>
    <row r="1922" spans="1:7" x14ac:dyDescent="0.35">
      <c r="A1922"/>
      <c r="B1922"/>
      <c r="C1922"/>
      <c r="D1922"/>
      <c r="E1922"/>
      <c r="F1922"/>
      <c r="G1922"/>
    </row>
    <row r="1923" spans="1:7" x14ac:dyDescent="0.35">
      <c r="A1923"/>
      <c r="B1923"/>
      <c r="C1923"/>
      <c r="D1923"/>
      <c r="E1923"/>
      <c r="F1923"/>
      <c r="G1923"/>
    </row>
    <row r="1924" spans="1:7" x14ac:dyDescent="0.35">
      <c r="A1924"/>
      <c r="B1924"/>
      <c r="C1924"/>
      <c r="D1924"/>
      <c r="E1924"/>
      <c r="F1924"/>
      <c r="G1924"/>
    </row>
    <row r="1925" spans="1:7" x14ac:dyDescent="0.35">
      <c r="A1925"/>
      <c r="B1925"/>
      <c r="C1925"/>
      <c r="D1925"/>
      <c r="E1925"/>
      <c r="F1925"/>
      <c r="G1925"/>
    </row>
    <row r="1926" spans="1:7" x14ac:dyDescent="0.35">
      <c r="A1926"/>
      <c r="B1926"/>
      <c r="C1926"/>
      <c r="D1926"/>
      <c r="E1926"/>
      <c r="F1926"/>
      <c r="G1926"/>
    </row>
    <row r="1927" spans="1:7" x14ac:dyDescent="0.35">
      <c r="A1927"/>
      <c r="B1927"/>
      <c r="C1927"/>
      <c r="D1927"/>
      <c r="E1927"/>
      <c r="F1927"/>
      <c r="G1927"/>
    </row>
    <row r="1928" spans="1:7" x14ac:dyDescent="0.35">
      <c r="A1928"/>
      <c r="B1928"/>
      <c r="C1928"/>
      <c r="D1928"/>
      <c r="E1928"/>
      <c r="F1928"/>
      <c r="G1928"/>
    </row>
    <row r="1929" spans="1:7" x14ac:dyDescent="0.35">
      <c r="A1929"/>
      <c r="B1929"/>
      <c r="C1929"/>
      <c r="D1929"/>
      <c r="E1929"/>
      <c r="F1929"/>
      <c r="G1929"/>
    </row>
    <row r="1930" spans="1:7" x14ac:dyDescent="0.35">
      <c r="A1930"/>
      <c r="B1930"/>
      <c r="C1930"/>
      <c r="D1930"/>
      <c r="E1930"/>
      <c r="F1930"/>
      <c r="G1930"/>
    </row>
    <row r="1931" spans="1:7" x14ac:dyDescent="0.35">
      <c r="A1931"/>
      <c r="B1931"/>
      <c r="C1931"/>
      <c r="D1931"/>
      <c r="E1931"/>
      <c r="F1931"/>
      <c r="G1931"/>
    </row>
    <row r="1932" spans="1:7" x14ac:dyDescent="0.35">
      <c r="A1932"/>
      <c r="B1932"/>
      <c r="C1932"/>
      <c r="D1932"/>
      <c r="E1932"/>
      <c r="F1932"/>
      <c r="G1932"/>
    </row>
    <row r="1933" spans="1:7" x14ac:dyDescent="0.35">
      <c r="A1933"/>
      <c r="B1933"/>
      <c r="C1933"/>
      <c r="D1933"/>
      <c r="E1933"/>
      <c r="F1933"/>
      <c r="G1933"/>
    </row>
    <row r="1934" spans="1:7" x14ac:dyDescent="0.35">
      <c r="A1934"/>
      <c r="B1934"/>
      <c r="C1934"/>
      <c r="D1934"/>
      <c r="E1934"/>
      <c r="F1934"/>
      <c r="G1934"/>
    </row>
    <row r="1935" spans="1:7" x14ac:dyDescent="0.35">
      <c r="A1935"/>
      <c r="B1935"/>
      <c r="C1935"/>
      <c r="D1935"/>
      <c r="E1935"/>
      <c r="F1935"/>
      <c r="G1935"/>
    </row>
    <row r="1936" spans="1:7" x14ac:dyDescent="0.35">
      <c r="A1936"/>
      <c r="B1936"/>
      <c r="C1936"/>
      <c r="D1936"/>
      <c r="E1936"/>
      <c r="F1936"/>
      <c r="G1936"/>
    </row>
    <row r="1937" spans="1:7" x14ac:dyDescent="0.35">
      <c r="A1937"/>
      <c r="B1937"/>
      <c r="C1937"/>
      <c r="D1937"/>
      <c r="E1937"/>
      <c r="F1937"/>
      <c r="G1937"/>
    </row>
    <row r="1938" spans="1:7" x14ac:dyDescent="0.35">
      <c r="A1938"/>
      <c r="B1938"/>
      <c r="C1938"/>
      <c r="D1938"/>
      <c r="E1938"/>
      <c r="F1938"/>
      <c r="G1938"/>
    </row>
    <row r="1939" spans="1:7" x14ac:dyDescent="0.35">
      <c r="A1939"/>
      <c r="B1939"/>
      <c r="C1939"/>
      <c r="D1939"/>
      <c r="E1939"/>
      <c r="F1939"/>
      <c r="G1939"/>
    </row>
    <row r="1940" spans="1:7" x14ac:dyDescent="0.35">
      <c r="A1940"/>
      <c r="B1940"/>
      <c r="C1940"/>
      <c r="D1940"/>
      <c r="E1940"/>
      <c r="F1940"/>
      <c r="G1940"/>
    </row>
    <row r="1941" spans="1:7" x14ac:dyDescent="0.35">
      <c r="A1941"/>
      <c r="B1941"/>
      <c r="C1941"/>
      <c r="D1941"/>
      <c r="E1941"/>
      <c r="F1941"/>
      <c r="G1941"/>
    </row>
    <row r="1942" spans="1:7" x14ac:dyDescent="0.35">
      <c r="A1942"/>
      <c r="B1942"/>
      <c r="C1942"/>
      <c r="D1942"/>
      <c r="E1942"/>
      <c r="F1942"/>
      <c r="G1942"/>
    </row>
    <row r="1943" spans="1:7" x14ac:dyDescent="0.35">
      <c r="A1943"/>
      <c r="B1943"/>
      <c r="C1943"/>
      <c r="D1943"/>
      <c r="E1943"/>
      <c r="F1943"/>
      <c r="G1943"/>
    </row>
    <row r="1944" spans="1:7" x14ac:dyDescent="0.35">
      <c r="A1944"/>
      <c r="B1944"/>
      <c r="C1944"/>
      <c r="D1944"/>
      <c r="E1944"/>
      <c r="F1944"/>
      <c r="G1944"/>
    </row>
    <row r="1945" spans="1:7" x14ac:dyDescent="0.35">
      <c r="A1945"/>
      <c r="B1945"/>
      <c r="C1945"/>
      <c r="D1945"/>
      <c r="E1945"/>
      <c r="F1945"/>
      <c r="G1945"/>
    </row>
    <row r="1946" spans="1:7" x14ac:dyDescent="0.35">
      <c r="A1946"/>
      <c r="B1946"/>
      <c r="C1946"/>
      <c r="D1946"/>
      <c r="E1946"/>
      <c r="F1946"/>
      <c r="G1946"/>
    </row>
    <row r="1947" spans="1:7" x14ac:dyDescent="0.35">
      <c r="A1947"/>
      <c r="B1947"/>
      <c r="C1947"/>
      <c r="D1947"/>
      <c r="E1947"/>
      <c r="F1947"/>
      <c r="G1947"/>
    </row>
    <row r="1948" spans="1:7" x14ac:dyDescent="0.35">
      <c r="A1948"/>
      <c r="B1948"/>
      <c r="C1948"/>
      <c r="D1948"/>
      <c r="E1948"/>
      <c r="F1948"/>
      <c r="G1948"/>
    </row>
    <row r="1949" spans="1:7" x14ac:dyDescent="0.35">
      <c r="A1949"/>
      <c r="B1949"/>
      <c r="C1949"/>
      <c r="D1949"/>
      <c r="E1949"/>
      <c r="F1949"/>
      <c r="G1949"/>
    </row>
    <row r="1950" spans="1:7" x14ac:dyDescent="0.35">
      <c r="A1950"/>
      <c r="B1950"/>
      <c r="C1950"/>
      <c r="D1950"/>
      <c r="E1950"/>
      <c r="F1950"/>
      <c r="G1950"/>
    </row>
    <row r="1951" spans="1:7" x14ac:dyDescent="0.35">
      <c r="A1951"/>
      <c r="B1951"/>
      <c r="C1951"/>
      <c r="D1951"/>
      <c r="E1951"/>
      <c r="F1951"/>
      <c r="G1951"/>
    </row>
    <row r="1952" spans="1:7" x14ac:dyDescent="0.35">
      <c r="A1952"/>
      <c r="B1952"/>
      <c r="C1952"/>
      <c r="D1952"/>
      <c r="E1952"/>
      <c r="F1952"/>
      <c r="G1952"/>
    </row>
    <row r="1953" spans="1:7" x14ac:dyDescent="0.35">
      <c r="A1953"/>
      <c r="B1953"/>
      <c r="C1953"/>
      <c r="D1953"/>
      <c r="E1953"/>
      <c r="F1953"/>
      <c r="G1953"/>
    </row>
    <row r="1954" spans="1:7" x14ac:dyDescent="0.35">
      <c r="A1954"/>
      <c r="B1954"/>
      <c r="C1954"/>
      <c r="D1954"/>
      <c r="E1954"/>
      <c r="F1954"/>
      <c r="G1954"/>
    </row>
    <row r="1955" spans="1:7" x14ac:dyDescent="0.35">
      <c r="A1955"/>
      <c r="B1955"/>
      <c r="C1955"/>
      <c r="D1955"/>
      <c r="E1955"/>
      <c r="F1955"/>
      <c r="G1955"/>
    </row>
    <row r="1956" spans="1:7" x14ac:dyDescent="0.35">
      <c r="A1956"/>
      <c r="B1956"/>
      <c r="C1956"/>
      <c r="D1956"/>
      <c r="E1956"/>
      <c r="F1956"/>
      <c r="G1956"/>
    </row>
    <row r="1957" spans="1:7" x14ac:dyDescent="0.35">
      <c r="A1957"/>
      <c r="B1957"/>
      <c r="C1957"/>
      <c r="D1957"/>
      <c r="E1957"/>
      <c r="F1957"/>
      <c r="G1957"/>
    </row>
    <row r="1958" spans="1:7" x14ac:dyDescent="0.35">
      <c r="A1958"/>
      <c r="B1958"/>
      <c r="C1958"/>
      <c r="D1958"/>
      <c r="E1958"/>
      <c r="F1958"/>
      <c r="G1958"/>
    </row>
    <row r="1959" spans="1:7" x14ac:dyDescent="0.35">
      <c r="A1959"/>
      <c r="B1959"/>
      <c r="C1959"/>
      <c r="D1959"/>
      <c r="E1959"/>
      <c r="F1959"/>
      <c r="G1959"/>
    </row>
    <row r="1960" spans="1:7" x14ac:dyDescent="0.35">
      <c r="A1960"/>
      <c r="B1960"/>
      <c r="C1960"/>
      <c r="D1960"/>
      <c r="E1960"/>
      <c r="F1960"/>
      <c r="G1960"/>
    </row>
    <row r="1961" spans="1:7" x14ac:dyDescent="0.35">
      <c r="A1961"/>
      <c r="B1961"/>
      <c r="C1961"/>
      <c r="D1961"/>
      <c r="E1961"/>
      <c r="F1961"/>
      <c r="G1961"/>
    </row>
    <row r="1962" spans="1:7" x14ac:dyDescent="0.35">
      <c r="A1962"/>
      <c r="B1962"/>
      <c r="C1962"/>
      <c r="D1962"/>
      <c r="E1962"/>
      <c r="F1962"/>
      <c r="G1962"/>
    </row>
    <row r="1963" spans="1:7" x14ac:dyDescent="0.35">
      <c r="A1963"/>
      <c r="B1963"/>
      <c r="C1963"/>
      <c r="D1963"/>
      <c r="E1963"/>
      <c r="F1963"/>
      <c r="G1963"/>
    </row>
    <row r="1964" spans="1:7" x14ac:dyDescent="0.35">
      <c r="A1964"/>
      <c r="B1964"/>
      <c r="C1964"/>
      <c r="D1964"/>
      <c r="E1964"/>
      <c r="F1964"/>
      <c r="G1964"/>
    </row>
    <row r="1965" spans="1:7" x14ac:dyDescent="0.35">
      <c r="A1965"/>
      <c r="B1965"/>
      <c r="C1965"/>
      <c r="D1965"/>
      <c r="E1965"/>
      <c r="F1965"/>
      <c r="G1965"/>
    </row>
    <row r="1966" spans="1:7" x14ac:dyDescent="0.35">
      <c r="A1966"/>
      <c r="B1966"/>
      <c r="C1966"/>
      <c r="D1966"/>
      <c r="E1966"/>
      <c r="F1966"/>
      <c r="G1966"/>
    </row>
    <row r="1967" spans="1:7" x14ac:dyDescent="0.35">
      <c r="A1967"/>
      <c r="B1967"/>
      <c r="C1967"/>
      <c r="D1967"/>
      <c r="E1967"/>
      <c r="F1967"/>
      <c r="G1967"/>
    </row>
    <row r="1968" spans="1:7" x14ac:dyDescent="0.35">
      <c r="A1968"/>
      <c r="B1968"/>
      <c r="C1968"/>
      <c r="D1968"/>
      <c r="E1968"/>
      <c r="F1968"/>
      <c r="G1968"/>
    </row>
    <row r="1969" spans="1:7" x14ac:dyDescent="0.35">
      <c r="A1969"/>
      <c r="B1969"/>
      <c r="C1969"/>
      <c r="D1969"/>
      <c r="E1969"/>
      <c r="F1969"/>
      <c r="G1969"/>
    </row>
    <row r="1970" spans="1:7" x14ac:dyDescent="0.35">
      <c r="A1970"/>
      <c r="B1970"/>
      <c r="C1970"/>
      <c r="D1970"/>
      <c r="E1970"/>
      <c r="F1970"/>
      <c r="G1970"/>
    </row>
    <row r="1971" spans="1:7" x14ac:dyDescent="0.35">
      <c r="A1971"/>
      <c r="B1971"/>
      <c r="C1971"/>
      <c r="D1971"/>
      <c r="E1971"/>
      <c r="F1971"/>
      <c r="G1971"/>
    </row>
    <row r="1972" spans="1:7" x14ac:dyDescent="0.35">
      <c r="A1972"/>
      <c r="B1972"/>
      <c r="C1972"/>
      <c r="D1972"/>
      <c r="E1972"/>
      <c r="F1972"/>
      <c r="G1972"/>
    </row>
    <row r="1973" spans="1:7" x14ac:dyDescent="0.35">
      <c r="A1973"/>
      <c r="B1973"/>
      <c r="C1973"/>
      <c r="D1973"/>
      <c r="E1973"/>
      <c r="F1973"/>
      <c r="G1973"/>
    </row>
    <row r="1974" spans="1:7" x14ac:dyDescent="0.35">
      <c r="A1974"/>
      <c r="B1974"/>
      <c r="C1974"/>
      <c r="D1974"/>
      <c r="E1974"/>
      <c r="F1974"/>
      <c r="G1974"/>
    </row>
    <row r="1975" spans="1:7" x14ac:dyDescent="0.35">
      <c r="A1975"/>
      <c r="B1975"/>
      <c r="C1975"/>
      <c r="D1975"/>
      <c r="E1975"/>
      <c r="F1975"/>
      <c r="G1975"/>
    </row>
    <row r="1976" spans="1:7" x14ac:dyDescent="0.35">
      <c r="A1976"/>
      <c r="B1976"/>
      <c r="C1976"/>
      <c r="D1976"/>
      <c r="E1976"/>
      <c r="F1976"/>
      <c r="G1976"/>
    </row>
    <row r="1977" spans="1:7" x14ac:dyDescent="0.35">
      <c r="A1977"/>
      <c r="B1977"/>
      <c r="C1977"/>
      <c r="D1977"/>
      <c r="E1977"/>
      <c r="F1977"/>
      <c r="G1977"/>
    </row>
    <row r="1978" spans="1:7" x14ac:dyDescent="0.35">
      <c r="A1978"/>
      <c r="B1978"/>
      <c r="C1978"/>
      <c r="D1978"/>
      <c r="E1978"/>
      <c r="F1978"/>
      <c r="G1978"/>
    </row>
    <row r="1979" spans="1:7" x14ac:dyDescent="0.35">
      <c r="A1979"/>
      <c r="B1979"/>
      <c r="C1979"/>
      <c r="D1979"/>
      <c r="E1979"/>
      <c r="F1979"/>
      <c r="G1979"/>
    </row>
    <row r="1980" spans="1:7" x14ac:dyDescent="0.35">
      <c r="A1980"/>
      <c r="B1980"/>
      <c r="C1980"/>
      <c r="D1980"/>
      <c r="E1980"/>
      <c r="F1980"/>
      <c r="G1980"/>
    </row>
    <row r="1981" spans="1:7" x14ac:dyDescent="0.35">
      <c r="A1981"/>
      <c r="B1981"/>
      <c r="C1981"/>
      <c r="D1981"/>
      <c r="E1981"/>
      <c r="F1981"/>
      <c r="G1981"/>
    </row>
    <row r="1982" spans="1:7" x14ac:dyDescent="0.35">
      <c r="A1982"/>
      <c r="B1982"/>
      <c r="C1982"/>
      <c r="D1982"/>
      <c r="E1982"/>
      <c r="F1982"/>
      <c r="G1982"/>
    </row>
    <row r="1983" spans="1:7" x14ac:dyDescent="0.35">
      <c r="A1983"/>
      <c r="B1983"/>
      <c r="C1983"/>
      <c r="D1983"/>
      <c r="E1983"/>
      <c r="F1983"/>
      <c r="G1983"/>
    </row>
    <row r="1984" spans="1:7" x14ac:dyDescent="0.35">
      <c r="A1984"/>
      <c r="B1984"/>
      <c r="C1984"/>
      <c r="D1984"/>
      <c r="E1984"/>
      <c r="F1984"/>
      <c r="G1984"/>
    </row>
    <row r="1985" spans="1:7" x14ac:dyDescent="0.35">
      <c r="A1985"/>
      <c r="B1985"/>
      <c r="C1985"/>
      <c r="D1985"/>
      <c r="E1985"/>
      <c r="F1985"/>
      <c r="G1985"/>
    </row>
    <row r="1986" spans="1:7" x14ac:dyDescent="0.35">
      <c r="A1986"/>
      <c r="B1986"/>
      <c r="C1986"/>
      <c r="D1986"/>
      <c r="E1986"/>
      <c r="F1986"/>
      <c r="G1986"/>
    </row>
    <row r="1987" spans="1:7" x14ac:dyDescent="0.35">
      <c r="A1987"/>
      <c r="B1987"/>
      <c r="C1987"/>
      <c r="D1987"/>
      <c r="E1987"/>
      <c r="F1987"/>
      <c r="G1987"/>
    </row>
    <row r="1988" spans="1:7" x14ac:dyDescent="0.35">
      <c r="A1988"/>
      <c r="B1988"/>
      <c r="C1988"/>
      <c r="D1988"/>
      <c r="E1988"/>
      <c r="F1988"/>
      <c r="G1988"/>
    </row>
    <row r="1989" spans="1:7" x14ac:dyDescent="0.35">
      <c r="A1989"/>
      <c r="B1989"/>
      <c r="C1989"/>
      <c r="D1989"/>
      <c r="E1989"/>
      <c r="F1989"/>
      <c r="G1989"/>
    </row>
    <row r="1990" spans="1:7" x14ac:dyDescent="0.35">
      <c r="A1990"/>
      <c r="B1990"/>
      <c r="C1990"/>
      <c r="D1990"/>
      <c r="E1990"/>
      <c r="F1990"/>
      <c r="G1990"/>
    </row>
    <row r="1991" spans="1:7" x14ac:dyDescent="0.35">
      <c r="A1991"/>
      <c r="B1991"/>
      <c r="C1991"/>
      <c r="D1991"/>
      <c r="E1991"/>
      <c r="F1991"/>
      <c r="G1991"/>
    </row>
    <row r="1992" spans="1:7" x14ac:dyDescent="0.35">
      <c r="A1992"/>
      <c r="B1992"/>
      <c r="C1992"/>
      <c r="D1992"/>
      <c r="E1992"/>
      <c r="F1992"/>
      <c r="G1992"/>
    </row>
    <row r="1993" spans="1:7" x14ac:dyDescent="0.35">
      <c r="A1993"/>
      <c r="B1993"/>
      <c r="C1993"/>
      <c r="D1993"/>
      <c r="E1993"/>
      <c r="F1993"/>
      <c r="G1993"/>
    </row>
    <row r="1994" spans="1:7" x14ac:dyDescent="0.35">
      <c r="A1994"/>
      <c r="B1994"/>
      <c r="C1994"/>
      <c r="D1994"/>
      <c r="E1994"/>
      <c r="F1994"/>
      <c r="G1994"/>
    </row>
    <row r="1995" spans="1:7" x14ac:dyDescent="0.35">
      <c r="A1995"/>
      <c r="B1995"/>
      <c r="C1995"/>
      <c r="D1995"/>
      <c r="E1995"/>
      <c r="F1995"/>
      <c r="G1995"/>
    </row>
    <row r="1996" spans="1:7" x14ac:dyDescent="0.35">
      <c r="A1996"/>
      <c r="B1996"/>
      <c r="C1996"/>
      <c r="D1996"/>
      <c r="E1996"/>
      <c r="F1996"/>
      <c r="G1996"/>
    </row>
    <row r="1997" spans="1:7" x14ac:dyDescent="0.35">
      <c r="A1997"/>
      <c r="B1997"/>
      <c r="C1997"/>
      <c r="D1997"/>
      <c r="E1997"/>
      <c r="F1997"/>
      <c r="G1997"/>
    </row>
    <row r="1998" spans="1:7" x14ac:dyDescent="0.35">
      <c r="A1998"/>
      <c r="B1998"/>
      <c r="C1998"/>
      <c r="D1998"/>
      <c r="E1998"/>
      <c r="F1998"/>
      <c r="G1998"/>
    </row>
    <row r="1999" spans="1:7" x14ac:dyDescent="0.35">
      <c r="A1999"/>
      <c r="B1999"/>
      <c r="C1999"/>
      <c r="D1999"/>
      <c r="E1999"/>
      <c r="F1999"/>
      <c r="G1999"/>
    </row>
    <row r="2000" spans="1:7" x14ac:dyDescent="0.35">
      <c r="A2000"/>
      <c r="B2000"/>
      <c r="C2000"/>
      <c r="D2000"/>
      <c r="E2000"/>
      <c r="F2000"/>
      <c r="G2000"/>
    </row>
    <row r="2001" spans="1:7" x14ac:dyDescent="0.35">
      <c r="A2001"/>
      <c r="B2001"/>
      <c r="C2001"/>
      <c r="D2001"/>
      <c r="E2001"/>
      <c r="F2001"/>
      <c r="G2001"/>
    </row>
    <row r="2002" spans="1:7" x14ac:dyDescent="0.35">
      <c r="A2002"/>
      <c r="B2002"/>
      <c r="C2002"/>
      <c r="D2002"/>
      <c r="E2002"/>
      <c r="F2002"/>
      <c r="G2002"/>
    </row>
    <row r="2003" spans="1:7" x14ac:dyDescent="0.35">
      <c r="A2003"/>
      <c r="B2003"/>
      <c r="C2003"/>
      <c r="D2003"/>
      <c r="E2003"/>
      <c r="F2003"/>
      <c r="G2003"/>
    </row>
    <row r="2004" spans="1:7" x14ac:dyDescent="0.35">
      <c r="A2004"/>
      <c r="B2004"/>
      <c r="C2004"/>
      <c r="D2004"/>
      <c r="E2004"/>
      <c r="F2004"/>
      <c r="G2004"/>
    </row>
    <row r="2005" spans="1:7" x14ac:dyDescent="0.35">
      <c r="A2005"/>
      <c r="B2005"/>
      <c r="C2005"/>
      <c r="D2005"/>
      <c r="E2005"/>
      <c r="F2005"/>
      <c r="G2005"/>
    </row>
    <row r="2006" spans="1:7" x14ac:dyDescent="0.35">
      <c r="A2006"/>
      <c r="B2006"/>
      <c r="C2006"/>
      <c r="D2006"/>
      <c r="E2006"/>
      <c r="F2006"/>
      <c r="G2006"/>
    </row>
    <row r="2007" spans="1:7" x14ac:dyDescent="0.35">
      <c r="A2007"/>
      <c r="B2007"/>
      <c r="C2007"/>
      <c r="D2007"/>
      <c r="E2007"/>
      <c r="F2007"/>
      <c r="G2007"/>
    </row>
    <row r="2008" spans="1:7" x14ac:dyDescent="0.35">
      <c r="A2008"/>
      <c r="B2008"/>
      <c r="C2008"/>
      <c r="D2008"/>
      <c r="E2008"/>
      <c r="F2008"/>
      <c r="G2008"/>
    </row>
    <row r="2009" spans="1:7" x14ac:dyDescent="0.35">
      <c r="A2009"/>
      <c r="B2009"/>
      <c r="C2009"/>
      <c r="D2009"/>
      <c r="E2009"/>
      <c r="F2009"/>
      <c r="G2009"/>
    </row>
    <row r="2010" spans="1:7" x14ac:dyDescent="0.35">
      <c r="A2010"/>
      <c r="B2010"/>
      <c r="C2010"/>
      <c r="D2010"/>
      <c r="E2010"/>
      <c r="F2010"/>
      <c r="G2010"/>
    </row>
    <row r="2011" spans="1:7" x14ac:dyDescent="0.35">
      <c r="A2011"/>
      <c r="B2011"/>
      <c r="C2011"/>
      <c r="D2011"/>
      <c r="E2011"/>
      <c r="F2011"/>
      <c r="G2011"/>
    </row>
    <row r="2012" spans="1:7" x14ac:dyDescent="0.35">
      <c r="A2012"/>
      <c r="B2012"/>
      <c r="C2012"/>
      <c r="D2012"/>
      <c r="E2012"/>
      <c r="F2012"/>
      <c r="G2012"/>
    </row>
    <row r="2013" spans="1:7" x14ac:dyDescent="0.35">
      <c r="A2013"/>
      <c r="B2013"/>
      <c r="C2013"/>
      <c r="D2013"/>
      <c r="E2013"/>
      <c r="F2013"/>
      <c r="G2013"/>
    </row>
    <row r="2014" spans="1:7" x14ac:dyDescent="0.35">
      <c r="A2014"/>
      <c r="B2014"/>
      <c r="C2014"/>
      <c r="D2014"/>
      <c r="E2014"/>
      <c r="F2014"/>
      <c r="G2014"/>
    </row>
    <row r="2015" spans="1:7" x14ac:dyDescent="0.35">
      <c r="A2015"/>
      <c r="B2015"/>
      <c r="C2015"/>
      <c r="D2015"/>
      <c r="E2015"/>
      <c r="F2015"/>
      <c r="G2015"/>
    </row>
    <row r="2016" spans="1:7" x14ac:dyDescent="0.35">
      <c r="A2016"/>
      <c r="B2016"/>
      <c r="C2016"/>
      <c r="D2016"/>
      <c r="E2016"/>
      <c r="F2016"/>
      <c r="G2016"/>
    </row>
    <row r="2017" spans="1:7" x14ac:dyDescent="0.35">
      <c r="A2017"/>
      <c r="B2017"/>
      <c r="C2017"/>
      <c r="D2017"/>
      <c r="E2017"/>
      <c r="F2017"/>
      <c r="G2017"/>
    </row>
    <row r="2018" spans="1:7" x14ac:dyDescent="0.35">
      <c r="A2018"/>
      <c r="B2018"/>
      <c r="C2018"/>
      <c r="D2018"/>
      <c r="E2018"/>
      <c r="F2018"/>
      <c r="G2018"/>
    </row>
    <row r="2019" spans="1:7" x14ac:dyDescent="0.35">
      <c r="A2019"/>
      <c r="B2019"/>
      <c r="C2019"/>
      <c r="D2019"/>
      <c r="E2019"/>
      <c r="F2019"/>
      <c r="G2019"/>
    </row>
    <row r="2020" spans="1:7" x14ac:dyDescent="0.35">
      <c r="A2020"/>
      <c r="B2020"/>
      <c r="C2020"/>
      <c r="D2020"/>
      <c r="E2020"/>
      <c r="F2020"/>
      <c r="G2020"/>
    </row>
    <row r="2021" spans="1:7" x14ac:dyDescent="0.35">
      <c r="A2021"/>
      <c r="B2021"/>
      <c r="C2021"/>
      <c r="D2021"/>
      <c r="E2021"/>
      <c r="F2021"/>
      <c r="G2021"/>
    </row>
    <row r="2022" spans="1:7" x14ac:dyDescent="0.35">
      <c r="A2022"/>
      <c r="B2022"/>
      <c r="C2022"/>
      <c r="D2022"/>
      <c r="E2022"/>
      <c r="F2022"/>
      <c r="G2022"/>
    </row>
    <row r="2023" spans="1:7" x14ac:dyDescent="0.35">
      <c r="A2023"/>
      <c r="B2023"/>
      <c r="C2023"/>
      <c r="D2023"/>
      <c r="E2023"/>
      <c r="F2023"/>
      <c r="G2023"/>
    </row>
    <row r="2024" spans="1:7" x14ac:dyDescent="0.35">
      <c r="A2024"/>
      <c r="B2024"/>
      <c r="C2024"/>
      <c r="D2024"/>
      <c r="E2024"/>
      <c r="F2024"/>
      <c r="G2024"/>
    </row>
    <row r="2025" spans="1:7" x14ac:dyDescent="0.35">
      <c r="A2025"/>
      <c r="B2025"/>
      <c r="C2025"/>
      <c r="D2025"/>
      <c r="E2025"/>
      <c r="F2025"/>
      <c r="G2025"/>
    </row>
    <row r="2026" spans="1:7" x14ac:dyDescent="0.35">
      <c r="A2026"/>
      <c r="B2026"/>
      <c r="C2026"/>
      <c r="D2026"/>
      <c r="E2026"/>
      <c r="F2026"/>
      <c r="G2026"/>
    </row>
    <row r="2027" spans="1:7" x14ac:dyDescent="0.35">
      <c r="A2027"/>
      <c r="B2027"/>
      <c r="C2027"/>
      <c r="D2027"/>
      <c r="E2027"/>
      <c r="F2027"/>
      <c r="G2027"/>
    </row>
    <row r="2028" spans="1:7" x14ac:dyDescent="0.35">
      <c r="A2028"/>
      <c r="B2028"/>
      <c r="C2028"/>
      <c r="D2028"/>
      <c r="E2028"/>
      <c r="F2028"/>
      <c r="G2028"/>
    </row>
    <row r="2029" spans="1:7" x14ac:dyDescent="0.35">
      <c r="A2029"/>
      <c r="B2029"/>
      <c r="C2029"/>
      <c r="D2029"/>
      <c r="E2029"/>
      <c r="F2029"/>
      <c r="G2029"/>
    </row>
    <row r="2030" spans="1:7" x14ac:dyDescent="0.35">
      <c r="A2030"/>
      <c r="B2030"/>
      <c r="C2030"/>
      <c r="D2030"/>
      <c r="E2030"/>
      <c r="F2030"/>
      <c r="G2030"/>
    </row>
    <row r="2031" spans="1:7" x14ac:dyDescent="0.35">
      <c r="A2031"/>
      <c r="B2031"/>
      <c r="C2031"/>
      <c r="D2031"/>
      <c r="E2031"/>
      <c r="F2031"/>
      <c r="G2031"/>
    </row>
    <row r="2032" spans="1:7" x14ac:dyDescent="0.35">
      <c r="A2032"/>
      <c r="B2032"/>
      <c r="C2032"/>
      <c r="D2032"/>
      <c r="E2032"/>
      <c r="F2032"/>
      <c r="G2032"/>
    </row>
    <row r="2033" spans="1:7" x14ac:dyDescent="0.35">
      <c r="A2033"/>
      <c r="B2033"/>
      <c r="C2033"/>
      <c r="D2033"/>
      <c r="E2033"/>
      <c r="F2033"/>
      <c r="G2033"/>
    </row>
    <row r="2034" spans="1:7" x14ac:dyDescent="0.35">
      <c r="A2034"/>
      <c r="B2034"/>
      <c r="C2034"/>
      <c r="D2034"/>
      <c r="E2034"/>
      <c r="F2034"/>
      <c r="G2034"/>
    </row>
    <row r="2035" spans="1:7" x14ac:dyDescent="0.35">
      <c r="A2035"/>
      <c r="B2035"/>
      <c r="C2035"/>
      <c r="D2035"/>
      <c r="E2035"/>
      <c r="F2035"/>
      <c r="G2035"/>
    </row>
    <row r="2036" spans="1:7" x14ac:dyDescent="0.35">
      <c r="A2036"/>
      <c r="B2036"/>
      <c r="C2036"/>
      <c r="D2036"/>
      <c r="E2036"/>
      <c r="F2036"/>
      <c r="G2036"/>
    </row>
    <row r="2037" spans="1:7" x14ac:dyDescent="0.35">
      <c r="A2037"/>
      <c r="B2037"/>
      <c r="C2037"/>
      <c r="D2037"/>
      <c r="E2037"/>
      <c r="F2037"/>
      <c r="G2037"/>
    </row>
    <row r="2038" spans="1:7" x14ac:dyDescent="0.35">
      <c r="A2038"/>
      <c r="B2038"/>
      <c r="C2038"/>
      <c r="D2038"/>
      <c r="E2038"/>
      <c r="F2038"/>
      <c r="G2038"/>
    </row>
    <row r="2039" spans="1:7" x14ac:dyDescent="0.35">
      <c r="A2039"/>
      <c r="B2039"/>
      <c r="C2039"/>
      <c r="D2039"/>
      <c r="E2039"/>
      <c r="F2039"/>
      <c r="G2039"/>
    </row>
    <row r="2040" spans="1:7" x14ac:dyDescent="0.35">
      <c r="A2040"/>
      <c r="B2040"/>
      <c r="C2040"/>
      <c r="D2040"/>
      <c r="E2040"/>
      <c r="F2040"/>
      <c r="G2040"/>
    </row>
    <row r="2041" spans="1:7" x14ac:dyDescent="0.35">
      <c r="A2041"/>
      <c r="B2041"/>
      <c r="C2041"/>
      <c r="D2041"/>
      <c r="E2041"/>
      <c r="F2041"/>
      <c r="G2041"/>
    </row>
    <row r="2042" spans="1:7" x14ac:dyDescent="0.35">
      <c r="A2042"/>
      <c r="B2042"/>
      <c r="C2042"/>
      <c r="D2042"/>
      <c r="E2042"/>
      <c r="F2042"/>
      <c r="G2042"/>
    </row>
    <row r="2043" spans="1:7" x14ac:dyDescent="0.35">
      <c r="A2043"/>
      <c r="B2043"/>
      <c r="C2043"/>
      <c r="D2043"/>
      <c r="E2043"/>
      <c r="F2043"/>
      <c r="G2043"/>
    </row>
    <row r="2044" spans="1:7" x14ac:dyDescent="0.35">
      <c r="A2044"/>
      <c r="B2044"/>
      <c r="C2044"/>
      <c r="D2044"/>
      <c r="E2044"/>
      <c r="F2044"/>
      <c r="G2044"/>
    </row>
    <row r="2045" spans="1:7" x14ac:dyDescent="0.35">
      <c r="A2045"/>
      <c r="B2045"/>
      <c r="C2045"/>
      <c r="D2045"/>
      <c r="E2045"/>
      <c r="F2045"/>
      <c r="G2045"/>
    </row>
    <row r="2046" spans="1:7" x14ac:dyDescent="0.35">
      <c r="A2046"/>
      <c r="B2046"/>
      <c r="C2046"/>
      <c r="D2046"/>
      <c r="E2046"/>
      <c r="F2046"/>
      <c r="G2046"/>
    </row>
    <row r="2047" spans="1:7" x14ac:dyDescent="0.35">
      <c r="A2047"/>
      <c r="B2047"/>
      <c r="C2047"/>
      <c r="D2047"/>
      <c r="E2047"/>
      <c r="F2047"/>
      <c r="G2047"/>
    </row>
    <row r="2048" spans="1:7" x14ac:dyDescent="0.35">
      <c r="A2048"/>
      <c r="B2048"/>
      <c r="C2048"/>
      <c r="D2048"/>
      <c r="E2048"/>
      <c r="F2048"/>
      <c r="G2048"/>
    </row>
    <row r="2049" spans="1:7" x14ac:dyDescent="0.35">
      <c r="A2049"/>
      <c r="B2049"/>
      <c r="C2049"/>
      <c r="D2049"/>
      <c r="E2049"/>
      <c r="F2049"/>
      <c r="G2049"/>
    </row>
    <row r="2050" spans="1:7" x14ac:dyDescent="0.35">
      <c r="A2050"/>
      <c r="B2050"/>
      <c r="C2050"/>
      <c r="D2050"/>
      <c r="E2050"/>
      <c r="F2050"/>
      <c r="G2050"/>
    </row>
    <row r="2051" spans="1:7" x14ac:dyDescent="0.35">
      <c r="A2051"/>
      <c r="B2051"/>
      <c r="C2051"/>
      <c r="D2051"/>
      <c r="E2051"/>
      <c r="F2051"/>
      <c r="G2051"/>
    </row>
    <row r="2052" spans="1:7" x14ac:dyDescent="0.35">
      <c r="A2052"/>
      <c r="B2052"/>
      <c r="C2052"/>
      <c r="D2052"/>
      <c r="E2052"/>
      <c r="F2052"/>
      <c r="G2052"/>
    </row>
    <row r="2053" spans="1:7" x14ac:dyDescent="0.35">
      <c r="A2053"/>
      <c r="B2053"/>
      <c r="C2053"/>
      <c r="D2053"/>
      <c r="E2053"/>
      <c r="F2053"/>
      <c r="G2053"/>
    </row>
    <row r="2054" spans="1:7" x14ac:dyDescent="0.35">
      <c r="A2054"/>
      <c r="B2054"/>
      <c r="C2054"/>
      <c r="D2054"/>
      <c r="E2054"/>
      <c r="F2054"/>
      <c r="G2054"/>
    </row>
    <row r="2055" spans="1:7" x14ac:dyDescent="0.35">
      <c r="A2055"/>
      <c r="B2055"/>
      <c r="C2055"/>
      <c r="D2055"/>
      <c r="E2055"/>
      <c r="F2055"/>
      <c r="G2055"/>
    </row>
    <row r="2056" spans="1:7" x14ac:dyDescent="0.35">
      <c r="A2056"/>
      <c r="B2056"/>
      <c r="C2056"/>
      <c r="D2056"/>
      <c r="E2056"/>
      <c r="F2056"/>
      <c r="G2056"/>
    </row>
    <row r="2057" spans="1:7" x14ac:dyDescent="0.35">
      <c r="A2057"/>
      <c r="B2057"/>
      <c r="C2057"/>
      <c r="D2057"/>
      <c r="E2057"/>
      <c r="F2057"/>
      <c r="G2057"/>
    </row>
    <row r="2058" spans="1:7" x14ac:dyDescent="0.35">
      <c r="A2058"/>
      <c r="B2058"/>
      <c r="C2058"/>
      <c r="D2058"/>
      <c r="E2058"/>
      <c r="F2058"/>
      <c r="G2058"/>
    </row>
    <row r="2059" spans="1:7" x14ac:dyDescent="0.35">
      <c r="A2059"/>
      <c r="B2059"/>
      <c r="C2059"/>
      <c r="D2059"/>
      <c r="E2059"/>
      <c r="F2059"/>
      <c r="G2059"/>
    </row>
    <row r="2060" spans="1:7" x14ac:dyDescent="0.35">
      <c r="A2060"/>
      <c r="B2060"/>
      <c r="C2060"/>
      <c r="D2060"/>
      <c r="E2060"/>
      <c r="F2060"/>
      <c r="G2060"/>
    </row>
    <row r="2061" spans="1:7" x14ac:dyDescent="0.35">
      <c r="A2061"/>
      <c r="B2061"/>
      <c r="C2061"/>
      <c r="D2061"/>
      <c r="E2061"/>
      <c r="F2061"/>
      <c r="G2061"/>
    </row>
    <row r="2062" spans="1:7" x14ac:dyDescent="0.35">
      <c r="A2062"/>
      <c r="B2062"/>
      <c r="C2062"/>
      <c r="D2062"/>
      <c r="E2062"/>
      <c r="F2062"/>
      <c r="G2062"/>
    </row>
    <row r="2063" spans="1:7" x14ac:dyDescent="0.35">
      <c r="A2063"/>
      <c r="B2063"/>
      <c r="C2063"/>
      <c r="D2063"/>
      <c r="E2063"/>
      <c r="F2063"/>
      <c r="G2063"/>
    </row>
    <row r="2064" spans="1:7" x14ac:dyDescent="0.35">
      <c r="A2064"/>
      <c r="B2064"/>
      <c r="C2064"/>
      <c r="D2064"/>
      <c r="E2064"/>
      <c r="F2064"/>
      <c r="G2064"/>
    </row>
    <row r="2065" spans="1:7" x14ac:dyDescent="0.35">
      <c r="A2065"/>
      <c r="B2065"/>
      <c r="C2065"/>
      <c r="D2065"/>
      <c r="E2065"/>
      <c r="F2065"/>
      <c r="G2065"/>
    </row>
    <row r="2066" spans="1:7" x14ac:dyDescent="0.35">
      <c r="A2066"/>
      <c r="B2066"/>
      <c r="C2066"/>
      <c r="D2066"/>
      <c r="E2066"/>
      <c r="F2066"/>
      <c r="G2066"/>
    </row>
    <row r="2067" spans="1:7" x14ac:dyDescent="0.35">
      <c r="A2067"/>
      <c r="B2067"/>
      <c r="C2067"/>
      <c r="D2067"/>
      <c r="E2067"/>
      <c r="F2067"/>
      <c r="G2067"/>
    </row>
    <row r="2068" spans="1:7" x14ac:dyDescent="0.35">
      <c r="A2068"/>
      <c r="B2068"/>
      <c r="C2068"/>
      <c r="D2068"/>
      <c r="E2068"/>
      <c r="F2068"/>
      <c r="G2068"/>
    </row>
    <row r="2069" spans="1:7" x14ac:dyDescent="0.35">
      <c r="A2069"/>
      <c r="B2069"/>
      <c r="C2069"/>
      <c r="D2069"/>
      <c r="E2069"/>
      <c r="F2069"/>
      <c r="G2069"/>
    </row>
    <row r="2070" spans="1:7" x14ac:dyDescent="0.35">
      <c r="A2070"/>
      <c r="B2070"/>
      <c r="C2070"/>
      <c r="D2070"/>
      <c r="E2070"/>
      <c r="F2070"/>
      <c r="G2070"/>
    </row>
    <row r="2071" spans="1:7" x14ac:dyDescent="0.35">
      <c r="A2071"/>
      <c r="B2071"/>
      <c r="C2071"/>
      <c r="D2071"/>
      <c r="E2071"/>
      <c r="F2071"/>
      <c r="G2071"/>
    </row>
    <row r="2072" spans="1:7" x14ac:dyDescent="0.35">
      <c r="A2072"/>
      <c r="B2072"/>
      <c r="C2072"/>
      <c r="D2072"/>
      <c r="E2072"/>
      <c r="F2072"/>
      <c r="G2072"/>
    </row>
    <row r="2073" spans="1:7" x14ac:dyDescent="0.35">
      <c r="A2073"/>
      <c r="B2073"/>
      <c r="C2073"/>
      <c r="D2073"/>
      <c r="E2073"/>
      <c r="F2073"/>
      <c r="G2073"/>
    </row>
    <row r="2074" spans="1:7" x14ac:dyDescent="0.35">
      <c r="A2074"/>
      <c r="B2074"/>
      <c r="C2074"/>
      <c r="D2074"/>
      <c r="E2074"/>
      <c r="F2074"/>
      <c r="G2074"/>
    </row>
    <row r="2075" spans="1:7" x14ac:dyDescent="0.35">
      <c r="A2075"/>
      <c r="B2075"/>
      <c r="C2075"/>
      <c r="D2075"/>
      <c r="E2075"/>
      <c r="F2075"/>
      <c r="G2075"/>
    </row>
    <row r="2076" spans="1:7" x14ac:dyDescent="0.35">
      <c r="A2076"/>
      <c r="B2076"/>
      <c r="C2076"/>
      <c r="D2076"/>
      <c r="E2076"/>
      <c r="F2076"/>
      <c r="G2076"/>
    </row>
    <row r="2077" spans="1:7" x14ac:dyDescent="0.35">
      <c r="A2077"/>
      <c r="B2077"/>
      <c r="C2077"/>
      <c r="D2077"/>
      <c r="E2077"/>
      <c r="F2077"/>
      <c r="G2077"/>
    </row>
    <row r="2078" spans="1:7" x14ac:dyDescent="0.35">
      <c r="A2078"/>
      <c r="B2078"/>
      <c r="C2078"/>
      <c r="D2078"/>
      <c r="E2078"/>
      <c r="F2078"/>
      <c r="G2078"/>
    </row>
    <row r="2079" spans="1:7" x14ac:dyDescent="0.35">
      <c r="A2079"/>
      <c r="B2079"/>
      <c r="C2079"/>
      <c r="D2079"/>
      <c r="E2079"/>
      <c r="F2079"/>
      <c r="G2079"/>
    </row>
    <row r="2080" spans="1:7" x14ac:dyDescent="0.35">
      <c r="A2080"/>
      <c r="B2080"/>
      <c r="C2080"/>
      <c r="D2080"/>
      <c r="E2080"/>
      <c r="F2080"/>
      <c r="G2080"/>
    </row>
    <row r="2081" spans="1:7" x14ac:dyDescent="0.35">
      <c r="A2081"/>
      <c r="B2081"/>
      <c r="C2081"/>
      <c r="D2081"/>
      <c r="E2081"/>
      <c r="F2081"/>
      <c r="G2081"/>
    </row>
    <row r="2082" spans="1:7" x14ac:dyDescent="0.35">
      <c r="A2082"/>
      <c r="B2082"/>
      <c r="C2082"/>
      <c r="D2082"/>
      <c r="E2082"/>
      <c r="F2082"/>
      <c r="G2082"/>
    </row>
    <row r="2083" spans="1:7" x14ac:dyDescent="0.35">
      <c r="A2083"/>
      <c r="B2083"/>
      <c r="C2083"/>
      <c r="D2083"/>
      <c r="E2083"/>
      <c r="F2083"/>
      <c r="G2083"/>
    </row>
    <row r="2084" spans="1:7" x14ac:dyDescent="0.35">
      <c r="A2084"/>
      <c r="B2084"/>
      <c r="C2084"/>
      <c r="D2084"/>
      <c r="E2084"/>
      <c r="F2084"/>
      <c r="G2084"/>
    </row>
    <row r="2085" spans="1:7" x14ac:dyDescent="0.35">
      <c r="A2085"/>
      <c r="B2085"/>
      <c r="C2085"/>
      <c r="D2085"/>
      <c r="E2085"/>
      <c r="F2085"/>
      <c r="G2085"/>
    </row>
    <row r="2086" spans="1:7" x14ac:dyDescent="0.35">
      <c r="A2086"/>
      <c r="B2086"/>
      <c r="C2086"/>
      <c r="D2086"/>
      <c r="E2086"/>
      <c r="F2086"/>
      <c r="G2086"/>
    </row>
    <row r="2087" spans="1:7" x14ac:dyDescent="0.35">
      <c r="A2087"/>
      <c r="B2087"/>
      <c r="C2087"/>
      <c r="D2087"/>
      <c r="E2087"/>
      <c r="F2087"/>
      <c r="G2087"/>
    </row>
    <row r="2088" spans="1:7" x14ac:dyDescent="0.35">
      <c r="A2088"/>
      <c r="B2088"/>
      <c r="C2088"/>
      <c r="D2088"/>
      <c r="E2088"/>
      <c r="F2088"/>
      <c r="G2088"/>
    </row>
    <row r="2089" spans="1:7" x14ac:dyDescent="0.35">
      <c r="A2089"/>
      <c r="B2089"/>
      <c r="C2089"/>
      <c r="D2089"/>
      <c r="E2089"/>
      <c r="F2089"/>
      <c r="G2089"/>
    </row>
    <row r="2090" spans="1:7" x14ac:dyDescent="0.35">
      <c r="A2090"/>
      <c r="B2090"/>
      <c r="C2090"/>
      <c r="D2090"/>
      <c r="E2090"/>
      <c r="F2090"/>
      <c r="G2090"/>
    </row>
    <row r="2091" spans="1:7" x14ac:dyDescent="0.35">
      <c r="A2091"/>
      <c r="B2091"/>
      <c r="C2091"/>
      <c r="D2091"/>
      <c r="E2091"/>
      <c r="F2091"/>
      <c r="G2091"/>
    </row>
    <row r="2092" spans="1:7" x14ac:dyDescent="0.35">
      <c r="A2092"/>
      <c r="B2092"/>
      <c r="C2092"/>
      <c r="D2092"/>
      <c r="E2092"/>
      <c r="F2092"/>
      <c r="G2092"/>
    </row>
    <row r="2093" spans="1:7" x14ac:dyDescent="0.35">
      <c r="A2093"/>
      <c r="B2093"/>
      <c r="C2093"/>
      <c r="D2093"/>
      <c r="E2093"/>
      <c r="F2093"/>
      <c r="G2093"/>
    </row>
    <row r="2094" spans="1:7" x14ac:dyDescent="0.35">
      <c r="A2094"/>
      <c r="B2094"/>
      <c r="C2094"/>
      <c r="D2094"/>
      <c r="E2094"/>
      <c r="F2094"/>
      <c r="G2094"/>
    </row>
    <row r="2095" spans="1:7" x14ac:dyDescent="0.35">
      <c r="A2095"/>
      <c r="B2095"/>
      <c r="C2095"/>
      <c r="D2095"/>
      <c r="E2095"/>
      <c r="F2095"/>
      <c r="G2095"/>
    </row>
    <row r="2096" spans="1:7" x14ac:dyDescent="0.35">
      <c r="A2096"/>
      <c r="B2096"/>
      <c r="C2096"/>
      <c r="D2096"/>
      <c r="E2096"/>
      <c r="F2096"/>
      <c r="G2096"/>
    </row>
    <row r="2097" spans="1:7" x14ac:dyDescent="0.35">
      <c r="A2097"/>
      <c r="B2097"/>
      <c r="C2097"/>
      <c r="D2097"/>
      <c r="E2097"/>
      <c r="F2097"/>
      <c r="G2097"/>
    </row>
    <row r="2098" spans="1:7" x14ac:dyDescent="0.35">
      <c r="A2098"/>
      <c r="B2098"/>
      <c r="C2098"/>
      <c r="D2098"/>
      <c r="E2098"/>
      <c r="F2098"/>
      <c r="G2098"/>
    </row>
    <row r="2099" spans="1:7" x14ac:dyDescent="0.35">
      <c r="A2099"/>
      <c r="B2099"/>
      <c r="C2099"/>
      <c r="D2099"/>
      <c r="E2099"/>
      <c r="F2099"/>
      <c r="G2099"/>
    </row>
    <row r="2100" spans="1:7" x14ac:dyDescent="0.35">
      <c r="A2100"/>
      <c r="B2100"/>
      <c r="C2100"/>
      <c r="D2100"/>
      <c r="E2100"/>
      <c r="F2100"/>
      <c r="G2100"/>
    </row>
    <row r="2101" spans="1:7" x14ac:dyDescent="0.35">
      <c r="A2101"/>
      <c r="B2101"/>
      <c r="C2101"/>
      <c r="D2101"/>
      <c r="E2101"/>
      <c r="F2101"/>
      <c r="G2101"/>
    </row>
    <row r="2102" spans="1:7" x14ac:dyDescent="0.35">
      <c r="A2102"/>
      <c r="B2102"/>
      <c r="C2102"/>
      <c r="D2102"/>
      <c r="E2102"/>
      <c r="F2102"/>
      <c r="G2102"/>
    </row>
    <row r="2103" spans="1:7" x14ac:dyDescent="0.35">
      <c r="A2103"/>
      <c r="B2103"/>
      <c r="C2103"/>
      <c r="D2103"/>
      <c r="E2103"/>
      <c r="F2103"/>
      <c r="G2103"/>
    </row>
    <row r="2104" spans="1:7" x14ac:dyDescent="0.35">
      <c r="A2104"/>
      <c r="B2104"/>
      <c r="C2104"/>
      <c r="D2104"/>
      <c r="E2104"/>
      <c r="F2104"/>
      <c r="G2104"/>
    </row>
    <row r="2105" spans="1:7" x14ac:dyDescent="0.35">
      <c r="A2105"/>
      <c r="B2105"/>
      <c r="C2105"/>
      <c r="D2105"/>
      <c r="E2105"/>
      <c r="F2105"/>
      <c r="G2105"/>
    </row>
    <row r="2106" spans="1:7" x14ac:dyDescent="0.35">
      <c r="A2106"/>
      <c r="B2106"/>
      <c r="C2106"/>
      <c r="D2106"/>
      <c r="E2106"/>
      <c r="F2106"/>
      <c r="G2106"/>
    </row>
    <row r="2107" spans="1:7" x14ac:dyDescent="0.35">
      <c r="A2107"/>
      <c r="B2107"/>
      <c r="C2107"/>
      <c r="D2107"/>
      <c r="E2107"/>
      <c r="F2107"/>
      <c r="G2107"/>
    </row>
    <row r="2108" spans="1:7" x14ac:dyDescent="0.35">
      <c r="A2108"/>
      <c r="B2108"/>
      <c r="C2108"/>
      <c r="D2108"/>
      <c r="E2108"/>
      <c r="F2108"/>
      <c r="G2108"/>
    </row>
    <row r="2109" spans="1:7" x14ac:dyDescent="0.35">
      <c r="A2109"/>
      <c r="B2109"/>
      <c r="C2109"/>
      <c r="D2109"/>
      <c r="E2109"/>
      <c r="F2109"/>
      <c r="G2109"/>
    </row>
    <row r="2110" spans="1:7" x14ac:dyDescent="0.35">
      <c r="A2110"/>
      <c r="B2110"/>
      <c r="C2110"/>
      <c r="D2110"/>
      <c r="E2110"/>
      <c r="F2110"/>
      <c r="G2110"/>
    </row>
    <row r="2111" spans="1:7" x14ac:dyDescent="0.35">
      <c r="A2111"/>
      <c r="B2111"/>
      <c r="C2111"/>
      <c r="D2111"/>
      <c r="E2111"/>
      <c r="F2111"/>
      <c r="G2111"/>
    </row>
    <row r="2112" spans="1:7" x14ac:dyDescent="0.35">
      <c r="A2112"/>
      <c r="B2112"/>
      <c r="C2112"/>
      <c r="D2112"/>
      <c r="E2112"/>
      <c r="F2112"/>
      <c r="G2112"/>
    </row>
    <row r="2113" spans="1:7" x14ac:dyDescent="0.35">
      <c r="A2113"/>
      <c r="B2113"/>
      <c r="C2113"/>
      <c r="D2113"/>
      <c r="E2113"/>
      <c r="F2113"/>
      <c r="G2113"/>
    </row>
    <row r="2114" spans="1:7" x14ac:dyDescent="0.35">
      <c r="A2114"/>
      <c r="B2114"/>
      <c r="C2114"/>
      <c r="D2114"/>
      <c r="E2114"/>
      <c r="F2114"/>
      <c r="G2114"/>
    </row>
    <row r="2115" spans="1:7" x14ac:dyDescent="0.35">
      <c r="A2115"/>
      <c r="B2115"/>
      <c r="C2115"/>
      <c r="D2115"/>
      <c r="E2115"/>
      <c r="F2115"/>
      <c r="G2115"/>
    </row>
    <row r="2116" spans="1:7" x14ac:dyDescent="0.35">
      <c r="A2116"/>
      <c r="B2116"/>
      <c r="C2116"/>
      <c r="D2116"/>
      <c r="E2116"/>
      <c r="F2116"/>
      <c r="G2116"/>
    </row>
    <row r="2117" spans="1:7" x14ac:dyDescent="0.35">
      <c r="A2117"/>
      <c r="B2117"/>
      <c r="C2117"/>
      <c r="D2117"/>
      <c r="E2117"/>
      <c r="F2117"/>
      <c r="G2117"/>
    </row>
    <row r="2118" spans="1:7" x14ac:dyDescent="0.35">
      <c r="A2118"/>
      <c r="B2118"/>
      <c r="C2118"/>
      <c r="D2118"/>
      <c r="E2118"/>
      <c r="F2118"/>
      <c r="G2118"/>
    </row>
    <row r="2119" spans="1:7" x14ac:dyDescent="0.35">
      <c r="A2119"/>
      <c r="B2119"/>
      <c r="C2119"/>
      <c r="D2119"/>
      <c r="E2119"/>
      <c r="F2119"/>
      <c r="G2119"/>
    </row>
    <row r="2120" spans="1:7" x14ac:dyDescent="0.35">
      <c r="A2120"/>
      <c r="B2120"/>
      <c r="C2120"/>
      <c r="D2120"/>
      <c r="E2120"/>
      <c r="F2120"/>
      <c r="G2120"/>
    </row>
    <row r="2121" spans="1:7" x14ac:dyDescent="0.35">
      <c r="A2121"/>
      <c r="B2121"/>
      <c r="C2121"/>
      <c r="D2121"/>
      <c r="E2121"/>
      <c r="F2121"/>
      <c r="G2121"/>
    </row>
    <row r="2122" spans="1:7" x14ac:dyDescent="0.35">
      <c r="A2122"/>
      <c r="B2122"/>
      <c r="C2122"/>
      <c r="D2122"/>
      <c r="E2122"/>
      <c r="F2122"/>
      <c r="G2122"/>
    </row>
    <row r="2123" spans="1:7" x14ac:dyDescent="0.35">
      <c r="A2123"/>
      <c r="B2123"/>
      <c r="C2123"/>
      <c r="D2123"/>
      <c r="E2123"/>
      <c r="F2123"/>
      <c r="G2123"/>
    </row>
    <row r="2124" spans="1:7" x14ac:dyDescent="0.35">
      <c r="A2124"/>
      <c r="B2124"/>
      <c r="C2124"/>
      <c r="D2124"/>
      <c r="E2124"/>
      <c r="F2124"/>
      <c r="G2124"/>
    </row>
    <row r="2125" spans="1:7" x14ac:dyDescent="0.35">
      <c r="A2125"/>
      <c r="B2125"/>
      <c r="C2125"/>
      <c r="D2125"/>
      <c r="E2125"/>
      <c r="F2125"/>
      <c r="G2125"/>
    </row>
    <row r="2126" spans="1:7" x14ac:dyDescent="0.35">
      <c r="A2126"/>
      <c r="B2126"/>
      <c r="C2126"/>
      <c r="D2126"/>
      <c r="E2126"/>
      <c r="F2126"/>
      <c r="G2126"/>
    </row>
    <row r="2127" spans="1:7" x14ac:dyDescent="0.35">
      <c r="A2127"/>
      <c r="B2127"/>
      <c r="C2127"/>
      <c r="D2127"/>
      <c r="E2127"/>
      <c r="F2127"/>
      <c r="G2127"/>
    </row>
    <row r="2128" spans="1:7" x14ac:dyDescent="0.35">
      <c r="A2128"/>
      <c r="B2128"/>
      <c r="C2128"/>
      <c r="D2128"/>
      <c r="E2128"/>
      <c r="F2128"/>
      <c r="G2128"/>
    </row>
    <row r="2129" spans="1:7" x14ac:dyDescent="0.35">
      <c r="A2129"/>
      <c r="B2129"/>
      <c r="C2129"/>
      <c r="D2129"/>
      <c r="E2129"/>
      <c r="F2129"/>
      <c r="G2129"/>
    </row>
    <row r="2130" spans="1:7" x14ac:dyDescent="0.35">
      <c r="A2130"/>
      <c r="B2130"/>
      <c r="C2130"/>
      <c r="D2130"/>
      <c r="E2130"/>
      <c r="F2130"/>
      <c r="G2130"/>
    </row>
    <row r="2131" spans="1:7" x14ac:dyDescent="0.35">
      <c r="A2131"/>
      <c r="B2131"/>
      <c r="C2131"/>
      <c r="D2131"/>
      <c r="E2131"/>
      <c r="F2131"/>
      <c r="G2131"/>
    </row>
    <row r="2132" spans="1:7" x14ac:dyDescent="0.35">
      <c r="A2132"/>
      <c r="B2132"/>
      <c r="C2132"/>
      <c r="D2132"/>
      <c r="E2132"/>
      <c r="F2132"/>
      <c r="G2132"/>
    </row>
    <row r="2133" spans="1:7" x14ac:dyDescent="0.35">
      <c r="A2133"/>
      <c r="B2133"/>
      <c r="C2133"/>
      <c r="D2133"/>
      <c r="E2133"/>
      <c r="F2133"/>
      <c r="G2133"/>
    </row>
    <row r="2134" spans="1:7" x14ac:dyDescent="0.35">
      <c r="A2134"/>
      <c r="B2134"/>
      <c r="C2134"/>
      <c r="D2134"/>
      <c r="E2134"/>
      <c r="F2134"/>
      <c r="G2134"/>
    </row>
    <row r="2135" spans="1:7" x14ac:dyDescent="0.35">
      <c r="A2135"/>
      <c r="B2135"/>
      <c r="C2135"/>
      <c r="D2135"/>
      <c r="E2135"/>
      <c r="F2135"/>
      <c r="G2135"/>
    </row>
    <row r="2136" spans="1:7" x14ac:dyDescent="0.35">
      <c r="A2136"/>
      <c r="B2136"/>
      <c r="C2136"/>
      <c r="D2136"/>
      <c r="E2136"/>
      <c r="F2136"/>
      <c r="G2136"/>
    </row>
    <row r="2137" spans="1:7" x14ac:dyDescent="0.35">
      <c r="A2137"/>
      <c r="B2137"/>
      <c r="C2137"/>
      <c r="D2137"/>
      <c r="E2137"/>
      <c r="F2137"/>
      <c r="G2137"/>
    </row>
    <row r="2138" spans="1:7" x14ac:dyDescent="0.35">
      <c r="A2138"/>
      <c r="B2138"/>
      <c r="C2138"/>
      <c r="D2138"/>
      <c r="E2138"/>
      <c r="F2138"/>
      <c r="G2138"/>
    </row>
    <row r="2139" spans="1:7" x14ac:dyDescent="0.35">
      <c r="A2139"/>
      <c r="B2139"/>
      <c r="C2139"/>
      <c r="D2139"/>
      <c r="E2139"/>
      <c r="F2139"/>
      <c r="G2139"/>
    </row>
    <row r="2140" spans="1:7" x14ac:dyDescent="0.35">
      <c r="A2140"/>
      <c r="B2140"/>
      <c r="C2140"/>
      <c r="D2140"/>
      <c r="E2140"/>
      <c r="F2140"/>
      <c r="G2140"/>
    </row>
    <row r="2141" spans="1:7" x14ac:dyDescent="0.35">
      <c r="A2141"/>
      <c r="B2141"/>
      <c r="C2141"/>
      <c r="D2141"/>
      <c r="E2141"/>
      <c r="F2141"/>
      <c r="G2141"/>
    </row>
    <row r="2142" spans="1:7" x14ac:dyDescent="0.35">
      <c r="A2142"/>
      <c r="B2142"/>
      <c r="C2142"/>
      <c r="D2142"/>
      <c r="E2142"/>
      <c r="F2142"/>
      <c r="G2142"/>
    </row>
    <row r="2143" spans="1:7" x14ac:dyDescent="0.35">
      <c r="A2143"/>
      <c r="B2143"/>
      <c r="C2143"/>
      <c r="D2143"/>
      <c r="E2143"/>
      <c r="F2143"/>
      <c r="G2143"/>
    </row>
    <row r="2144" spans="1:7" x14ac:dyDescent="0.35">
      <c r="A2144"/>
      <c r="B2144"/>
      <c r="C2144"/>
      <c r="D2144"/>
      <c r="E2144"/>
      <c r="F2144"/>
      <c r="G2144"/>
    </row>
    <row r="2145" spans="1:7" x14ac:dyDescent="0.35">
      <c r="A2145"/>
      <c r="B2145"/>
      <c r="C2145"/>
      <c r="D2145"/>
      <c r="E2145"/>
      <c r="F2145"/>
      <c r="G2145"/>
    </row>
    <row r="2146" spans="1:7" x14ac:dyDescent="0.35">
      <c r="A2146"/>
      <c r="B2146"/>
      <c r="C2146"/>
      <c r="D2146"/>
      <c r="E2146"/>
      <c r="F2146"/>
      <c r="G2146"/>
    </row>
    <row r="2147" spans="1:7" x14ac:dyDescent="0.35">
      <c r="A2147"/>
      <c r="B2147"/>
      <c r="C2147"/>
      <c r="D2147"/>
      <c r="E2147"/>
      <c r="F2147"/>
      <c r="G2147"/>
    </row>
    <row r="2148" spans="1:7" x14ac:dyDescent="0.35">
      <c r="A2148"/>
      <c r="B2148"/>
      <c r="C2148"/>
      <c r="D2148"/>
      <c r="E2148"/>
      <c r="F2148"/>
      <c r="G2148"/>
    </row>
    <row r="2149" spans="1:7" x14ac:dyDescent="0.35">
      <c r="A2149"/>
      <c r="B2149"/>
      <c r="C2149"/>
      <c r="D2149"/>
      <c r="E2149"/>
      <c r="F2149"/>
      <c r="G2149"/>
    </row>
    <row r="2150" spans="1:7" x14ac:dyDescent="0.35">
      <c r="A2150"/>
      <c r="B2150"/>
      <c r="C2150"/>
      <c r="D2150"/>
      <c r="E2150"/>
      <c r="F2150"/>
      <c r="G2150"/>
    </row>
    <row r="2151" spans="1:7" x14ac:dyDescent="0.35">
      <c r="A2151"/>
      <c r="B2151"/>
      <c r="C2151"/>
      <c r="D2151"/>
      <c r="E2151"/>
      <c r="F2151"/>
      <c r="G2151"/>
    </row>
    <row r="2152" spans="1:7" x14ac:dyDescent="0.35">
      <c r="A2152"/>
      <c r="B2152"/>
      <c r="C2152"/>
      <c r="D2152"/>
      <c r="E2152"/>
      <c r="F2152"/>
      <c r="G2152"/>
    </row>
    <row r="2153" spans="1:7" x14ac:dyDescent="0.35">
      <c r="A2153"/>
      <c r="B2153"/>
      <c r="C2153"/>
      <c r="D2153"/>
      <c r="E2153"/>
      <c r="F2153"/>
      <c r="G2153"/>
    </row>
    <row r="2154" spans="1:7" x14ac:dyDescent="0.35">
      <c r="A2154"/>
      <c r="B2154"/>
      <c r="C2154"/>
      <c r="D2154"/>
      <c r="E2154"/>
      <c r="F2154"/>
      <c r="G2154"/>
    </row>
    <row r="2155" spans="1:7" x14ac:dyDescent="0.35">
      <c r="A2155"/>
      <c r="B2155"/>
      <c r="C2155"/>
      <c r="D2155"/>
      <c r="E2155"/>
      <c r="F2155"/>
      <c r="G2155"/>
    </row>
    <row r="2156" spans="1:7" x14ac:dyDescent="0.35">
      <c r="A2156"/>
      <c r="B2156"/>
      <c r="C2156"/>
      <c r="D2156"/>
      <c r="E2156"/>
      <c r="F2156"/>
      <c r="G2156"/>
    </row>
    <row r="2157" spans="1:7" x14ac:dyDescent="0.35">
      <c r="A2157"/>
      <c r="B2157"/>
      <c r="C2157"/>
      <c r="D2157"/>
      <c r="E2157"/>
      <c r="F2157"/>
      <c r="G2157"/>
    </row>
    <row r="2158" spans="1:7" x14ac:dyDescent="0.35">
      <c r="A2158"/>
      <c r="B2158"/>
      <c r="C2158"/>
      <c r="D2158"/>
      <c r="E2158"/>
      <c r="F2158"/>
      <c r="G2158"/>
    </row>
    <row r="2159" spans="1:7" x14ac:dyDescent="0.35">
      <c r="A2159"/>
      <c r="B2159"/>
      <c r="C2159"/>
      <c r="D2159"/>
      <c r="E2159"/>
      <c r="F2159"/>
      <c r="G2159"/>
    </row>
    <row r="2160" spans="1:7" x14ac:dyDescent="0.35">
      <c r="A2160"/>
      <c r="B2160"/>
      <c r="C2160"/>
      <c r="D2160"/>
      <c r="E2160"/>
      <c r="F2160"/>
      <c r="G2160"/>
    </row>
    <row r="2161" spans="1:7" x14ac:dyDescent="0.35">
      <c r="A2161"/>
      <c r="B2161"/>
      <c r="C2161"/>
      <c r="D2161"/>
      <c r="E2161"/>
      <c r="F2161"/>
      <c r="G2161"/>
    </row>
    <row r="2162" spans="1:7" x14ac:dyDescent="0.35">
      <c r="A2162"/>
      <c r="B2162"/>
      <c r="C2162"/>
      <c r="D2162"/>
      <c r="E2162"/>
      <c r="F2162"/>
      <c r="G2162"/>
    </row>
    <row r="2163" spans="1:7" x14ac:dyDescent="0.35">
      <c r="A2163"/>
      <c r="B2163"/>
      <c r="C2163"/>
      <c r="D2163"/>
      <c r="E2163"/>
      <c r="F2163"/>
      <c r="G2163"/>
    </row>
    <row r="2164" spans="1:7" x14ac:dyDescent="0.35">
      <c r="A2164"/>
      <c r="B2164"/>
      <c r="C2164"/>
      <c r="D2164"/>
      <c r="E2164"/>
      <c r="F2164"/>
      <c r="G2164"/>
    </row>
    <row r="2165" spans="1:7" x14ac:dyDescent="0.35">
      <c r="A2165"/>
      <c r="B2165"/>
      <c r="C2165"/>
      <c r="D2165"/>
      <c r="E2165"/>
      <c r="F2165"/>
      <c r="G2165"/>
    </row>
    <row r="2166" spans="1:7" x14ac:dyDescent="0.35">
      <c r="A2166"/>
      <c r="B2166"/>
      <c r="C2166"/>
      <c r="D2166"/>
      <c r="E2166"/>
      <c r="F2166"/>
      <c r="G2166"/>
    </row>
    <row r="2167" spans="1:7" x14ac:dyDescent="0.35">
      <c r="A2167"/>
      <c r="B2167"/>
      <c r="C2167"/>
      <c r="D2167"/>
      <c r="E2167"/>
      <c r="F2167"/>
      <c r="G2167"/>
    </row>
    <row r="2168" spans="1:7" x14ac:dyDescent="0.35">
      <c r="A2168"/>
      <c r="B2168"/>
      <c r="C2168"/>
      <c r="D2168"/>
      <c r="E2168"/>
      <c r="F2168"/>
      <c r="G2168"/>
    </row>
    <row r="2169" spans="1:7" x14ac:dyDescent="0.35">
      <c r="A2169"/>
      <c r="B2169"/>
      <c r="C2169"/>
      <c r="D2169"/>
      <c r="E2169"/>
      <c r="F2169"/>
      <c r="G2169"/>
    </row>
    <row r="2170" spans="1:7" x14ac:dyDescent="0.35">
      <c r="A2170"/>
      <c r="B2170"/>
      <c r="C2170"/>
      <c r="D2170"/>
      <c r="E2170"/>
      <c r="F2170"/>
      <c r="G2170"/>
    </row>
    <row r="2171" spans="1:7" x14ac:dyDescent="0.35">
      <c r="A2171"/>
      <c r="B2171"/>
      <c r="C2171"/>
      <c r="D2171"/>
      <c r="E2171"/>
      <c r="F2171"/>
      <c r="G2171"/>
    </row>
    <row r="2172" spans="1:7" x14ac:dyDescent="0.35">
      <c r="A2172"/>
      <c r="B2172"/>
      <c r="C2172"/>
      <c r="D2172"/>
      <c r="E2172"/>
      <c r="F2172"/>
      <c r="G2172"/>
    </row>
    <row r="2173" spans="1:7" x14ac:dyDescent="0.35">
      <c r="A2173"/>
      <c r="B2173"/>
      <c r="C2173"/>
      <c r="D2173"/>
      <c r="E2173"/>
      <c r="F2173"/>
      <c r="G2173"/>
    </row>
    <row r="2174" spans="1:7" x14ac:dyDescent="0.35">
      <c r="A2174"/>
      <c r="B2174"/>
      <c r="C2174"/>
      <c r="D2174"/>
      <c r="E2174"/>
      <c r="F2174"/>
      <c r="G2174"/>
    </row>
    <row r="2175" spans="1:7" x14ac:dyDescent="0.35">
      <c r="A2175"/>
      <c r="B2175"/>
      <c r="C2175"/>
      <c r="D2175"/>
      <c r="E2175"/>
      <c r="F2175"/>
      <c r="G2175"/>
    </row>
    <row r="2176" spans="1:7" x14ac:dyDescent="0.35">
      <c r="A2176"/>
      <c r="B2176"/>
      <c r="C2176"/>
      <c r="D2176"/>
      <c r="E2176"/>
      <c r="F2176"/>
      <c r="G2176"/>
    </row>
    <row r="2177" spans="1:7" x14ac:dyDescent="0.35">
      <c r="A2177"/>
      <c r="B2177"/>
      <c r="C2177"/>
      <c r="D2177"/>
      <c r="E2177"/>
      <c r="F2177"/>
      <c r="G2177"/>
    </row>
    <row r="2178" spans="1:7" x14ac:dyDescent="0.35">
      <c r="A2178"/>
      <c r="B2178"/>
      <c r="C2178"/>
      <c r="D2178"/>
      <c r="E2178"/>
      <c r="F2178"/>
      <c r="G2178"/>
    </row>
    <row r="2179" spans="1:7" x14ac:dyDescent="0.35">
      <c r="A2179"/>
      <c r="B2179"/>
      <c r="C2179"/>
      <c r="D2179"/>
      <c r="E2179"/>
      <c r="F2179"/>
      <c r="G2179"/>
    </row>
    <row r="2180" spans="1:7" x14ac:dyDescent="0.35">
      <c r="A2180"/>
      <c r="B2180"/>
      <c r="C2180"/>
      <c r="D2180"/>
      <c r="E2180"/>
      <c r="F2180"/>
      <c r="G2180"/>
    </row>
    <row r="2181" spans="1:7" x14ac:dyDescent="0.35">
      <c r="A2181"/>
      <c r="B2181"/>
      <c r="C2181"/>
      <c r="D2181"/>
      <c r="E2181"/>
      <c r="F2181"/>
      <c r="G2181"/>
    </row>
    <row r="2182" spans="1:7" x14ac:dyDescent="0.35">
      <c r="A2182"/>
      <c r="B2182"/>
      <c r="C2182"/>
      <c r="D2182"/>
      <c r="E2182"/>
      <c r="F2182"/>
      <c r="G2182"/>
    </row>
    <row r="2183" spans="1:7" x14ac:dyDescent="0.35">
      <c r="A2183"/>
      <c r="B2183"/>
      <c r="C2183"/>
      <c r="D2183"/>
      <c r="E2183"/>
      <c r="F2183"/>
      <c r="G2183"/>
    </row>
    <row r="2184" spans="1:7" x14ac:dyDescent="0.35">
      <c r="A2184"/>
      <c r="B2184"/>
      <c r="C2184"/>
      <c r="D2184"/>
      <c r="E2184"/>
      <c r="F2184"/>
      <c r="G2184"/>
    </row>
    <row r="2185" spans="1:7" x14ac:dyDescent="0.35">
      <c r="A2185"/>
      <c r="B2185"/>
      <c r="C2185"/>
      <c r="D2185"/>
      <c r="E2185"/>
      <c r="F2185"/>
      <c r="G2185"/>
    </row>
    <row r="2186" spans="1:7" x14ac:dyDescent="0.35">
      <c r="A2186"/>
      <c r="B2186"/>
      <c r="C2186"/>
      <c r="D2186"/>
      <c r="E2186"/>
      <c r="F2186"/>
      <c r="G2186"/>
    </row>
    <row r="2187" spans="1:7" x14ac:dyDescent="0.35">
      <c r="A2187"/>
      <c r="B2187"/>
      <c r="C2187"/>
      <c r="D2187"/>
      <c r="E2187"/>
      <c r="F2187"/>
      <c r="G2187"/>
    </row>
    <row r="2188" spans="1:7" x14ac:dyDescent="0.35">
      <c r="A2188"/>
      <c r="B2188"/>
      <c r="C2188"/>
      <c r="D2188"/>
      <c r="E2188"/>
      <c r="F2188"/>
      <c r="G2188"/>
    </row>
    <row r="2189" spans="1:7" x14ac:dyDescent="0.35">
      <c r="A2189"/>
      <c r="B2189"/>
      <c r="C2189"/>
      <c r="D2189"/>
      <c r="E2189"/>
      <c r="F2189"/>
      <c r="G2189"/>
    </row>
    <row r="2190" spans="1:7" x14ac:dyDescent="0.35">
      <c r="A2190"/>
      <c r="B2190"/>
      <c r="C2190"/>
      <c r="D2190"/>
      <c r="E2190"/>
      <c r="F2190"/>
      <c r="G2190"/>
    </row>
    <row r="2191" spans="1:7" x14ac:dyDescent="0.35">
      <c r="A2191"/>
      <c r="B2191"/>
      <c r="C2191"/>
      <c r="D2191"/>
      <c r="E2191"/>
      <c r="F2191"/>
      <c r="G2191"/>
    </row>
    <row r="2192" spans="1:7" x14ac:dyDescent="0.35">
      <c r="A2192"/>
      <c r="B2192"/>
      <c r="C2192"/>
      <c r="D2192"/>
      <c r="E2192"/>
      <c r="F2192"/>
      <c r="G2192"/>
    </row>
    <row r="2193" spans="1:7" x14ac:dyDescent="0.35">
      <c r="A2193"/>
      <c r="B2193"/>
      <c r="C2193"/>
      <c r="D2193"/>
      <c r="E2193"/>
      <c r="F2193"/>
      <c r="G2193"/>
    </row>
    <row r="2194" spans="1:7" x14ac:dyDescent="0.35">
      <c r="A2194"/>
      <c r="B2194"/>
      <c r="C2194"/>
      <c r="D2194"/>
      <c r="E2194"/>
      <c r="F2194"/>
      <c r="G2194"/>
    </row>
    <row r="2195" spans="1:7" x14ac:dyDescent="0.35">
      <c r="A2195"/>
      <c r="B2195"/>
      <c r="C2195"/>
      <c r="D2195"/>
      <c r="E2195"/>
      <c r="F2195"/>
      <c r="G2195"/>
    </row>
    <row r="2196" spans="1:7" x14ac:dyDescent="0.35">
      <c r="A2196"/>
      <c r="B2196"/>
      <c r="C2196"/>
      <c r="D2196"/>
      <c r="E2196"/>
      <c r="F2196"/>
      <c r="G2196"/>
    </row>
    <row r="2197" spans="1:7" x14ac:dyDescent="0.35">
      <c r="A2197"/>
      <c r="B2197"/>
      <c r="C2197"/>
      <c r="D2197"/>
      <c r="E2197"/>
      <c r="F2197"/>
      <c r="G2197"/>
    </row>
    <row r="2198" spans="1:7" x14ac:dyDescent="0.35">
      <c r="A2198"/>
      <c r="B2198"/>
      <c r="C2198"/>
      <c r="D2198"/>
      <c r="E2198"/>
      <c r="F2198"/>
      <c r="G2198"/>
    </row>
    <row r="2199" spans="1:7" x14ac:dyDescent="0.35">
      <c r="A2199"/>
      <c r="B2199"/>
      <c r="C2199"/>
      <c r="D2199"/>
      <c r="E2199"/>
      <c r="F2199"/>
      <c r="G2199"/>
    </row>
    <row r="2200" spans="1:7" x14ac:dyDescent="0.35">
      <c r="A2200"/>
      <c r="B2200"/>
      <c r="C2200"/>
      <c r="D2200"/>
      <c r="E2200"/>
      <c r="F2200"/>
      <c r="G2200"/>
    </row>
    <row r="2201" spans="1:7" x14ac:dyDescent="0.35">
      <c r="A2201"/>
      <c r="B2201"/>
      <c r="C2201"/>
      <c r="D2201"/>
      <c r="E2201"/>
      <c r="F2201"/>
      <c r="G2201"/>
    </row>
    <row r="2202" spans="1:7" x14ac:dyDescent="0.35">
      <c r="A2202"/>
      <c r="B2202"/>
      <c r="C2202"/>
      <c r="D2202"/>
      <c r="E2202"/>
      <c r="F2202"/>
      <c r="G2202"/>
    </row>
    <row r="2203" spans="1:7" x14ac:dyDescent="0.35">
      <c r="A2203"/>
      <c r="B2203"/>
      <c r="C2203"/>
      <c r="D2203"/>
      <c r="E2203"/>
      <c r="F2203"/>
      <c r="G2203"/>
    </row>
    <row r="2204" spans="1:7" x14ac:dyDescent="0.35">
      <c r="A2204"/>
      <c r="B2204"/>
      <c r="C2204"/>
      <c r="D2204"/>
      <c r="E2204"/>
      <c r="F2204"/>
      <c r="G2204"/>
    </row>
    <row r="2205" spans="1:7" x14ac:dyDescent="0.35">
      <c r="A2205"/>
      <c r="B2205"/>
      <c r="C2205"/>
      <c r="D2205"/>
      <c r="E2205"/>
      <c r="F2205"/>
      <c r="G2205"/>
    </row>
    <row r="2206" spans="1:7" x14ac:dyDescent="0.35">
      <c r="A2206"/>
      <c r="B2206"/>
      <c r="C2206"/>
      <c r="D2206"/>
      <c r="E2206"/>
      <c r="F2206"/>
      <c r="G2206"/>
    </row>
    <row r="2207" spans="1:7" x14ac:dyDescent="0.35">
      <c r="A2207"/>
      <c r="B2207"/>
      <c r="C2207"/>
      <c r="D2207"/>
      <c r="E2207"/>
      <c r="F2207"/>
      <c r="G2207"/>
    </row>
    <row r="2208" spans="1:7" x14ac:dyDescent="0.35">
      <c r="A2208"/>
      <c r="B2208"/>
      <c r="C2208"/>
      <c r="D2208"/>
      <c r="E2208"/>
      <c r="F2208"/>
      <c r="G2208"/>
    </row>
    <row r="2209" spans="1:7" x14ac:dyDescent="0.35">
      <c r="A2209"/>
      <c r="B2209"/>
      <c r="C2209"/>
      <c r="D2209"/>
      <c r="E2209"/>
      <c r="F2209"/>
      <c r="G2209"/>
    </row>
    <row r="2210" spans="1:7" x14ac:dyDescent="0.35">
      <c r="A2210"/>
      <c r="B2210"/>
      <c r="C2210"/>
      <c r="D2210"/>
      <c r="E2210"/>
      <c r="F2210"/>
      <c r="G2210"/>
    </row>
    <row r="2211" spans="1:7" x14ac:dyDescent="0.35">
      <c r="A2211"/>
      <c r="B2211"/>
      <c r="C2211"/>
      <c r="D2211"/>
      <c r="E2211"/>
      <c r="F2211"/>
      <c r="G2211"/>
    </row>
    <row r="2212" spans="1:7" x14ac:dyDescent="0.35">
      <c r="A2212"/>
      <c r="B2212"/>
      <c r="C2212"/>
      <c r="D2212"/>
      <c r="E2212"/>
      <c r="F2212"/>
      <c r="G2212"/>
    </row>
    <row r="2213" spans="1:7" x14ac:dyDescent="0.35">
      <c r="A2213"/>
      <c r="B2213"/>
      <c r="C2213"/>
      <c r="D2213"/>
      <c r="E2213"/>
      <c r="F2213"/>
      <c r="G2213"/>
    </row>
    <row r="2214" spans="1:7" x14ac:dyDescent="0.35">
      <c r="A2214"/>
      <c r="B2214"/>
      <c r="C2214"/>
      <c r="D2214"/>
      <c r="E2214"/>
      <c r="F2214"/>
      <c r="G2214"/>
    </row>
    <row r="2215" spans="1:7" x14ac:dyDescent="0.35">
      <c r="A2215"/>
      <c r="B2215"/>
      <c r="C2215"/>
      <c r="D2215"/>
      <c r="E2215"/>
      <c r="F2215"/>
      <c r="G2215"/>
    </row>
    <row r="2216" spans="1:7" x14ac:dyDescent="0.35">
      <c r="A2216"/>
      <c r="B2216"/>
      <c r="C2216"/>
      <c r="D2216"/>
      <c r="E2216"/>
      <c r="F2216"/>
      <c r="G2216"/>
    </row>
    <row r="2217" spans="1:7" x14ac:dyDescent="0.35">
      <c r="A2217"/>
      <c r="B2217"/>
      <c r="C2217"/>
      <c r="D2217"/>
      <c r="E2217"/>
      <c r="F2217"/>
      <c r="G2217"/>
    </row>
    <row r="2218" spans="1:7" x14ac:dyDescent="0.35">
      <c r="A2218"/>
      <c r="B2218"/>
      <c r="C2218"/>
      <c r="D2218"/>
      <c r="E2218"/>
      <c r="F2218"/>
      <c r="G2218"/>
    </row>
    <row r="2219" spans="1:7" x14ac:dyDescent="0.35">
      <c r="A2219"/>
      <c r="B2219"/>
      <c r="C2219"/>
      <c r="D2219"/>
      <c r="E2219"/>
      <c r="F2219"/>
      <c r="G2219"/>
    </row>
    <row r="2220" spans="1:7" x14ac:dyDescent="0.35">
      <c r="A2220"/>
      <c r="B2220"/>
      <c r="C2220"/>
      <c r="D2220"/>
      <c r="E2220"/>
      <c r="F2220"/>
      <c r="G2220"/>
    </row>
    <row r="2221" spans="1:7" x14ac:dyDescent="0.35">
      <c r="A2221"/>
      <c r="B2221"/>
      <c r="C2221"/>
      <c r="D2221"/>
      <c r="E2221"/>
      <c r="F2221"/>
      <c r="G2221"/>
    </row>
    <row r="2222" spans="1:7" x14ac:dyDescent="0.35">
      <c r="A2222"/>
      <c r="B2222"/>
      <c r="C2222"/>
      <c r="D2222"/>
      <c r="E2222"/>
      <c r="F2222"/>
      <c r="G2222"/>
    </row>
    <row r="2223" spans="1:7" x14ac:dyDescent="0.35">
      <c r="A2223"/>
      <c r="B2223"/>
      <c r="C2223"/>
      <c r="D2223"/>
      <c r="E2223"/>
      <c r="F2223"/>
      <c r="G2223"/>
    </row>
    <row r="2224" spans="1:7" x14ac:dyDescent="0.35">
      <c r="A2224"/>
      <c r="B2224"/>
      <c r="C2224"/>
      <c r="D2224"/>
      <c r="E2224"/>
      <c r="F2224"/>
      <c r="G2224"/>
    </row>
    <row r="2225" spans="1:7" x14ac:dyDescent="0.35">
      <c r="A2225"/>
      <c r="B2225"/>
      <c r="C2225"/>
      <c r="D2225"/>
      <c r="E2225"/>
      <c r="F2225"/>
      <c r="G2225"/>
    </row>
    <row r="2226" spans="1:7" x14ac:dyDescent="0.35">
      <c r="A2226"/>
      <c r="B2226"/>
      <c r="C2226"/>
      <c r="D2226"/>
      <c r="E2226"/>
      <c r="F2226"/>
      <c r="G2226"/>
    </row>
    <row r="2227" spans="1:7" x14ac:dyDescent="0.35">
      <c r="A2227"/>
      <c r="B2227"/>
      <c r="C2227"/>
      <c r="D2227"/>
      <c r="E2227"/>
      <c r="F2227"/>
      <c r="G2227"/>
    </row>
    <row r="2228" spans="1:7" x14ac:dyDescent="0.35">
      <c r="A2228"/>
      <c r="B2228"/>
      <c r="C2228"/>
      <c r="D2228"/>
      <c r="E2228"/>
      <c r="F2228"/>
      <c r="G2228"/>
    </row>
    <row r="2229" spans="1:7" x14ac:dyDescent="0.35">
      <c r="A2229"/>
      <c r="B2229"/>
      <c r="C2229"/>
      <c r="D2229"/>
      <c r="E2229"/>
      <c r="F2229"/>
      <c r="G2229"/>
    </row>
    <row r="2230" spans="1:7" x14ac:dyDescent="0.35">
      <c r="A2230"/>
      <c r="B2230"/>
      <c r="C2230"/>
      <c r="D2230"/>
      <c r="E2230"/>
      <c r="F2230"/>
      <c r="G2230"/>
    </row>
    <row r="2231" spans="1:7" x14ac:dyDescent="0.35">
      <c r="A2231"/>
      <c r="B2231"/>
      <c r="C2231"/>
      <c r="D2231"/>
      <c r="E2231"/>
      <c r="F2231"/>
      <c r="G2231"/>
    </row>
    <row r="2232" spans="1:7" x14ac:dyDescent="0.35">
      <c r="A2232"/>
      <c r="B2232"/>
      <c r="C2232"/>
      <c r="D2232"/>
      <c r="E2232"/>
      <c r="F2232"/>
      <c r="G2232"/>
    </row>
    <row r="2233" spans="1:7" x14ac:dyDescent="0.35">
      <c r="A2233"/>
      <c r="B2233"/>
      <c r="C2233"/>
      <c r="D2233"/>
      <c r="E2233"/>
      <c r="F2233"/>
      <c r="G2233"/>
    </row>
    <row r="2234" spans="1:7" x14ac:dyDescent="0.35">
      <c r="A2234"/>
      <c r="B2234"/>
      <c r="C2234"/>
      <c r="D2234"/>
      <c r="E2234"/>
      <c r="F2234"/>
      <c r="G2234"/>
    </row>
    <row r="2235" spans="1:7" x14ac:dyDescent="0.35">
      <c r="A2235"/>
      <c r="B2235"/>
      <c r="C2235"/>
      <c r="D2235"/>
      <c r="E2235"/>
      <c r="F2235"/>
      <c r="G2235"/>
    </row>
    <row r="2236" spans="1:7" x14ac:dyDescent="0.35">
      <c r="A2236"/>
      <c r="B2236"/>
      <c r="C2236"/>
      <c r="D2236"/>
      <c r="E2236"/>
      <c r="F2236"/>
      <c r="G2236"/>
    </row>
    <row r="2237" spans="1:7" x14ac:dyDescent="0.35">
      <c r="A2237"/>
      <c r="B2237"/>
      <c r="C2237"/>
      <c r="D2237"/>
      <c r="E2237"/>
      <c r="F2237"/>
      <c r="G2237"/>
    </row>
    <row r="2238" spans="1:7" x14ac:dyDescent="0.35">
      <c r="A2238"/>
      <c r="B2238"/>
      <c r="C2238"/>
      <c r="D2238"/>
      <c r="E2238"/>
      <c r="F2238"/>
      <c r="G2238"/>
    </row>
    <row r="2239" spans="1:7" x14ac:dyDescent="0.35">
      <c r="A2239"/>
      <c r="B2239"/>
      <c r="C2239"/>
      <c r="D2239"/>
      <c r="E2239"/>
      <c r="F2239"/>
      <c r="G2239"/>
    </row>
    <row r="2240" spans="1:7" x14ac:dyDescent="0.35">
      <c r="A2240"/>
      <c r="B2240"/>
      <c r="C2240"/>
      <c r="D2240"/>
      <c r="E2240"/>
      <c r="F2240"/>
      <c r="G2240"/>
    </row>
    <row r="2241" spans="1:7" x14ac:dyDescent="0.35">
      <c r="A2241"/>
      <c r="B2241"/>
      <c r="C2241"/>
      <c r="D2241"/>
      <c r="E2241"/>
      <c r="F2241"/>
      <c r="G2241"/>
    </row>
    <row r="2242" spans="1:7" x14ac:dyDescent="0.35">
      <c r="A2242"/>
      <c r="B2242"/>
      <c r="C2242"/>
      <c r="D2242"/>
      <c r="E2242"/>
      <c r="F2242"/>
      <c r="G2242"/>
    </row>
    <row r="2243" spans="1:7" x14ac:dyDescent="0.35">
      <c r="A2243"/>
      <c r="B2243"/>
      <c r="C2243"/>
      <c r="D2243"/>
      <c r="E2243"/>
      <c r="F2243"/>
      <c r="G2243"/>
    </row>
    <row r="2244" spans="1:7" x14ac:dyDescent="0.35">
      <c r="A2244"/>
      <c r="B2244"/>
      <c r="C2244"/>
      <c r="D2244"/>
      <c r="E2244"/>
      <c r="F2244"/>
      <c r="G2244"/>
    </row>
    <row r="2245" spans="1:7" x14ac:dyDescent="0.35">
      <c r="A2245"/>
      <c r="B2245"/>
      <c r="C2245"/>
      <c r="D2245"/>
      <c r="E2245"/>
      <c r="F2245"/>
      <c r="G2245"/>
    </row>
    <row r="2246" spans="1:7" x14ac:dyDescent="0.35">
      <c r="A2246"/>
      <c r="B2246"/>
      <c r="C2246"/>
      <c r="D2246"/>
      <c r="E2246"/>
      <c r="F2246"/>
      <c r="G2246"/>
    </row>
    <row r="2247" spans="1:7" x14ac:dyDescent="0.35">
      <c r="A2247"/>
      <c r="B2247"/>
      <c r="C2247"/>
      <c r="D2247"/>
      <c r="E2247"/>
      <c r="F2247"/>
      <c r="G2247"/>
    </row>
    <row r="2248" spans="1:7" x14ac:dyDescent="0.35">
      <c r="A2248"/>
      <c r="B2248"/>
      <c r="C2248"/>
      <c r="D2248"/>
      <c r="E2248"/>
      <c r="F2248"/>
      <c r="G2248"/>
    </row>
    <row r="2249" spans="1:7" x14ac:dyDescent="0.35">
      <c r="A2249"/>
      <c r="B2249"/>
      <c r="C2249"/>
      <c r="D2249"/>
      <c r="E2249"/>
      <c r="F2249"/>
      <c r="G2249"/>
    </row>
    <row r="2250" spans="1:7" x14ac:dyDescent="0.35">
      <c r="A2250"/>
      <c r="B2250"/>
      <c r="C2250"/>
      <c r="D2250"/>
      <c r="E2250"/>
      <c r="F2250"/>
      <c r="G2250"/>
    </row>
    <row r="2251" spans="1:7" x14ac:dyDescent="0.35">
      <c r="A2251"/>
      <c r="B2251"/>
      <c r="C2251"/>
      <c r="D2251"/>
      <c r="E2251"/>
      <c r="F2251"/>
      <c r="G2251"/>
    </row>
    <row r="2252" spans="1:7" x14ac:dyDescent="0.35">
      <c r="A2252"/>
      <c r="B2252"/>
      <c r="C2252"/>
      <c r="D2252"/>
      <c r="E2252"/>
      <c r="F2252"/>
      <c r="G2252"/>
    </row>
    <row r="2253" spans="1:7" x14ac:dyDescent="0.35">
      <c r="A2253"/>
      <c r="B2253"/>
      <c r="C2253"/>
      <c r="D2253"/>
      <c r="E2253"/>
      <c r="F2253"/>
      <c r="G2253"/>
    </row>
    <row r="2254" spans="1:7" x14ac:dyDescent="0.35">
      <c r="A2254"/>
      <c r="B2254"/>
      <c r="C2254"/>
      <c r="D2254"/>
      <c r="E2254"/>
      <c r="F2254"/>
      <c r="G2254"/>
    </row>
    <row r="2255" spans="1:7" x14ac:dyDescent="0.35">
      <c r="A2255"/>
      <c r="B2255"/>
      <c r="C2255"/>
      <c r="D2255"/>
      <c r="E2255"/>
      <c r="F2255"/>
      <c r="G2255"/>
    </row>
    <row r="2256" spans="1:7" x14ac:dyDescent="0.35">
      <c r="A2256"/>
      <c r="B2256"/>
      <c r="C2256"/>
      <c r="D2256"/>
      <c r="E2256"/>
      <c r="F2256"/>
      <c r="G2256"/>
    </row>
    <row r="2257" spans="1:7" x14ac:dyDescent="0.35">
      <c r="A2257"/>
      <c r="B2257"/>
      <c r="C2257"/>
      <c r="D2257"/>
      <c r="E2257"/>
      <c r="F2257"/>
      <c r="G2257"/>
    </row>
    <row r="2258" spans="1:7" x14ac:dyDescent="0.35">
      <c r="A2258"/>
      <c r="B2258"/>
      <c r="C2258"/>
      <c r="D2258"/>
      <c r="E2258"/>
      <c r="F2258"/>
      <c r="G2258"/>
    </row>
    <row r="2259" spans="1:7" x14ac:dyDescent="0.35">
      <c r="A2259"/>
      <c r="B2259"/>
      <c r="C2259"/>
      <c r="D2259"/>
      <c r="E2259"/>
      <c r="F2259"/>
      <c r="G2259"/>
    </row>
    <row r="2260" spans="1:7" x14ac:dyDescent="0.35">
      <c r="A2260"/>
      <c r="B2260"/>
      <c r="C2260"/>
      <c r="D2260"/>
      <c r="E2260"/>
      <c r="F2260"/>
      <c r="G2260"/>
    </row>
    <row r="2261" spans="1:7" x14ac:dyDescent="0.35">
      <c r="A2261"/>
      <c r="B2261"/>
      <c r="C2261"/>
      <c r="D2261"/>
      <c r="E2261"/>
      <c r="F2261"/>
      <c r="G2261"/>
    </row>
    <row r="2262" spans="1:7" x14ac:dyDescent="0.35">
      <c r="A2262"/>
      <c r="B2262"/>
      <c r="C2262"/>
      <c r="D2262"/>
      <c r="E2262"/>
      <c r="F2262"/>
      <c r="G2262"/>
    </row>
    <row r="2263" spans="1:7" x14ac:dyDescent="0.35">
      <c r="A2263"/>
      <c r="B2263"/>
      <c r="C2263"/>
      <c r="D2263"/>
      <c r="E2263"/>
      <c r="F2263"/>
      <c r="G2263"/>
    </row>
    <row r="2264" spans="1:7" x14ac:dyDescent="0.35">
      <c r="A2264"/>
      <c r="B2264"/>
      <c r="C2264"/>
      <c r="D2264"/>
      <c r="E2264"/>
      <c r="F2264"/>
      <c r="G2264"/>
    </row>
    <row r="2265" spans="1:7" x14ac:dyDescent="0.35">
      <c r="A2265"/>
      <c r="B2265"/>
      <c r="C2265"/>
      <c r="D2265"/>
      <c r="E2265"/>
      <c r="F2265"/>
      <c r="G2265"/>
    </row>
    <row r="2266" spans="1:7" x14ac:dyDescent="0.35">
      <c r="A2266"/>
      <c r="B2266"/>
      <c r="C2266"/>
      <c r="D2266"/>
      <c r="E2266"/>
      <c r="F2266"/>
      <c r="G2266"/>
    </row>
    <row r="2267" spans="1:7" x14ac:dyDescent="0.35">
      <c r="A2267"/>
      <c r="B2267"/>
      <c r="C2267"/>
      <c r="D2267"/>
      <c r="E2267"/>
      <c r="F2267"/>
      <c r="G2267"/>
    </row>
    <row r="2268" spans="1:7" x14ac:dyDescent="0.35">
      <c r="A2268"/>
      <c r="B2268"/>
      <c r="C2268"/>
      <c r="D2268"/>
      <c r="E2268"/>
      <c r="F2268"/>
      <c r="G2268"/>
    </row>
    <row r="2269" spans="1:7" x14ac:dyDescent="0.35">
      <c r="A2269"/>
      <c r="B2269"/>
      <c r="C2269"/>
      <c r="D2269"/>
      <c r="E2269"/>
      <c r="F2269"/>
      <c r="G2269"/>
    </row>
    <row r="2270" spans="1:7" x14ac:dyDescent="0.35">
      <c r="A2270"/>
      <c r="B2270"/>
      <c r="C2270"/>
      <c r="D2270"/>
      <c r="E2270"/>
      <c r="F2270"/>
      <c r="G2270"/>
    </row>
    <row r="2271" spans="1:7" x14ac:dyDescent="0.35">
      <c r="A2271"/>
      <c r="B2271"/>
      <c r="C2271"/>
      <c r="D2271"/>
      <c r="E2271"/>
      <c r="F2271"/>
      <c r="G2271"/>
    </row>
    <row r="2272" spans="1:7" x14ac:dyDescent="0.35">
      <c r="A2272"/>
      <c r="B2272"/>
      <c r="C2272"/>
      <c r="D2272"/>
      <c r="E2272"/>
      <c r="F2272"/>
      <c r="G2272"/>
    </row>
    <row r="2273" spans="1:7" x14ac:dyDescent="0.35">
      <c r="A2273"/>
      <c r="B2273"/>
      <c r="C2273"/>
      <c r="D2273"/>
      <c r="E2273"/>
      <c r="F2273"/>
      <c r="G2273"/>
    </row>
    <row r="2274" spans="1:7" x14ac:dyDescent="0.35">
      <c r="A2274"/>
      <c r="B2274"/>
      <c r="C2274"/>
      <c r="D2274"/>
      <c r="E2274"/>
      <c r="F2274"/>
      <c r="G2274"/>
    </row>
    <row r="2275" spans="1:7" x14ac:dyDescent="0.35">
      <c r="A2275"/>
      <c r="B2275"/>
      <c r="C2275"/>
      <c r="D2275"/>
      <c r="E2275"/>
      <c r="F2275"/>
      <c r="G2275"/>
    </row>
    <row r="2276" spans="1:7" x14ac:dyDescent="0.35">
      <c r="A2276"/>
      <c r="B2276"/>
      <c r="C2276"/>
      <c r="D2276"/>
      <c r="E2276"/>
      <c r="F2276"/>
      <c r="G2276"/>
    </row>
    <row r="2277" spans="1:7" x14ac:dyDescent="0.35">
      <c r="A2277"/>
      <c r="B2277"/>
      <c r="C2277"/>
      <c r="D2277"/>
      <c r="E2277"/>
      <c r="F2277"/>
      <c r="G2277"/>
    </row>
    <row r="2278" spans="1:7" x14ac:dyDescent="0.35">
      <c r="A2278"/>
      <c r="B2278"/>
      <c r="C2278"/>
      <c r="D2278"/>
      <c r="E2278"/>
      <c r="F2278"/>
      <c r="G2278"/>
    </row>
    <row r="2279" spans="1:7" x14ac:dyDescent="0.35">
      <c r="A2279"/>
      <c r="B2279"/>
      <c r="C2279"/>
      <c r="D2279"/>
      <c r="E2279"/>
      <c r="F2279"/>
      <c r="G2279"/>
    </row>
    <row r="2280" spans="1:7" x14ac:dyDescent="0.35">
      <c r="A2280"/>
      <c r="B2280"/>
      <c r="C2280"/>
      <c r="D2280"/>
      <c r="E2280"/>
      <c r="F2280"/>
      <c r="G2280"/>
    </row>
    <row r="2281" spans="1:7" x14ac:dyDescent="0.35">
      <c r="A2281"/>
      <c r="B2281"/>
      <c r="C2281"/>
      <c r="D2281"/>
      <c r="E2281"/>
      <c r="F2281"/>
      <c r="G2281"/>
    </row>
    <row r="2282" spans="1:7" x14ac:dyDescent="0.35">
      <c r="A2282"/>
      <c r="B2282"/>
      <c r="C2282"/>
      <c r="D2282"/>
      <c r="E2282"/>
      <c r="F2282"/>
      <c r="G2282"/>
    </row>
    <row r="2283" spans="1:7" x14ac:dyDescent="0.35">
      <c r="A2283"/>
      <c r="B2283"/>
      <c r="C2283"/>
      <c r="D2283"/>
      <c r="E2283"/>
      <c r="F2283"/>
      <c r="G2283"/>
    </row>
    <row r="2284" spans="1:7" x14ac:dyDescent="0.35">
      <c r="A2284"/>
      <c r="B2284"/>
      <c r="C2284"/>
      <c r="D2284"/>
      <c r="E2284"/>
      <c r="F2284"/>
      <c r="G2284"/>
    </row>
    <row r="2285" spans="1:7" x14ac:dyDescent="0.35">
      <c r="A2285"/>
      <c r="B2285"/>
      <c r="C2285"/>
      <c r="D2285"/>
      <c r="E2285"/>
      <c r="F2285"/>
      <c r="G2285"/>
    </row>
    <row r="2286" spans="1:7" x14ac:dyDescent="0.35">
      <c r="A2286"/>
      <c r="B2286"/>
      <c r="C2286"/>
      <c r="D2286"/>
      <c r="E2286"/>
      <c r="F2286"/>
      <c r="G2286"/>
    </row>
    <row r="2287" spans="1:7" x14ac:dyDescent="0.35">
      <c r="A2287"/>
      <c r="B2287"/>
      <c r="C2287"/>
      <c r="D2287"/>
      <c r="E2287"/>
      <c r="F2287"/>
      <c r="G2287"/>
    </row>
    <row r="2288" spans="1:7" x14ac:dyDescent="0.35">
      <c r="A2288"/>
      <c r="B2288"/>
      <c r="C2288"/>
      <c r="D2288"/>
      <c r="E2288"/>
      <c r="F2288"/>
      <c r="G2288"/>
    </row>
    <row r="2289" spans="1:7" x14ac:dyDescent="0.35">
      <c r="A2289"/>
      <c r="B2289"/>
      <c r="C2289"/>
      <c r="D2289"/>
      <c r="E2289"/>
      <c r="F2289"/>
      <c r="G2289"/>
    </row>
    <row r="2290" spans="1:7" x14ac:dyDescent="0.35">
      <c r="A2290"/>
      <c r="B2290"/>
      <c r="C2290"/>
      <c r="D2290"/>
      <c r="E2290"/>
      <c r="F2290"/>
      <c r="G2290"/>
    </row>
    <row r="2291" spans="1:7" x14ac:dyDescent="0.35">
      <c r="A2291"/>
      <c r="B2291"/>
      <c r="C2291"/>
      <c r="D2291"/>
      <c r="E2291"/>
      <c r="F2291"/>
      <c r="G2291"/>
    </row>
    <row r="2292" spans="1:7" x14ac:dyDescent="0.35">
      <c r="A2292"/>
      <c r="B2292"/>
      <c r="C2292"/>
      <c r="D2292"/>
      <c r="E2292"/>
      <c r="F2292"/>
      <c r="G2292"/>
    </row>
    <row r="2293" spans="1:7" x14ac:dyDescent="0.35">
      <c r="A2293"/>
      <c r="B2293"/>
      <c r="C2293"/>
      <c r="D2293"/>
      <c r="E2293"/>
      <c r="F2293"/>
      <c r="G2293"/>
    </row>
    <row r="2294" spans="1:7" x14ac:dyDescent="0.35">
      <c r="A2294"/>
      <c r="B2294"/>
      <c r="C2294"/>
      <c r="D2294"/>
      <c r="E2294"/>
      <c r="F2294"/>
      <c r="G2294"/>
    </row>
    <row r="2295" spans="1:7" x14ac:dyDescent="0.35">
      <c r="A2295"/>
      <c r="B2295"/>
      <c r="C2295"/>
      <c r="D2295"/>
      <c r="E2295"/>
      <c r="F2295"/>
      <c r="G2295"/>
    </row>
    <row r="2296" spans="1:7" x14ac:dyDescent="0.35">
      <c r="A2296"/>
      <c r="B2296"/>
      <c r="C2296"/>
      <c r="D2296"/>
      <c r="E2296"/>
      <c r="F2296"/>
      <c r="G2296"/>
    </row>
    <row r="2297" spans="1:7" x14ac:dyDescent="0.35">
      <c r="A2297"/>
      <c r="B2297"/>
      <c r="C2297"/>
      <c r="D2297"/>
      <c r="E2297"/>
      <c r="F2297"/>
      <c r="G2297"/>
    </row>
    <row r="2298" spans="1:7" x14ac:dyDescent="0.35">
      <c r="A2298"/>
      <c r="B2298"/>
      <c r="C2298"/>
      <c r="D2298"/>
      <c r="E2298"/>
      <c r="F2298"/>
      <c r="G2298"/>
    </row>
    <row r="2299" spans="1:7" x14ac:dyDescent="0.35">
      <c r="A2299"/>
      <c r="B2299"/>
      <c r="C2299"/>
      <c r="D2299"/>
      <c r="E2299"/>
      <c r="F2299"/>
      <c r="G2299"/>
    </row>
    <row r="2300" spans="1:7" x14ac:dyDescent="0.35">
      <c r="A2300"/>
      <c r="B2300"/>
      <c r="C2300"/>
      <c r="D2300"/>
      <c r="E2300"/>
      <c r="F2300"/>
      <c r="G2300"/>
    </row>
    <row r="2301" spans="1:7" x14ac:dyDescent="0.35">
      <c r="A2301"/>
      <c r="B2301"/>
      <c r="C2301"/>
      <c r="D2301"/>
      <c r="E2301"/>
      <c r="F2301"/>
      <c r="G2301"/>
    </row>
    <row r="2302" spans="1:7" x14ac:dyDescent="0.35">
      <c r="A2302"/>
      <c r="B2302"/>
      <c r="C2302"/>
      <c r="D2302"/>
      <c r="E2302"/>
      <c r="F2302"/>
      <c r="G2302"/>
    </row>
    <row r="2303" spans="1:7" x14ac:dyDescent="0.35">
      <c r="A2303"/>
      <c r="B2303"/>
      <c r="C2303"/>
      <c r="D2303"/>
      <c r="E2303"/>
      <c r="F2303"/>
      <c r="G2303"/>
    </row>
    <row r="2304" spans="1:7" x14ac:dyDescent="0.35">
      <c r="A2304"/>
      <c r="B2304"/>
      <c r="C2304"/>
      <c r="D2304"/>
      <c r="E2304"/>
      <c r="F2304"/>
      <c r="G2304"/>
    </row>
    <row r="2305" spans="1:7" x14ac:dyDescent="0.35">
      <c r="A2305"/>
      <c r="B2305"/>
      <c r="C2305"/>
      <c r="D2305"/>
      <c r="E2305"/>
      <c r="F2305"/>
      <c r="G2305"/>
    </row>
    <row r="2306" spans="1:7" x14ac:dyDescent="0.35">
      <c r="A2306"/>
      <c r="B2306"/>
      <c r="C2306"/>
      <c r="D2306"/>
      <c r="E2306"/>
      <c r="F2306"/>
      <c r="G2306"/>
    </row>
    <row r="2307" spans="1:7" x14ac:dyDescent="0.35">
      <c r="A2307"/>
      <c r="B2307"/>
      <c r="C2307"/>
      <c r="D2307"/>
      <c r="E2307"/>
      <c r="F2307"/>
      <c r="G2307"/>
    </row>
    <row r="2308" spans="1:7" x14ac:dyDescent="0.35">
      <c r="A2308"/>
      <c r="B2308"/>
      <c r="C2308"/>
      <c r="D2308"/>
      <c r="E2308"/>
      <c r="F2308"/>
      <c r="G2308"/>
    </row>
    <row r="2309" spans="1:7" x14ac:dyDescent="0.35">
      <c r="A2309"/>
      <c r="B2309"/>
      <c r="C2309"/>
      <c r="D2309"/>
      <c r="E2309"/>
      <c r="F2309"/>
      <c r="G2309"/>
    </row>
    <row r="2310" spans="1:7" x14ac:dyDescent="0.35">
      <c r="A2310"/>
      <c r="B2310"/>
      <c r="C2310"/>
      <c r="D2310"/>
      <c r="E2310"/>
      <c r="F2310"/>
      <c r="G2310"/>
    </row>
    <row r="2311" spans="1:7" x14ac:dyDescent="0.35">
      <c r="A2311"/>
      <c r="B2311"/>
      <c r="C2311"/>
      <c r="D2311"/>
      <c r="E2311"/>
      <c r="F2311"/>
      <c r="G2311"/>
    </row>
    <row r="2312" spans="1:7" x14ac:dyDescent="0.35">
      <c r="A2312"/>
      <c r="B2312"/>
      <c r="C2312"/>
      <c r="D2312"/>
      <c r="E2312"/>
      <c r="F2312"/>
      <c r="G2312"/>
    </row>
    <row r="2313" spans="1:7" x14ac:dyDescent="0.35">
      <c r="A2313"/>
      <c r="B2313"/>
      <c r="C2313"/>
      <c r="D2313"/>
      <c r="E2313"/>
      <c r="F2313"/>
      <c r="G2313"/>
    </row>
    <row r="2314" spans="1:7" x14ac:dyDescent="0.35">
      <c r="A2314"/>
      <c r="B2314"/>
      <c r="C2314"/>
      <c r="D2314"/>
      <c r="E2314"/>
      <c r="F2314"/>
      <c r="G2314"/>
    </row>
    <row r="2315" spans="1:7" x14ac:dyDescent="0.35">
      <c r="A2315"/>
      <c r="B2315"/>
      <c r="C2315"/>
      <c r="D2315"/>
      <c r="E2315"/>
      <c r="F2315"/>
      <c r="G2315"/>
    </row>
    <row r="2316" spans="1:7" x14ac:dyDescent="0.35">
      <c r="A2316"/>
      <c r="B2316"/>
      <c r="C2316"/>
      <c r="D2316"/>
      <c r="E2316"/>
      <c r="F2316"/>
      <c r="G2316"/>
    </row>
    <row r="2317" spans="1:7" x14ac:dyDescent="0.35">
      <c r="A2317"/>
      <c r="B2317"/>
      <c r="C2317"/>
      <c r="D2317"/>
      <c r="E2317"/>
      <c r="F2317"/>
      <c r="G2317"/>
    </row>
    <row r="2318" spans="1:7" x14ac:dyDescent="0.35">
      <c r="A2318"/>
      <c r="B2318"/>
      <c r="C2318"/>
      <c r="D2318"/>
      <c r="E2318"/>
      <c r="F2318"/>
      <c r="G2318"/>
    </row>
    <row r="2319" spans="1:7" x14ac:dyDescent="0.35">
      <c r="A2319"/>
      <c r="B2319"/>
      <c r="C2319"/>
      <c r="D2319"/>
      <c r="E2319"/>
      <c r="F2319"/>
      <c r="G2319"/>
    </row>
    <row r="2320" spans="1:7" x14ac:dyDescent="0.35">
      <c r="A2320"/>
      <c r="B2320"/>
      <c r="C2320"/>
      <c r="D2320"/>
      <c r="E2320"/>
      <c r="F2320"/>
      <c r="G2320"/>
    </row>
    <row r="2321" spans="1:7" x14ac:dyDescent="0.35">
      <c r="A2321"/>
      <c r="B2321"/>
      <c r="C2321"/>
      <c r="D2321"/>
      <c r="E2321"/>
      <c r="F2321"/>
      <c r="G2321"/>
    </row>
    <row r="2322" spans="1:7" x14ac:dyDescent="0.35">
      <c r="A2322"/>
      <c r="B2322"/>
      <c r="C2322"/>
      <c r="D2322"/>
      <c r="E2322"/>
      <c r="F2322"/>
      <c r="G2322"/>
    </row>
    <row r="2323" spans="1:7" x14ac:dyDescent="0.35">
      <c r="A2323"/>
      <c r="B2323"/>
      <c r="C2323"/>
      <c r="D2323"/>
      <c r="E2323"/>
      <c r="F2323"/>
      <c r="G2323"/>
    </row>
    <row r="2324" spans="1:7" x14ac:dyDescent="0.35">
      <c r="A2324"/>
      <c r="B2324"/>
      <c r="C2324"/>
      <c r="D2324"/>
      <c r="E2324"/>
      <c r="F2324"/>
      <c r="G2324"/>
    </row>
    <row r="2325" spans="1:7" x14ac:dyDescent="0.35">
      <c r="A2325"/>
      <c r="B2325"/>
      <c r="C2325"/>
      <c r="D2325"/>
      <c r="E2325"/>
      <c r="F2325"/>
      <c r="G2325"/>
    </row>
    <row r="2326" spans="1:7" x14ac:dyDescent="0.35">
      <c r="A2326"/>
      <c r="B2326"/>
      <c r="C2326"/>
      <c r="D2326"/>
      <c r="E2326"/>
      <c r="F2326"/>
      <c r="G2326"/>
    </row>
    <row r="2327" spans="1:7" x14ac:dyDescent="0.35">
      <c r="A2327"/>
      <c r="B2327"/>
      <c r="C2327"/>
      <c r="D2327"/>
      <c r="E2327"/>
      <c r="F2327"/>
      <c r="G2327"/>
    </row>
    <row r="2328" spans="1:7" x14ac:dyDescent="0.35">
      <c r="A2328"/>
      <c r="B2328"/>
      <c r="C2328"/>
      <c r="D2328"/>
      <c r="E2328"/>
      <c r="F2328"/>
      <c r="G2328"/>
    </row>
    <row r="2329" spans="1:7" x14ac:dyDescent="0.35">
      <c r="A2329"/>
      <c r="B2329"/>
      <c r="C2329"/>
      <c r="D2329"/>
      <c r="E2329"/>
      <c r="F2329"/>
      <c r="G2329"/>
    </row>
    <row r="2330" spans="1:7" x14ac:dyDescent="0.35">
      <c r="A2330"/>
      <c r="B2330"/>
      <c r="C2330"/>
      <c r="D2330"/>
      <c r="E2330"/>
      <c r="F2330"/>
      <c r="G2330"/>
    </row>
    <row r="2331" spans="1:7" x14ac:dyDescent="0.35">
      <c r="A2331"/>
      <c r="B2331"/>
      <c r="C2331"/>
      <c r="D2331"/>
      <c r="E2331"/>
      <c r="F2331"/>
      <c r="G2331"/>
    </row>
    <row r="2332" spans="1:7" x14ac:dyDescent="0.35">
      <c r="A2332"/>
      <c r="B2332"/>
      <c r="C2332"/>
      <c r="D2332"/>
      <c r="E2332"/>
      <c r="F2332"/>
      <c r="G2332"/>
    </row>
    <row r="2333" spans="1:7" x14ac:dyDescent="0.35">
      <c r="A2333"/>
      <c r="B2333"/>
      <c r="C2333"/>
      <c r="D2333"/>
      <c r="E2333"/>
      <c r="F2333"/>
      <c r="G2333"/>
    </row>
    <row r="2334" spans="1:7" x14ac:dyDescent="0.35">
      <c r="A2334"/>
      <c r="B2334"/>
      <c r="C2334"/>
      <c r="D2334"/>
      <c r="E2334"/>
      <c r="F2334"/>
      <c r="G2334"/>
    </row>
    <row r="2335" spans="1:7" x14ac:dyDescent="0.35">
      <c r="A2335"/>
      <c r="B2335"/>
      <c r="C2335"/>
      <c r="D2335"/>
      <c r="E2335"/>
      <c r="F2335"/>
      <c r="G2335"/>
    </row>
    <row r="2336" spans="1:7" x14ac:dyDescent="0.35">
      <c r="A2336"/>
      <c r="B2336"/>
      <c r="C2336"/>
      <c r="D2336"/>
      <c r="E2336"/>
      <c r="F2336"/>
      <c r="G2336"/>
    </row>
    <row r="2337" spans="1:7" x14ac:dyDescent="0.35">
      <c r="A2337"/>
      <c r="B2337"/>
      <c r="C2337"/>
      <c r="D2337"/>
      <c r="E2337"/>
      <c r="F2337"/>
      <c r="G2337"/>
    </row>
    <row r="2338" spans="1:7" x14ac:dyDescent="0.35">
      <c r="A2338"/>
      <c r="B2338"/>
      <c r="C2338"/>
      <c r="D2338"/>
      <c r="E2338"/>
      <c r="F2338"/>
      <c r="G2338"/>
    </row>
    <row r="2339" spans="1:7" x14ac:dyDescent="0.35">
      <c r="A2339"/>
      <c r="B2339"/>
      <c r="C2339"/>
      <c r="D2339"/>
      <c r="E2339"/>
      <c r="F2339"/>
      <c r="G2339"/>
    </row>
    <row r="2340" spans="1:7" x14ac:dyDescent="0.35">
      <c r="A2340"/>
      <c r="B2340"/>
      <c r="C2340"/>
      <c r="D2340"/>
      <c r="E2340"/>
      <c r="F2340"/>
      <c r="G2340"/>
    </row>
    <row r="2341" spans="1:7" x14ac:dyDescent="0.35">
      <c r="A2341"/>
      <c r="B2341"/>
      <c r="C2341"/>
      <c r="D2341"/>
      <c r="E2341"/>
      <c r="F2341"/>
      <c r="G2341"/>
    </row>
    <row r="2342" spans="1:7" x14ac:dyDescent="0.35">
      <c r="A2342"/>
      <c r="B2342"/>
      <c r="C2342"/>
      <c r="D2342"/>
      <c r="E2342"/>
      <c r="F2342"/>
      <c r="G2342"/>
    </row>
    <row r="2343" spans="1:7" x14ac:dyDescent="0.35">
      <c r="A2343"/>
      <c r="B2343"/>
      <c r="C2343"/>
      <c r="D2343"/>
      <c r="E2343"/>
      <c r="F2343"/>
      <c r="G2343"/>
    </row>
    <row r="2344" spans="1:7" x14ac:dyDescent="0.35">
      <c r="A2344"/>
      <c r="B2344"/>
      <c r="C2344"/>
      <c r="D2344"/>
      <c r="E2344"/>
      <c r="F2344"/>
      <c r="G2344"/>
    </row>
    <row r="2345" spans="1:7" x14ac:dyDescent="0.35">
      <c r="A2345"/>
      <c r="B2345"/>
      <c r="C2345"/>
      <c r="D2345"/>
      <c r="E2345"/>
      <c r="F2345"/>
      <c r="G2345"/>
    </row>
    <row r="2346" spans="1:7" x14ac:dyDescent="0.35">
      <c r="A2346"/>
      <c r="B2346"/>
      <c r="C2346"/>
      <c r="D2346"/>
      <c r="E2346"/>
      <c r="F2346"/>
      <c r="G2346"/>
    </row>
    <row r="2347" spans="1:7" x14ac:dyDescent="0.35">
      <c r="A2347"/>
      <c r="B2347"/>
      <c r="C2347"/>
      <c r="D2347"/>
      <c r="E2347"/>
      <c r="F2347"/>
      <c r="G2347"/>
    </row>
    <row r="2348" spans="1:7" x14ac:dyDescent="0.35">
      <c r="A2348"/>
      <c r="B2348"/>
      <c r="C2348"/>
      <c r="D2348"/>
      <c r="E2348"/>
      <c r="F2348"/>
      <c r="G2348"/>
    </row>
    <row r="2349" spans="1:7" x14ac:dyDescent="0.35">
      <c r="A2349"/>
      <c r="B2349"/>
      <c r="C2349"/>
      <c r="D2349"/>
      <c r="E2349"/>
      <c r="F2349"/>
      <c r="G2349"/>
    </row>
    <row r="2350" spans="1:7" x14ac:dyDescent="0.35">
      <c r="A2350"/>
      <c r="B2350"/>
      <c r="C2350"/>
      <c r="D2350"/>
      <c r="E2350"/>
      <c r="F2350"/>
      <c r="G2350"/>
    </row>
    <row r="2351" spans="1:7" x14ac:dyDescent="0.35">
      <c r="A2351"/>
      <c r="B2351"/>
      <c r="C2351"/>
      <c r="D2351"/>
      <c r="E2351"/>
      <c r="F2351"/>
      <c r="G2351"/>
    </row>
    <row r="2352" spans="1:7" x14ac:dyDescent="0.35">
      <c r="A2352"/>
      <c r="B2352"/>
      <c r="C2352"/>
      <c r="D2352"/>
      <c r="E2352"/>
      <c r="F2352"/>
      <c r="G2352"/>
    </row>
    <row r="2353" spans="1:7" x14ac:dyDescent="0.35">
      <c r="A2353"/>
      <c r="B2353"/>
      <c r="C2353"/>
      <c r="D2353"/>
      <c r="E2353"/>
      <c r="F2353"/>
      <c r="G2353"/>
    </row>
    <row r="2354" spans="1:7" x14ac:dyDescent="0.35">
      <c r="A2354"/>
      <c r="B2354"/>
      <c r="C2354"/>
      <c r="D2354"/>
      <c r="E2354"/>
      <c r="F2354"/>
      <c r="G2354"/>
    </row>
    <row r="2355" spans="1:7" x14ac:dyDescent="0.35">
      <c r="A2355"/>
      <c r="B2355"/>
      <c r="C2355"/>
      <c r="D2355"/>
      <c r="E2355"/>
      <c r="F2355"/>
      <c r="G2355"/>
    </row>
    <row r="2356" spans="1:7" x14ac:dyDescent="0.35">
      <c r="A2356"/>
      <c r="B2356"/>
      <c r="C2356"/>
      <c r="D2356"/>
      <c r="E2356"/>
      <c r="F2356"/>
      <c r="G2356"/>
    </row>
    <row r="2357" spans="1:7" x14ac:dyDescent="0.35">
      <c r="A2357"/>
      <c r="B2357"/>
      <c r="C2357"/>
      <c r="D2357"/>
      <c r="E2357"/>
      <c r="F2357"/>
      <c r="G2357"/>
    </row>
    <row r="2358" spans="1:7" x14ac:dyDescent="0.35">
      <c r="A2358"/>
      <c r="B2358"/>
      <c r="C2358"/>
      <c r="D2358"/>
      <c r="E2358"/>
      <c r="F2358"/>
      <c r="G2358"/>
    </row>
    <row r="2359" spans="1:7" x14ac:dyDescent="0.35">
      <c r="A2359"/>
      <c r="B2359"/>
      <c r="C2359"/>
      <c r="D2359"/>
      <c r="E2359"/>
      <c r="F2359"/>
      <c r="G2359"/>
    </row>
    <row r="2360" spans="1:7" x14ac:dyDescent="0.35">
      <c r="A2360"/>
      <c r="B2360"/>
      <c r="C2360"/>
      <c r="D2360"/>
      <c r="E2360"/>
      <c r="F2360"/>
      <c r="G2360"/>
    </row>
    <row r="2361" spans="1:7" x14ac:dyDescent="0.35">
      <c r="A2361"/>
      <c r="B2361"/>
      <c r="C2361"/>
      <c r="D2361"/>
      <c r="E2361"/>
      <c r="F2361"/>
      <c r="G2361"/>
    </row>
    <row r="2362" spans="1:7" x14ac:dyDescent="0.35">
      <c r="A2362"/>
      <c r="B2362"/>
      <c r="C2362"/>
      <c r="D2362"/>
      <c r="E2362"/>
      <c r="F2362"/>
      <c r="G2362"/>
    </row>
    <row r="2363" spans="1:7" x14ac:dyDescent="0.35">
      <c r="A2363"/>
      <c r="B2363"/>
      <c r="C2363"/>
      <c r="D2363"/>
      <c r="E2363"/>
      <c r="F2363"/>
      <c r="G2363"/>
    </row>
    <row r="2364" spans="1:7" x14ac:dyDescent="0.35">
      <c r="A2364"/>
      <c r="B2364"/>
      <c r="C2364"/>
      <c r="D2364"/>
      <c r="E2364"/>
      <c r="F2364"/>
      <c r="G2364"/>
    </row>
    <row r="2365" spans="1:7" x14ac:dyDescent="0.35">
      <c r="A2365"/>
      <c r="B2365"/>
      <c r="C2365"/>
      <c r="D2365"/>
      <c r="E2365"/>
      <c r="F2365"/>
      <c r="G2365"/>
    </row>
    <row r="2366" spans="1:7" x14ac:dyDescent="0.35">
      <c r="A2366"/>
      <c r="B2366"/>
      <c r="C2366"/>
      <c r="D2366"/>
      <c r="E2366"/>
      <c r="F2366"/>
      <c r="G2366"/>
    </row>
    <row r="2367" spans="1:7" x14ac:dyDescent="0.35">
      <c r="A2367"/>
      <c r="B2367"/>
      <c r="C2367"/>
      <c r="D2367"/>
      <c r="E2367"/>
      <c r="F2367"/>
      <c r="G2367"/>
    </row>
    <row r="2368" spans="1:7" x14ac:dyDescent="0.35">
      <c r="A2368"/>
      <c r="B2368"/>
      <c r="C2368"/>
      <c r="D2368"/>
      <c r="E2368"/>
      <c r="F2368"/>
      <c r="G2368"/>
    </row>
    <row r="2369" spans="1:7" x14ac:dyDescent="0.35">
      <c r="A2369"/>
      <c r="B2369"/>
      <c r="C2369"/>
      <c r="D2369"/>
      <c r="E2369"/>
      <c r="F2369"/>
      <c r="G2369"/>
    </row>
    <row r="2370" spans="1:7" x14ac:dyDescent="0.35">
      <c r="A2370"/>
      <c r="B2370"/>
      <c r="C2370"/>
      <c r="D2370"/>
      <c r="E2370"/>
      <c r="F2370"/>
      <c r="G2370"/>
    </row>
    <row r="2371" spans="1:7" x14ac:dyDescent="0.35">
      <c r="A2371"/>
      <c r="B2371"/>
      <c r="C2371"/>
      <c r="D2371"/>
      <c r="E2371"/>
      <c r="F2371"/>
      <c r="G2371"/>
    </row>
    <row r="2372" spans="1:7" x14ac:dyDescent="0.35">
      <c r="A2372"/>
      <c r="B2372"/>
      <c r="C2372"/>
      <c r="D2372"/>
      <c r="E2372"/>
      <c r="F2372"/>
      <c r="G2372"/>
    </row>
    <row r="2373" spans="1:7" x14ac:dyDescent="0.35">
      <c r="A2373"/>
      <c r="B2373"/>
      <c r="C2373"/>
      <c r="D2373"/>
      <c r="E2373"/>
      <c r="F2373"/>
      <c r="G2373"/>
    </row>
    <row r="2374" spans="1:7" x14ac:dyDescent="0.35">
      <c r="A2374"/>
      <c r="B2374"/>
      <c r="C2374"/>
      <c r="D2374"/>
      <c r="E2374"/>
      <c r="F2374"/>
      <c r="G2374"/>
    </row>
    <row r="2375" spans="1:7" x14ac:dyDescent="0.35">
      <c r="A2375"/>
      <c r="B2375"/>
      <c r="C2375"/>
      <c r="D2375"/>
      <c r="E2375"/>
      <c r="F2375"/>
      <c r="G2375"/>
    </row>
    <row r="2376" spans="1:7" x14ac:dyDescent="0.35">
      <c r="A2376"/>
      <c r="B2376"/>
      <c r="C2376"/>
      <c r="D2376"/>
      <c r="E2376"/>
      <c r="F2376"/>
      <c r="G2376"/>
    </row>
    <row r="2377" spans="1:7" x14ac:dyDescent="0.35">
      <c r="A2377"/>
      <c r="B2377"/>
      <c r="C2377"/>
      <c r="D2377"/>
      <c r="E2377"/>
      <c r="F2377"/>
      <c r="G2377"/>
    </row>
    <row r="2378" spans="1:7" x14ac:dyDescent="0.35">
      <c r="A2378"/>
      <c r="B2378"/>
      <c r="C2378"/>
      <c r="D2378"/>
      <c r="E2378"/>
      <c r="F2378"/>
      <c r="G2378"/>
    </row>
    <row r="2379" spans="1:7" x14ac:dyDescent="0.35">
      <c r="A2379"/>
      <c r="B2379"/>
      <c r="C2379"/>
      <c r="D2379"/>
      <c r="E2379"/>
      <c r="F2379"/>
      <c r="G2379"/>
    </row>
    <row r="2380" spans="1:7" x14ac:dyDescent="0.35">
      <c r="A2380"/>
      <c r="B2380"/>
      <c r="C2380"/>
      <c r="D2380"/>
      <c r="E2380"/>
      <c r="F2380"/>
      <c r="G2380"/>
    </row>
    <row r="2381" spans="1:7" x14ac:dyDescent="0.35">
      <c r="A2381"/>
      <c r="B2381"/>
      <c r="C2381"/>
      <c r="D2381"/>
      <c r="E2381"/>
      <c r="F2381"/>
      <c r="G2381"/>
    </row>
    <row r="2382" spans="1:7" x14ac:dyDescent="0.35">
      <c r="A2382"/>
      <c r="B2382"/>
      <c r="C2382"/>
      <c r="D2382"/>
      <c r="E2382"/>
      <c r="F2382"/>
      <c r="G2382"/>
    </row>
    <row r="2383" spans="1:7" x14ac:dyDescent="0.35">
      <c r="A2383"/>
      <c r="B2383"/>
      <c r="C2383"/>
      <c r="D2383"/>
      <c r="E2383"/>
      <c r="F2383"/>
      <c r="G2383"/>
    </row>
    <row r="2384" spans="1:7" x14ac:dyDescent="0.35">
      <c r="A2384"/>
      <c r="B2384"/>
      <c r="C2384"/>
      <c r="D2384"/>
      <c r="E2384"/>
      <c r="F2384"/>
      <c r="G2384"/>
    </row>
    <row r="2385" spans="1:7" x14ac:dyDescent="0.35">
      <c r="A2385"/>
      <c r="B2385"/>
      <c r="C2385"/>
      <c r="D2385"/>
      <c r="E2385"/>
      <c r="F2385"/>
      <c r="G2385"/>
    </row>
    <row r="2386" spans="1:7" x14ac:dyDescent="0.35">
      <c r="A2386"/>
      <c r="B2386"/>
      <c r="C2386"/>
      <c r="D2386"/>
      <c r="E2386"/>
      <c r="F2386"/>
      <c r="G2386"/>
    </row>
    <row r="2387" spans="1:7" x14ac:dyDescent="0.35">
      <c r="A2387"/>
      <c r="B2387"/>
      <c r="C2387"/>
      <c r="D2387"/>
      <c r="E2387"/>
      <c r="F2387"/>
      <c r="G2387"/>
    </row>
    <row r="2388" spans="1:7" x14ac:dyDescent="0.35">
      <c r="A2388"/>
      <c r="B2388"/>
      <c r="C2388"/>
      <c r="D2388"/>
      <c r="E2388"/>
      <c r="F2388"/>
      <c r="G2388"/>
    </row>
    <row r="2389" spans="1:7" x14ac:dyDescent="0.35">
      <c r="A2389"/>
      <c r="B2389"/>
      <c r="C2389"/>
      <c r="D2389"/>
      <c r="E2389"/>
      <c r="F2389"/>
      <c r="G2389"/>
    </row>
    <row r="2390" spans="1:7" x14ac:dyDescent="0.35">
      <c r="A2390"/>
      <c r="B2390"/>
      <c r="C2390"/>
      <c r="D2390"/>
      <c r="E2390"/>
      <c r="F2390"/>
      <c r="G2390"/>
    </row>
    <row r="2391" spans="1:7" x14ac:dyDescent="0.35">
      <c r="A2391"/>
      <c r="B2391"/>
      <c r="C2391"/>
      <c r="D2391"/>
      <c r="E2391"/>
      <c r="F2391"/>
      <c r="G2391"/>
    </row>
    <row r="2392" spans="1:7" x14ac:dyDescent="0.35">
      <c r="A2392"/>
      <c r="B2392"/>
      <c r="C2392"/>
      <c r="D2392"/>
      <c r="E2392"/>
      <c r="F2392"/>
      <c r="G2392"/>
    </row>
    <row r="2393" spans="1:7" x14ac:dyDescent="0.35">
      <c r="A2393"/>
      <c r="B2393"/>
      <c r="C2393"/>
      <c r="D2393"/>
      <c r="E2393"/>
      <c r="F2393"/>
      <c r="G2393"/>
    </row>
    <row r="2394" spans="1:7" x14ac:dyDescent="0.35">
      <c r="A2394"/>
      <c r="B2394"/>
      <c r="C2394"/>
      <c r="D2394"/>
      <c r="E2394"/>
      <c r="F2394"/>
      <c r="G2394"/>
    </row>
    <row r="2395" spans="1:7" x14ac:dyDescent="0.35">
      <c r="A2395"/>
      <c r="B2395"/>
      <c r="C2395"/>
      <c r="D2395"/>
      <c r="E2395"/>
      <c r="F2395"/>
      <c r="G2395"/>
    </row>
    <row r="2396" spans="1:7" x14ac:dyDescent="0.35">
      <c r="A2396"/>
      <c r="B2396"/>
      <c r="C2396"/>
      <c r="D2396"/>
      <c r="E2396"/>
      <c r="F2396"/>
      <c r="G2396"/>
    </row>
    <row r="2397" spans="1:7" x14ac:dyDescent="0.35">
      <c r="A2397"/>
      <c r="B2397"/>
      <c r="C2397"/>
      <c r="D2397"/>
      <c r="E2397"/>
      <c r="F2397"/>
      <c r="G2397"/>
    </row>
    <row r="2398" spans="1:7" x14ac:dyDescent="0.35">
      <c r="A2398"/>
      <c r="B2398"/>
      <c r="C2398"/>
      <c r="D2398"/>
      <c r="E2398"/>
      <c r="F2398"/>
      <c r="G2398"/>
    </row>
    <row r="2399" spans="1:7" x14ac:dyDescent="0.35">
      <c r="A2399"/>
      <c r="B2399"/>
      <c r="C2399"/>
      <c r="D2399"/>
      <c r="E2399"/>
      <c r="F2399"/>
      <c r="G2399"/>
    </row>
    <row r="2400" spans="1:7" x14ac:dyDescent="0.35">
      <c r="A2400"/>
      <c r="B2400"/>
      <c r="C2400"/>
      <c r="D2400"/>
      <c r="E2400"/>
      <c r="F2400"/>
      <c r="G2400"/>
    </row>
    <row r="2401" spans="1:7" x14ac:dyDescent="0.35">
      <c r="A2401"/>
      <c r="B2401"/>
      <c r="C2401"/>
      <c r="D2401"/>
      <c r="E2401"/>
      <c r="F2401"/>
      <c r="G2401"/>
    </row>
    <row r="2402" spans="1:7" x14ac:dyDescent="0.35">
      <c r="A2402"/>
      <c r="B2402"/>
      <c r="C2402"/>
      <c r="D2402"/>
      <c r="E2402"/>
      <c r="F2402"/>
      <c r="G2402"/>
    </row>
    <row r="2403" spans="1:7" x14ac:dyDescent="0.35">
      <c r="A2403"/>
      <c r="B2403"/>
      <c r="C2403"/>
      <c r="D2403"/>
      <c r="E2403"/>
      <c r="F2403"/>
      <c r="G2403"/>
    </row>
    <row r="2404" spans="1:7" x14ac:dyDescent="0.35">
      <c r="A2404"/>
      <c r="B2404"/>
      <c r="C2404"/>
      <c r="D2404"/>
      <c r="E2404"/>
      <c r="F2404"/>
      <c r="G2404"/>
    </row>
    <row r="2405" spans="1:7" x14ac:dyDescent="0.35">
      <c r="A2405"/>
      <c r="B2405"/>
      <c r="C2405"/>
      <c r="D2405"/>
      <c r="E2405"/>
      <c r="F2405"/>
      <c r="G2405"/>
    </row>
    <row r="2406" spans="1:7" x14ac:dyDescent="0.35">
      <c r="A2406"/>
      <c r="B2406"/>
      <c r="C2406"/>
      <c r="D2406"/>
      <c r="E2406"/>
      <c r="F2406"/>
      <c r="G2406"/>
    </row>
    <row r="2407" spans="1:7" x14ac:dyDescent="0.35">
      <c r="A2407"/>
      <c r="B2407"/>
      <c r="C2407"/>
      <c r="D2407"/>
      <c r="E2407"/>
      <c r="F2407"/>
      <c r="G2407"/>
    </row>
    <row r="2408" spans="1:7" x14ac:dyDescent="0.35">
      <c r="A2408"/>
      <c r="B2408"/>
      <c r="C2408"/>
      <c r="D2408"/>
      <c r="E2408"/>
      <c r="F2408"/>
      <c r="G2408"/>
    </row>
    <row r="2409" spans="1:7" x14ac:dyDescent="0.35">
      <c r="A2409"/>
      <c r="B2409"/>
      <c r="C2409"/>
      <c r="D2409"/>
      <c r="E2409"/>
      <c r="F2409"/>
      <c r="G2409"/>
    </row>
    <row r="2410" spans="1:7" x14ac:dyDescent="0.35">
      <c r="A2410"/>
      <c r="B2410"/>
      <c r="C2410"/>
      <c r="D2410"/>
      <c r="E2410"/>
      <c r="F2410"/>
      <c r="G2410"/>
    </row>
    <row r="2411" spans="1:7" x14ac:dyDescent="0.35">
      <c r="A2411"/>
      <c r="B2411"/>
      <c r="C2411"/>
      <c r="D2411"/>
      <c r="E2411"/>
      <c r="F2411"/>
      <c r="G2411"/>
    </row>
    <row r="2412" spans="1:7" x14ac:dyDescent="0.35">
      <c r="A2412"/>
      <c r="B2412"/>
      <c r="C2412"/>
      <c r="D2412"/>
      <c r="E2412"/>
      <c r="F2412"/>
      <c r="G2412"/>
    </row>
    <row r="2413" spans="1:7" x14ac:dyDescent="0.35">
      <c r="A2413"/>
      <c r="B2413"/>
      <c r="C2413"/>
      <c r="D2413"/>
      <c r="E2413"/>
      <c r="F2413"/>
      <c r="G2413"/>
    </row>
    <row r="2414" spans="1:7" x14ac:dyDescent="0.35">
      <c r="A2414"/>
      <c r="B2414"/>
      <c r="C2414"/>
      <c r="D2414"/>
      <c r="E2414"/>
      <c r="F2414"/>
      <c r="G2414"/>
    </row>
    <row r="2415" spans="1:7" x14ac:dyDescent="0.35">
      <c r="A2415"/>
      <c r="B2415"/>
      <c r="C2415"/>
      <c r="D2415"/>
      <c r="E2415"/>
      <c r="F2415"/>
      <c r="G2415"/>
    </row>
    <row r="2416" spans="1:7" x14ac:dyDescent="0.35">
      <c r="A2416"/>
      <c r="B2416"/>
      <c r="C2416"/>
      <c r="D2416"/>
      <c r="E2416"/>
      <c r="F2416"/>
      <c r="G2416"/>
    </row>
    <row r="2417" spans="1:7" x14ac:dyDescent="0.35">
      <c r="A2417"/>
      <c r="B2417"/>
      <c r="C2417"/>
      <c r="D2417"/>
      <c r="E2417"/>
      <c r="F2417"/>
      <c r="G2417"/>
    </row>
    <row r="2418" spans="1:7" x14ac:dyDescent="0.35">
      <c r="A2418"/>
      <c r="B2418"/>
      <c r="C2418"/>
      <c r="D2418"/>
      <c r="E2418"/>
      <c r="F2418"/>
      <c r="G2418"/>
    </row>
    <row r="2419" spans="1:7" x14ac:dyDescent="0.35">
      <c r="A2419"/>
      <c r="B2419"/>
      <c r="C2419"/>
      <c r="D2419"/>
      <c r="E2419"/>
      <c r="F2419"/>
      <c r="G2419"/>
    </row>
    <row r="2420" spans="1:7" x14ac:dyDescent="0.35">
      <c r="A2420"/>
      <c r="B2420"/>
      <c r="C2420"/>
      <c r="D2420"/>
      <c r="E2420"/>
      <c r="F2420"/>
      <c r="G2420"/>
    </row>
    <row r="2421" spans="1:7" x14ac:dyDescent="0.35">
      <c r="A2421"/>
      <c r="B2421"/>
      <c r="C2421"/>
      <c r="D2421"/>
      <c r="E2421"/>
      <c r="F2421"/>
      <c r="G2421"/>
    </row>
    <row r="2422" spans="1:7" x14ac:dyDescent="0.35">
      <c r="A2422"/>
      <c r="B2422"/>
      <c r="C2422"/>
      <c r="D2422"/>
      <c r="E2422"/>
      <c r="F2422"/>
      <c r="G2422"/>
    </row>
    <row r="2423" spans="1:7" x14ac:dyDescent="0.35">
      <c r="A2423"/>
      <c r="B2423"/>
      <c r="C2423"/>
      <c r="D2423"/>
      <c r="E2423"/>
      <c r="F2423"/>
      <c r="G2423"/>
    </row>
    <row r="2424" spans="1:7" x14ac:dyDescent="0.35">
      <c r="A2424"/>
      <c r="B2424"/>
      <c r="C2424"/>
      <c r="D2424"/>
      <c r="E2424"/>
      <c r="F2424"/>
      <c r="G2424"/>
    </row>
    <row r="2425" spans="1:7" x14ac:dyDescent="0.35">
      <c r="A2425"/>
      <c r="B2425"/>
      <c r="C2425"/>
      <c r="D2425"/>
      <c r="E2425"/>
      <c r="F2425"/>
      <c r="G2425"/>
    </row>
    <row r="2426" spans="1:7" x14ac:dyDescent="0.35">
      <c r="A2426"/>
      <c r="B2426"/>
      <c r="C2426"/>
      <c r="D2426"/>
      <c r="E2426"/>
      <c r="F2426"/>
      <c r="G2426"/>
    </row>
    <row r="2427" spans="1:7" x14ac:dyDescent="0.35">
      <c r="A2427"/>
      <c r="B2427"/>
      <c r="C2427"/>
      <c r="D2427"/>
      <c r="E2427"/>
      <c r="F2427"/>
      <c r="G2427"/>
    </row>
    <row r="2428" spans="1:7" x14ac:dyDescent="0.35">
      <c r="A2428"/>
      <c r="B2428"/>
      <c r="C2428"/>
      <c r="D2428"/>
      <c r="E2428"/>
      <c r="F2428"/>
      <c r="G2428"/>
    </row>
    <row r="2429" spans="1:7" x14ac:dyDescent="0.35">
      <c r="A2429"/>
      <c r="B2429"/>
      <c r="C2429"/>
      <c r="D2429"/>
      <c r="E2429"/>
      <c r="F2429"/>
      <c r="G2429"/>
    </row>
    <row r="2430" spans="1:7" x14ac:dyDescent="0.35">
      <c r="A2430"/>
      <c r="B2430"/>
      <c r="C2430"/>
      <c r="D2430"/>
      <c r="E2430"/>
      <c r="F2430"/>
      <c r="G2430"/>
    </row>
    <row r="2431" spans="1:7" x14ac:dyDescent="0.35">
      <c r="A2431"/>
      <c r="B2431"/>
      <c r="C2431"/>
      <c r="D2431"/>
      <c r="E2431"/>
      <c r="F2431"/>
      <c r="G2431"/>
    </row>
    <row r="2432" spans="1:7" x14ac:dyDescent="0.35">
      <c r="A2432"/>
      <c r="B2432"/>
      <c r="C2432"/>
      <c r="D2432"/>
      <c r="E2432"/>
      <c r="F2432"/>
      <c r="G2432"/>
    </row>
    <row r="2433" spans="1:7" x14ac:dyDescent="0.35">
      <c r="A2433"/>
      <c r="B2433"/>
      <c r="C2433"/>
      <c r="D2433"/>
      <c r="E2433"/>
      <c r="F2433"/>
      <c r="G2433"/>
    </row>
    <row r="2434" spans="1:7" x14ac:dyDescent="0.35">
      <c r="A2434"/>
      <c r="B2434"/>
      <c r="C2434"/>
      <c r="D2434"/>
      <c r="E2434"/>
      <c r="F2434"/>
      <c r="G2434"/>
    </row>
    <row r="2435" spans="1:7" x14ac:dyDescent="0.35">
      <c r="A2435"/>
      <c r="B2435"/>
      <c r="C2435"/>
      <c r="D2435"/>
      <c r="E2435"/>
      <c r="F2435"/>
      <c r="G2435"/>
    </row>
    <row r="2436" spans="1:7" x14ac:dyDescent="0.35">
      <c r="A2436"/>
      <c r="B2436"/>
      <c r="C2436"/>
      <c r="D2436"/>
      <c r="E2436"/>
      <c r="F2436"/>
      <c r="G2436"/>
    </row>
    <row r="2437" spans="1:7" x14ac:dyDescent="0.35">
      <c r="A2437"/>
      <c r="B2437"/>
      <c r="C2437"/>
      <c r="D2437"/>
      <c r="E2437"/>
      <c r="F2437"/>
      <c r="G2437"/>
    </row>
    <row r="2438" spans="1:7" x14ac:dyDescent="0.35">
      <c r="A2438"/>
      <c r="B2438"/>
      <c r="C2438"/>
      <c r="D2438"/>
      <c r="E2438"/>
      <c r="F2438"/>
      <c r="G2438"/>
    </row>
    <row r="2439" spans="1:7" x14ac:dyDescent="0.35">
      <c r="A2439"/>
      <c r="B2439"/>
      <c r="C2439"/>
      <c r="D2439"/>
      <c r="E2439"/>
      <c r="F2439"/>
      <c r="G2439"/>
    </row>
    <row r="2440" spans="1:7" x14ac:dyDescent="0.35">
      <c r="A2440"/>
      <c r="B2440"/>
      <c r="C2440"/>
      <c r="D2440"/>
      <c r="E2440"/>
      <c r="F2440"/>
      <c r="G2440"/>
    </row>
    <row r="2441" spans="1:7" x14ac:dyDescent="0.35">
      <c r="A2441"/>
      <c r="B2441"/>
      <c r="C2441"/>
      <c r="D2441"/>
      <c r="E2441"/>
      <c r="F2441"/>
      <c r="G2441"/>
    </row>
    <row r="2442" spans="1:7" x14ac:dyDescent="0.35">
      <c r="A2442"/>
      <c r="B2442"/>
      <c r="C2442"/>
      <c r="D2442"/>
      <c r="E2442"/>
      <c r="F2442"/>
      <c r="G2442"/>
    </row>
    <row r="2443" spans="1:7" x14ac:dyDescent="0.35">
      <c r="A2443"/>
      <c r="B2443"/>
      <c r="C2443"/>
      <c r="D2443"/>
      <c r="E2443"/>
      <c r="F2443"/>
      <c r="G2443"/>
    </row>
    <row r="2444" spans="1:7" x14ac:dyDescent="0.35">
      <c r="A2444"/>
      <c r="B2444"/>
      <c r="C2444"/>
      <c r="D2444"/>
      <c r="E2444"/>
      <c r="F2444"/>
      <c r="G2444"/>
    </row>
    <row r="2445" spans="1:7" x14ac:dyDescent="0.35">
      <c r="A2445"/>
      <c r="B2445"/>
      <c r="C2445"/>
      <c r="D2445"/>
      <c r="E2445"/>
      <c r="F2445"/>
      <c r="G2445"/>
    </row>
    <row r="2446" spans="1:7" x14ac:dyDescent="0.35">
      <c r="A2446"/>
      <c r="B2446"/>
      <c r="C2446"/>
      <c r="D2446"/>
      <c r="E2446"/>
      <c r="F2446"/>
      <c r="G2446"/>
    </row>
    <row r="2447" spans="1:7" x14ac:dyDescent="0.35">
      <c r="A2447"/>
      <c r="B2447"/>
      <c r="C2447"/>
      <c r="D2447"/>
      <c r="E2447"/>
      <c r="F2447"/>
      <c r="G2447"/>
    </row>
    <row r="2448" spans="1:7" x14ac:dyDescent="0.35">
      <c r="A2448"/>
      <c r="B2448"/>
      <c r="C2448"/>
      <c r="D2448"/>
      <c r="E2448"/>
      <c r="F2448"/>
      <c r="G2448"/>
    </row>
    <row r="2449" spans="1:7" x14ac:dyDescent="0.35">
      <c r="A2449"/>
      <c r="B2449"/>
      <c r="C2449"/>
      <c r="D2449"/>
      <c r="E2449"/>
      <c r="F2449"/>
      <c r="G2449"/>
    </row>
    <row r="2450" spans="1:7" x14ac:dyDescent="0.35">
      <c r="A2450"/>
      <c r="B2450"/>
      <c r="C2450"/>
      <c r="D2450"/>
      <c r="E2450"/>
      <c r="F2450"/>
      <c r="G2450"/>
    </row>
    <row r="2451" spans="1:7" x14ac:dyDescent="0.35">
      <c r="A2451"/>
      <c r="B2451"/>
      <c r="C2451"/>
      <c r="D2451"/>
      <c r="E2451"/>
      <c r="F2451"/>
      <c r="G2451"/>
    </row>
    <row r="2452" spans="1:7" x14ac:dyDescent="0.35">
      <c r="A2452"/>
      <c r="B2452"/>
      <c r="C2452"/>
      <c r="D2452"/>
      <c r="E2452"/>
      <c r="F2452"/>
      <c r="G2452"/>
    </row>
    <row r="2453" spans="1:7" x14ac:dyDescent="0.35">
      <c r="A2453"/>
      <c r="B2453"/>
      <c r="C2453"/>
      <c r="D2453"/>
      <c r="E2453"/>
      <c r="F2453"/>
      <c r="G2453"/>
    </row>
    <row r="2454" spans="1:7" x14ac:dyDescent="0.35">
      <c r="A2454"/>
      <c r="B2454"/>
      <c r="C2454"/>
      <c r="D2454"/>
      <c r="E2454"/>
      <c r="F2454"/>
      <c r="G2454"/>
    </row>
    <row r="2455" spans="1:7" x14ac:dyDescent="0.35">
      <c r="A2455"/>
      <c r="B2455"/>
      <c r="C2455"/>
      <c r="D2455"/>
      <c r="E2455"/>
      <c r="F2455"/>
      <c r="G2455"/>
    </row>
    <row r="2456" spans="1:7" x14ac:dyDescent="0.35">
      <c r="A2456"/>
      <c r="B2456"/>
      <c r="C2456"/>
      <c r="D2456"/>
      <c r="E2456"/>
      <c r="F2456"/>
      <c r="G2456"/>
    </row>
    <row r="2457" spans="1:7" x14ac:dyDescent="0.35">
      <c r="A2457"/>
      <c r="B2457"/>
      <c r="C2457"/>
      <c r="D2457"/>
      <c r="E2457"/>
      <c r="F2457"/>
      <c r="G2457"/>
    </row>
    <row r="2458" spans="1:7" x14ac:dyDescent="0.35">
      <c r="A2458"/>
      <c r="B2458"/>
      <c r="C2458"/>
      <c r="D2458"/>
      <c r="E2458"/>
      <c r="F2458"/>
      <c r="G2458"/>
    </row>
    <row r="2459" spans="1:7" x14ac:dyDescent="0.35">
      <c r="A2459"/>
      <c r="B2459"/>
      <c r="C2459"/>
      <c r="D2459"/>
      <c r="E2459"/>
      <c r="F2459"/>
      <c r="G2459"/>
    </row>
    <row r="2460" spans="1:7" x14ac:dyDescent="0.35">
      <c r="A2460"/>
      <c r="B2460"/>
      <c r="C2460"/>
      <c r="D2460"/>
      <c r="E2460"/>
      <c r="F2460"/>
      <c r="G2460"/>
    </row>
    <row r="2461" spans="1:7" x14ac:dyDescent="0.35">
      <c r="A2461"/>
      <c r="B2461"/>
      <c r="C2461"/>
      <c r="D2461"/>
      <c r="E2461"/>
      <c r="F2461"/>
      <c r="G2461"/>
    </row>
    <row r="2462" spans="1:7" x14ac:dyDescent="0.35">
      <c r="A2462"/>
      <c r="B2462"/>
      <c r="C2462"/>
      <c r="D2462"/>
      <c r="E2462"/>
      <c r="F2462"/>
      <c r="G2462"/>
    </row>
    <row r="2463" spans="1:7" x14ac:dyDescent="0.35">
      <c r="A2463"/>
      <c r="B2463"/>
      <c r="C2463"/>
      <c r="D2463"/>
      <c r="E2463"/>
      <c r="F2463"/>
      <c r="G2463"/>
    </row>
    <row r="2464" spans="1:7" x14ac:dyDescent="0.35">
      <c r="A2464"/>
      <c r="B2464"/>
      <c r="C2464"/>
      <c r="D2464"/>
      <c r="E2464"/>
      <c r="F2464"/>
      <c r="G2464"/>
    </row>
    <row r="2465" spans="1:7" x14ac:dyDescent="0.35">
      <c r="A2465"/>
      <c r="B2465"/>
      <c r="C2465"/>
      <c r="D2465"/>
      <c r="E2465"/>
      <c r="F2465"/>
      <c r="G2465"/>
    </row>
    <row r="2466" spans="1:7" x14ac:dyDescent="0.35">
      <c r="A2466"/>
      <c r="B2466"/>
      <c r="C2466"/>
      <c r="D2466"/>
      <c r="E2466"/>
      <c r="F2466"/>
      <c r="G2466"/>
    </row>
    <row r="2467" spans="1:7" x14ac:dyDescent="0.35">
      <c r="A2467"/>
      <c r="B2467"/>
      <c r="C2467"/>
      <c r="D2467"/>
      <c r="E2467"/>
      <c r="F2467"/>
      <c r="G2467"/>
    </row>
    <row r="2468" spans="1:7" x14ac:dyDescent="0.35">
      <c r="A2468"/>
      <c r="B2468"/>
      <c r="C2468"/>
      <c r="D2468"/>
      <c r="E2468"/>
      <c r="F2468"/>
      <c r="G2468"/>
    </row>
    <row r="2469" spans="1:7" x14ac:dyDescent="0.35">
      <c r="A2469"/>
      <c r="B2469"/>
      <c r="C2469"/>
      <c r="D2469"/>
      <c r="E2469"/>
      <c r="F2469"/>
      <c r="G2469"/>
    </row>
    <row r="2470" spans="1:7" x14ac:dyDescent="0.35">
      <c r="A2470"/>
      <c r="B2470"/>
      <c r="C2470"/>
      <c r="D2470"/>
      <c r="E2470"/>
      <c r="F2470"/>
      <c r="G2470"/>
    </row>
    <row r="2471" spans="1:7" x14ac:dyDescent="0.35">
      <c r="A2471"/>
      <c r="B2471"/>
      <c r="C2471"/>
      <c r="D2471"/>
      <c r="E2471"/>
      <c r="F2471"/>
      <c r="G2471"/>
    </row>
    <row r="2472" spans="1:7" x14ac:dyDescent="0.35">
      <c r="A2472"/>
      <c r="B2472"/>
      <c r="C2472"/>
      <c r="D2472"/>
      <c r="E2472"/>
      <c r="F2472"/>
      <c r="G2472"/>
    </row>
    <row r="2473" spans="1:7" x14ac:dyDescent="0.35">
      <c r="A2473"/>
      <c r="B2473"/>
      <c r="C2473"/>
      <c r="D2473"/>
      <c r="E2473"/>
      <c r="F2473"/>
      <c r="G2473"/>
    </row>
    <row r="2474" spans="1:7" x14ac:dyDescent="0.35">
      <c r="A2474"/>
      <c r="B2474"/>
      <c r="C2474"/>
      <c r="D2474"/>
      <c r="E2474"/>
      <c r="F2474"/>
      <c r="G2474"/>
    </row>
    <row r="2475" spans="1:7" x14ac:dyDescent="0.35">
      <c r="A2475"/>
      <c r="B2475"/>
      <c r="C2475"/>
      <c r="D2475"/>
      <c r="E2475"/>
      <c r="F2475"/>
      <c r="G2475"/>
    </row>
    <row r="2476" spans="1:7" x14ac:dyDescent="0.35">
      <c r="A2476"/>
      <c r="B2476"/>
      <c r="C2476"/>
      <c r="D2476"/>
      <c r="E2476"/>
      <c r="F2476"/>
      <c r="G2476"/>
    </row>
    <row r="2477" spans="1:7" x14ac:dyDescent="0.35">
      <c r="A2477"/>
      <c r="B2477"/>
      <c r="C2477"/>
      <c r="D2477"/>
      <c r="E2477"/>
      <c r="F2477"/>
      <c r="G2477"/>
    </row>
    <row r="2478" spans="1:7" x14ac:dyDescent="0.35">
      <c r="A2478"/>
      <c r="B2478"/>
      <c r="C2478"/>
      <c r="D2478"/>
      <c r="E2478"/>
      <c r="F2478"/>
      <c r="G2478"/>
    </row>
    <row r="2479" spans="1:7" x14ac:dyDescent="0.35">
      <c r="A2479"/>
      <c r="B2479"/>
      <c r="C2479"/>
      <c r="D2479"/>
      <c r="E2479"/>
      <c r="F2479"/>
      <c r="G2479"/>
    </row>
    <row r="2480" spans="1:7" x14ac:dyDescent="0.35">
      <c r="A2480"/>
      <c r="B2480"/>
      <c r="C2480"/>
      <c r="D2480"/>
      <c r="E2480"/>
      <c r="F2480"/>
      <c r="G2480"/>
    </row>
    <row r="2481" spans="1:7" x14ac:dyDescent="0.35">
      <c r="A2481"/>
      <c r="B2481"/>
      <c r="C2481"/>
      <c r="D2481"/>
      <c r="E2481"/>
      <c r="F2481"/>
      <c r="G2481"/>
    </row>
    <row r="2482" spans="1:7" x14ac:dyDescent="0.35">
      <c r="A2482"/>
      <c r="B2482"/>
      <c r="C2482"/>
      <c r="D2482"/>
      <c r="E2482"/>
      <c r="F2482"/>
      <c r="G2482"/>
    </row>
    <row r="2483" spans="1:7" x14ac:dyDescent="0.35">
      <c r="A2483"/>
      <c r="B2483"/>
      <c r="C2483"/>
      <c r="D2483"/>
      <c r="E2483"/>
      <c r="F2483"/>
      <c r="G2483"/>
    </row>
    <row r="2484" spans="1:7" x14ac:dyDescent="0.35">
      <c r="A2484"/>
      <c r="B2484"/>
      <c r="C2484"/>
      <c r="D2484"/>
      <c r="E2484"/>
      <c r="F2484"/>
      <c r="G2484"/>
    </row>
    <row r="2485" spans="1:7" x14ac:dyDescent="0.35">
      <c r="A2485"/>
      <c r="B2485"/>
      <c r="C2485"/>
      <c r="D2485"/>
      <c r="E2485"/>
      <c r="F2485"/>
      <c r="G2485"/>
    </row>
    <row r="2486" spans="1:7" x14ac:dyDescent="0.35">
      <c r="A2486"/>
      <c r="B2486"/>
      <c r="C2486"/>
      <c r="D2486"/>
      <c r="E2486"/>
      <c r="F2486"/>
      <c r="G2486"/>
    </row>
    <row r="2487" spans="1:7" x14ac:dyDescent="0.35">
      <c r="A2487"/>
      <c r="B2487"/>
      <c r="C2487"/>
      <c r="D2487"/>
      <c r="E2487"/>
      <c r="F2487"/>
      <c r="G2487"/>
    </row>
    <row r="2488" spans="1:7" x14ac:dyDescent="0.35">
      <c r="A2488"/>
      <c r="B2488"/>
      <c r="C2488"/>
      <c r="D2488"/>
      <c r="E2488"/>
      <c r="F2488"/>
      <c r="G2488"/>
    </row>
    <row r="2489" spans="1:7" x14ac:dyDescent="0.35">
      <c r="A2489"/>
      <c r="B2489"/>
      <c r="C2489"/>
      <c r="D2489"/>
      <c r="E2489"/>
      <c r="F2489"/>
      <c r="G2489"/>
    </row>
    <row r="2490" spans="1:7" x14ac:dyDescent="0.35">
      <c r="A2490"/>
      <c r="B2490"/>
      <c r="C2490"/>
      <c r="D2490"/>
      <c r="E2490"/>
      <c r="F2490"/>
      <c r="G2490"/>
    </row>
    <row r="2491" spans="1:7" x14ac:dyDescent="0.35">
      <c r="A2491"/>
      <c r="B2491"/>
      <c r="C2491"/>
      <c r="D2491"/>
      <c r="E2491"/>
      <c r="F2491"/>
      <c r="G2491"/>
    </row>
    <row r="2492" spans="1:7" x14ac:dyDescent="0.35">
      <c r="A2492"/>
      <c r="B2492"/>
      <c r="C2492"/>
      <c r="D2492"/>
      <c r="E2492"/>
      <c r="F2492"/>
      <c r="G2492"/>
    </row>
    <row r="2493" spans="1:7" x14ac:dyDescent="0.35">
      <c r="A2493"/>
      <c r="B2493"/>
      <c r="C2493"/>
      <c r="D2493"/>
      <c r="E2493"/>
      <c r="F2493"/>
      <c r="G2493"/>
    </row>
    <row r="2494" spans="1:7" x14ac:dyDescent="0.35">
      <c r="A2494"/>
      <c r="B2494"/>
      <c r="C2494"/>
      <c r="D2494"/>
      <c r="E2494"/>
      <c r="F2494"/>
      <c r="G2494"/>
    </row>
    <row r="2495" spans="1:7" x14ac:dyDescent="0.35">
      <c r="A2495"/>
      <c r="B2495"/>
      <c r="C2495"/>
      <c r="D2495"/>
      <c r="E2495"/>
      <c r="F2495"/>
      <c r="G2495"/>
    </row>
    <row r="2496" spans="1:7" x14ac:dyDescent="0.35">
      <c r="A2496"/>
      <c r="B2496"/>
      <c r="C2496"/>
      <c r="D2496"/>
      <c r="E2496"/>
      <c r="F2496"/>
      <c r="G2496"/>
    </row>
    <row r="2497" spans="1:7" x14ac:dyDescent="0.35">
      <c r="A2497"/>
      <c r="B2497"/>
      <c r="C2497"/>
      <c r="D2497"/>
      <c r="E2497"/>
      <c r="F2497"/>
      <c r="G2497"/>
    </row>
    <row r="2498" spans="1:7" x14ac:dyDescent="0.35">
      <c r="A2498"/>
      <c r="B2498"/>
      <c r="C2498"/>
      <c r="D2498"/>
      <c r="E2498"/>
      <c r="F2498"/>
      <c r="G2498"/>
    </row>
    <row r="2499" spans="1:7" x14ac:dyDescent="0.35">
      <c r="A2499"/>
      <c r="B2499"/>
      <c r="C2499"/>
      <c r="D2499"/>
      <c r="E2499"/>
      <c r="F2499"/>
      <c r="G2499"/>
    </row>
    <row r="2500" spans="1:7" x14ac:dyDescent="0.35">
      <c r="A2500"/>
      <c r="B2500"/>
      <c r="C2500"/>
      <c r="D2500"/>
      <c r="E2500"/>
      <c r="F2500"/>
      <c r="G2500"/>
    </row>
    <row r="2501" spans="1:7" x14ac:dyDescent="0.35">
      <c r="A2501"/>
      <c r="B2501"/>
      <c r="C2501"/>
      <c r="D2501"/>
      <c r="E2501"/>
      <c r="F2501"/>
      <c r="G2501"/>
    </row>
    <row r="2502" spans="1:7" x14ac:dyDescent="0.35">
      <c r="A2502"/>
      <c r="B2502"/>
      <c r="C2502"/>
      <c r="D2502"/>
      <c r="E2502"/>
      <c r="F2502"/>
      <c r="G2502"/>
    </row>
    <row r="2503" spans="1:7" x14ac:dyDescent="0.35">
      <c r="A2503"/>
      <c r="B2503"/>
      <c r="C2503"/>
      <c r="D2503"/>
      <c r="E2503"/>
      <c r="F2503"/>
      <c r="G2503"/>
    </row>
    <row r="2504" spans="1:7" x14ac:dyDescent="0.35">
      <c r="A2504"/>
      <c r="B2504"/>
      <c r="C2504"/>
      <c r="D2504"/>
      <c r="E2504"/>
      <c r="F2504"/>
      <c r="G2504"/>
    </row>
    <row r="2505" spans="1:7" x14ac:dyDescent="0.35">
      <c r="A2505"/>
      <c r="B2505"/>
      <c r="C2505"/>
      <c r="D2505"/>
      <c r="E2505"/>
      <c r="F2505"/>
      <c r="G2505"/>
    </row>
    <row r="2506" spans="1:7" x14ac:dyDescent="0.35">
      <c r="A2506"/>
      <c r="B2506"/>
      <c r="C2506"/>
      <c r="D2506"/>
      <c r="E2506"/>
      <c r="F2506"/>
      <c r="G2506"/>
    </row>
    <row r="2507" spans="1:7" x14ac:dyDescent="0.35">
      <c r="A2507"/>
      <c r="B2507"/>
      <c r="C2507"/>
      <c r="D2507"/>
      <c r="E2507"/>
      <c r="F2507"/>
      <c r="G2507"/>
    </row>
    <row r="2508" spans="1:7" x14ac:dyDescent="0.35">
      <c r="A2508"/>
      <c r="B2508"/>
      <c r="C2508"/>
      <c r="D2508"/>
      <c r="E2508"/>
      <c r="F2508"/>
      <c r="G2508"/>
    </row>
    <row r="2509" spans="1:7" x14ac:dyDescent="0.35">
      <c r="A2509"/>
      <c r="B2509"/>
      <c r="C2509"/>
      <c r="D2509"/>
      <c r="E2509"/>
      <c r="F2509"/>
      <c r="G2509"/>
    </row>
    <row r="2510" spans="1:7" x14ac:dyDescent="0.35">
      <c r="A2510"/>
      <c r="B2510"/>
      <c r="C2510"/>
      <c r="D2510"/>
      <c r="E2510"/>
      <c r="F2510"/>
      <c r="G2510"/>
    </row>
    <row r="2511" spans="1:7" x14ac:dyDescent="0.35">
      <c r="A2511"/>
      <c r="B2511"/>
      <c r="C2511"/>
      <c r="D2511"/>
      <c r="E2511"/>
      <c r="F2511"/>
      <c r="G2511"/>
    </row>
    <row r="2512" spans="1:7" x14ac:dyDescent="0.35">
      <c r="A2512"/>
      <c r="B2512"/>
      <c r="C2512"/>
      <c r="D2512"/>
      <c r="E2512"/>
      <c r="F2512"/>
      <c r="G2512"/>
    </row>
    <row r="2513" spans="1:7" x14ac:dyDescent="0.35">
      <c r="A2513"/>
      <c r="B2513"/>
      <c r="C2513"/>
      <c r="D2513"/>
      <c r="E2513"/>
      <c r="F2513"/>
      <c r="G2513"/>
    </row>
    <row r="2514" spans="1:7" x14ac:dyDescent="0.35">
      <c r="A2514"/>
      <c r="B2514"/>
      <c r="C2514"/>
      <c r="D2514"/>
      <c r="E2514"/>
      <c r="F2514"/>
      <c r="G2514"/>
    </row>
    <row r="2515" spans="1:7" x14ac:dyDescent="0.35">
      <c r="A2515"/>
      <c r="B2515"/>
      <c r="C2515"/>
      <c r="D2515"/>
      <c r="E2515"/>
      <c r="F2515"/>
      <c r="G2515"/>
    </row>
    <row r="2516" spans="1:7" x14ac:dyDescent="0.35">
      <c r="A2516"/>
      <c r="B2516"/>
      <c r="C2516"/>
      <c r="D2516"/>
      <c r="E2516"/>
      <c r="F2516"/>
      <c r="G2516"/>
    </row>
    <row r="2517" spans="1:7" x14ac:dyDescent="0.35">
      <c r="A2517"/>
      <c r="B2517"/>
      <c r="C2517"/>
      <c r="D2517"/>
      <c r="E2517"/>
      <c r="F2517"/>
      <c r="G2517"/>
    </row>
    <row r="2518" spans="1:7" x14ac:dyDescent="0.35">
      <c r="A2518"/>
      <c r="B2518"/>
      <c r="C2518"/>
      <c r="D2518"/>
      <c r="E2518"/>
      <c r="F2518"/>
      <c r="G2518"/>
    </row>
    <row r="2519" spans="1:7" x14ac:dyDescent="0.35">
      <c r="A2519"/>
      <c r="B2519"/>
      <c r="C2519"/>
      <c r="D2519"/>
      <c r="E2519"/>
      <c r="F2519"/>
      <c r="G2519"/>
    </row>
    <row r="2520" spans="1:7" x14ac:dyDescent="0.35">
      <c r="A2520"/>
      <c r="B2520"/>
      <c r="C2520"/>
      <c r="D2520"/>
      <c r="E2520"/>
      <c r="F2520"/>
      <c r="G2520"/>
    </row>
    <row r="2521" spans="1:7" x14ac:dyDescent="0.35">
      <c r="A2521"/>
      <c r="B2521"/>
      <c r="C2521"/>
      <c r="D2521"/>
      <c r="E2521"/>
      <c r="F2521"/>
      <c r="G2521"/>
    </row>
    <row r="2522" spans="1:7" x14ac:dyDescent="0.35">
      <c r="A2522"/>
      <c r="B2522"/>
      <c r="C2522"/>
      <c r="D2522"/>
      <c r="E2522"/>
      <c r="F2522"/>
      <c r="G2522"/>
    </row>
    <row r="2523" spans="1:7" x14ac:dyDescent="0.35">
      <c r="A2523"/>
      <c r="B2523"/>
      <c r="C2523"/>
      <c r="D2523"/>
      <c r="E2523"/>
      <c r="F2523"/>
      <c r="G2523"/>
    </row>
    <row r="2524" spans="1:7" x14ac:dyDescent="0.35">
      <c r="A2524"/>
      <c r="B2524"/>
      <c r="C2524"/>
      <c r="D2524"/>
      <c r="E2524"/>
      <c r="F2524"/>
      <c r="G2524"/>
    </row>
    <row r="2525" spans="1:7" x14ac:dyDescent="0.35">
      <c r="A2525"/>
      <c r="B2525"/>
      <c r="C2525"/>
      <c r="D2525"/>
      <c r="E2525"/>
      <c r="F2525"/>
      <c r="G2525"/>
    </row>
    <row r="2526" spans="1:7" x14ac:dyDescent="0.35">
      <c r="A2526"/>
      <c r="B2526"/>
      <c r="C2526"/>
      <c r="D2526"/>
      <c r="E2526"/>
      <c r="F2526"/>
      <c r="G2526"/>
    </row>
    <row r="2527" spans="1:7" x14ac:dyDescent="0.35">
      <c r="A2527"/>
      <c r="B2527"/>
      <c r="C2527"/>
      <c r="D2527"/>
      <c r="E2527"/>
      <c r="F2527"/>
      <c r="G2527"/>
    </row>
    <row r="2528" spans="1:7" x14ac:dyDescent="0.35">
      <c r="A2528"/>
      <c r="B2528"/>
      <c r="C2528"/>
      <c r="D2528"/>
      <c r="E2528"/>
      <c r="F2528"/>
      <c r="G2528"/>
    </row>
    <row r="2529" spans="1:7" x14ac:dyDescent="0.35">
      <c r="A2529"/>
      <c r="B2529"/>
      <c r="C2529"/>
      <c r="D2529"/>
      <c r="E2529"/>
      <c r="F2529"/>
      <c r="G2529"/>
    </row>
    <row r="2530" spans="1:7" x14ac:dyDescent="0.35">
      <c r="A2530"/>
      <c r="B2530"/>
      <c r="C2530"/>
      <c r="D2530"/>
      <c r="E2530"/>
      <c r="F2530"/>
      <c r="G2530"/>
    </row>
    <row r="2531" spans="1:7" x14ac:dyDescent="0.35">
      <c r="A2531"/>
      <c r="B2531"/>
      <c r="C2531"/>
      <c r="D2531"/>
      <c r="E2531"/>
      <c r="F2531"/>
      <c r="G2531"/>
    </row>
    <row r="2532" spans="1:7" x14ac:dyDescent="0.35">
      <c r="A2532"/>
      <c r="B2532"/>
      <c r="C2532"/>
      <c r="D2532"/>
      <c r="E2532"/>
      <c r="F2532"/>
      <c r="G2532"/>
    </row>
    <row r="2533" spans="1:7" x14ac:dyDescent="0.35">
      <c r="A2533"/>
      <c r="B2533"/>
      <c r="C2533"/>
      <c r="D2533"/>
      <c r="E2533"/>
      <c r="F2533"/>
      <c r="G2533"/>
    </row>
    <row r="2534" spans="1:7" x14ac:dyDescent="0.35">
      <c r="A2534"/>
      <c r="B2534"/>
      <c r="C2534"/>
      <c r="D2534"/>
      <c r="E2534"/>
      <c r="F2534"/>
      <c r="G2534"/>
    </row>
    <row r="2535" spans="1:7" x14ac:dyDescent="0.35">
      <c r="A2535"/>
      <c r="B2535"/>
      <c r="C2535"/>
      <c r="D2535"/>
      <c r="E2535"/>
      <c r="F2535"/>
      <c r="G2535"/>
    </row>
    <row r="2536" spans="1:7" x14ac:dyDescent="0.35">
      <c r="A2536"/>
      <c r="B2536"/>
      <c r="C2536"/>
      <c r="D2536"/>
      <c r="E2536"/>
      <c r="F2536"/>
      <c r="G2536"/>
    </row>
    <row r="2537" spans="1:7" x14ac:dyDescent="0.35">
      <c r="A2537"/>
      <c r="B2537"/>
      <c r="C2537"/>
      <c r="D2537"/>
      <c r="E2537"/>
      <c r="F2537"/>
      <c r="G2537"/>
    </row>
    <row r="2538" spans="1:7" x14ac:dyDescent="0.35">
      <c r="A2538"/>
      <c r="B2538"/>
      <c r="C2538"/>
      <c r="D2538"/>
      <c r="E2538"/>
      <c r="F2538"/>
      <c r="G2538"/>
    </row>
    <row r="2539" spans="1:7" x14ac:dyDescent="0.35">
      <c r="A2539"/>
      <c r="B2539"/>
      <c r="C2539"/>
      <c r="D2539"/>
      <c r="E2539"/>
      <c r="F2539"/>
      <c r="G2539"/>
    </row>
    <row r="2540" spans="1:7" x14ac:dyDescent="0.35">
      <c r="A2540"/>
      <c r="B2540"/>
      <c r="C2540"/>
      <c r="D2540"/>
      <c r="E2540"/>
      <c r="F2540"/>
      <c r="G2540"/>
    </row>
    <row r="2541" spans="1:7" x14ac:dyDescent="0.35">
      <c r="A2541"/>
      <c r="B2541"/>
      <c r="C2541"/>
      <c r="D2541"/>
      <c r="E2541"/>
      <c r="F2541"/>
      <c r="G2541"/>
    </row>
    <row r="2542" spans="1:7" x14ac:dyDescent="0.35">
      <c r="A2542"/>
      <c r="B2542"/>
      <c r="C2542"/>
      <c r="D2542"/>
      <c r="E2542"/>
      <c r="F2542"/>
      <c r="G2542"/>
    </row>
    <row r="2543" spans="1:7" x14ac:dyDescent="0.35">
      <c r="A2543"/>
      <c r="B2543"/>
      <c r="C2543"/>
      <c r="D2543"/>
      <c r="E2543"/>
      <c r="F2543"/>
      <c r="G2543"/>
    </row>
    <row r="2544" spans="1:7" x14ac:dyDescent="0.35">
      <c r="A2544"/>
      <c r="B2544"/>
      <c r="C2544"/>
      <c r="D2544"/>
      <c r="E2544"/>
      <c r="F2544"/>
      <c r="G2544"/>
    </row>
    <row r="2545" spans="1:7" x14ac:dyDescent="0.35">
      <c r="A2545"/>
      <c r="B2545"/>
      <c r="C2545"/>
      <c r="D2545"/>
      <c r="E2545"/>
      <c r="F2545"/>
      <c r="G2545"/>
    </row>
    <row r="2546" spans="1:7" x14ac:dyDescent="0.35">
      <c r="A2546"/>
      <c r="B2546"/>
      <c r="C2546"/>
      <c r="D2546"/>
      <c r="E2546"/>
      <c r="F2546"/>
      <c r="G2546"/>
    </row>
    <row r="2547" spans="1:7" x14ac:dyDescent="0.35">
      <c r="A2547"/>
      <c r="B2547"/>
      <c r="C2547"/>
      <c r="D2547"/>
      <c r="E2547"/>
      <c r="F2547"/>
      <c r="G2547"/>
    </row>
    <row r="2548" spans="1:7" x14ac:dyDescent="0.35">
      <c r="A2548"/>
      <c r="B2548"/>
      <c r="C2548"/>
      <c r="D2548"/>
      <c r="E2548"/>
      <c r="F2548"/>
      <c r="G2548"/>
    </row>
    <row r="2549" spans="1:7" x14ac:dyDescent="0.35">
      <c r="A2549"/>
      <c r="B2549"/>
      <c r="C2549"/>
      <c r="D2549"/>
      <c r="E2549"/>
      <c r="F2549"/>
      <c r="G2549"/>
    </row>
    <row r="2550" spans="1:7" x14ac:dyDescent="0.35">
      <c r="A2550"/>
      <c r="B2550"/>
      <c r="C2550"/>
      <c r="D2550"/>
      <c r="E2550"/>
      <c r="F2550"/>
      <c r="G2550"/>
    </row>
    <row r="2551" spans="1:7" x14ac:dyDescent="0.35">
      <c r="A2551"/>
      <c r="B2551"/>
      <c r="C2551"/>
      <c r="D2551"/>
      <c r="E2551"/>
      <c r="F2551"/>
      <c r="G2551"/>
    </row>
    <row r="2552" spans="1:7" x14ac:dyDescent="0.35">
      <c r="A2552"/>
      <c r="B2552"/>
      <c r="C2552"/>
      <c r="D2552"/>
      <c r="E2552"/>
      <c r="F2552"/>
      <c r="G2552"/>
    </row>
    <row r="2553" spans="1:7" x14ac:dyDescent="0.35">
      <c r="A2553"/>
      <c r="B2553"/>
      <c r="C2553"/>
      <c r="D2553"/>
      <c r="E2553"/>
      <c r="F2553"/>
      <c r="G2553"/>
    </row>
    <row r="2554" spans="1:7" x14ac:dyDescent="0.35">
      <c r="A2554"/>
      <c r="B2554"/>
      <c r="C2554"/>
      <c r="D2554"/>
      <c r="E2554"/>
      <c r="F2554"/>
      <c r="G2554"/>
    </row>
    <row r="2555" spans="1:7" x14ac:dyDescent="0.35">
      <c r="A2555"/>
      <c r="B2555"/>
      <c r="C2555"/>
      <c r="D2555"/>
      <c r="E2555"/>
      <c r="F2555"/>
      <c r="G2555"/>
    </row>
    <row r="2556" spans="1:7" x14ac:dyDescent="0.35">
      <c r="A2556"/>
      <c r="B2556"/>
      <c r="C2556"/>
      <c r="D2556"/>
      <c r="E2556"/>
      <c r="F2556"/>
      <c r="G2556"/>
    </row>
    <row r="2557" spans="1:7" x14ac:dyDescent="0.35">
      <c r="A2557"/>
      <c r="B2557"/>
      <c r="C2557"/>
      <c r="D2557"/>
      <c r="E2557"/>
      <c r="F2557"/>
      <c r="G2557"/>
    </row>
    <row r="2558" spans="1:7" x14ac:dyDescent="0.35">
      <c r="A2558"/>
      <c r="B2558"/>
      <c r="C2558"/>
      <c r="D2558"/>
      <c r="E2558"/>
      <c r="F2558"/>
      <c r="G2558"/>
    </row>
    <row r="2559" spans="1:7" x14ac:dyDescent="0.35">
      <c r="A2559"/>
      <c r="B2559"/>
      <c r="C2559"/>
      <c r="D2559"/>
      <c r="E2559"/>
      <c r="F2559"/>
      <c r="G2559"/>
    </row>
    <row r="2560" spans="1:7" x14ac:dyDescent="0.35">
      <c r="A2560"/>
      <c r="B2560"/>
      <c r="C2560"/>
      <c r="D2560"/>
      <c r="E2560"/>
      <c r="F2560"/>
      <c r="G2560"/>
    </row>
    <row r="2561" spans="1:7" x14ac:dyDescent="0.35">
      <c r="A2561"/>
      <c r="B2561"/>
      <c r="C2561"/>
      <c r="D2561"/>
      <c r="E2561"/>
      <c r="F2561"/>
      <c r="G2561"/>
    </row>
    <row r="2562" spans="1:7" x14ac:dyDescent="0.35">
      <c r="A2562"/>
      <c r="B2562"/>
      <c r="C2562"/>
      <c r="D2562"/>
      <c r="E2562"/>
      <c r="F2562"/>
      <c r="G2562"/>
    </row>
    <row r="2563" spans="1:7" x14ac:dyDescent="0.35">
      <c r="A2563"/>
      <c r="B2563"/>
      <c r="C2563"/>
      <c r="D2563"/>
      <c r="E2563"/>
      <c r="F2563"/>
      <c r="G2563"/>
    </row>
    <row r="2564" spans="1:7" x14ac:dyDescent="0.35">
      <c r="A2564"/>
      <c r="B2564"/>
      <c r="C2564"/>
      <c r="D2564"/>
      <c r="E2564"/>
      <c r="F2564"/>
      <c r="G2564"/>
    </row>
    <row r="2565" spans="1:7" x14ac:dyDescent="0.35">
      <c r="A2565"/>
      <c r="B2565"/>
      <c r="C2565"/>
      <c r="D2565"/>
      <c r="E2565"/>
      <c r="F2565"/>
      <c r="G2565"/>
    </row>
    <row r="2566" spans="1:7" x14ac:dyDescent="0.35">
      <c r="A2566"/>
      <c r="B2566"/>
      <c r="C2566"/>
      <c r="D2566"/>
      <c r="E2566"/>
      <c r="F2566"/>
      <c r="G2566"/>
    </row>
    <row r="2567" spans="1:7" x14ac:dyDescent="0.35">
      <c r="A2567"/>
      <c r="B2567"/>
      <c r="C2567"/>
      <c r="D2567"/>
      <c r="E2567"/>
      <c r="F2567"/>
      <c r="G2567"/>
    </row>
    <row r="2568" spans="1:7" x14ac:dyDescent="0.35">
      <c r="A2568"/>
      <c r="B2568"/>
      <c r="C2568"/>
      <c r="D2568"/>
      <c r="E2568"/>
      <c r="F2568"/>
      <c r="G2568"/>
    </row>
    <row r="2569" spans="1:7" x14ac:dyDescent="0.35">
      <c r="A2569"/>
      <c r="B2569"/>
      <c r="C2569"/>
      <c r="D2569"/>
      <c r="E2569"/>
      <c r="F2569"/>
      <c r="G2569"/>
    </row>
    <row r="2570" spans="1:7" x14ac:dyDescent="0.35">
      <c r="A2570"/>
      <c r="B2570"/>
      <c r="C2570"/>
      <c r="D2570"/>
      <c r="E2570"/>
      <c r="F2570"/>
      <c r="G2570"/>
    </row>
    <row r="2571" spans="1:7" x14ac:dyDescent="0.35">
      <c r="A2571"/>
      <c r="B2571"/>
      <c r="C2571"/>
      <c r="D2571"/>
      <c r="E2571"/>
      <c r="F2571"/>
      <c r="G2571"/>
    </row>
    <row r="2572" spans="1:7" x14ac:dyDescent="0.35">
      <c r="A2572"/>
      <c r="B2572"/>
      <c r="C2572"/>
      <c r="D2572"/>
      <c r="E2572"/>
      <c r="F2572"/>
      <c r="G2572"/>
    </row>
    <row r="2573" spans="1:7" x14ac:dyDescent="0.35">
      <c r="A2573"/>
      <c r="B2573"/>
      <c r="C2573"/>
      <c r="D2573"/>
      <c r="E2573"/>
      <c r="F2573"/>
      <c r="G2573"/>
    </row>
    <row r="2574" spans="1:7" x14ac:dyDescent="0.35">
      <c r="A2574"/>
      <c r="B2574"/>
      <c r="C2574"/>
      <c r="D2574"/>
      <c r="E2574"/>
      <c r="F2574"/>
      <c r="G2574"/>
    </row>
    <row r="2575" spans="1:7" x14ac:dyDescent="0.35">
      <c r="A2575"/>
      <c r="B2575"/>
      <c r="C2575"/>
      <c r="D2575"/>
      <c r="E2575"/>
      <c r="F2575"/>
      <c r="G2575"/>
    </row>
    <row r="2576" spans="1:7" x14ac:dyDescent="0.35">
      <c r="A2576"/>
      <c r="B2576"/>
      <c r="C2576"/>
      <c r="D2576"/>
      <c r="E2576"/>
      <c r="F2576"/>
      <c r="G2576"/>
    </row>
    <row r="2577" spans="1:7" x14ac:dyDescent="0.35">
      <c r="A2577"/>
      <c r="B2577"/>
      <c r="C2577"/>
      <c r="D2577"/>
      <c r="E2577"/>
      <c r="F2577"/>
      <c r="G2577"/>
    </row>
    <row r="2578" spans="1:7" x14ac:dyDescent="0.35">
      <c r="A2578"/>
      <c r="B2578"/>
      <c r="C2578"/>
      <c r="D2578"/>
      <c r="E2578"/>
      <c r="F2578"/>
      <c r="G2578"/>
    </row>
    <row r="2579" spans="1:7" x14ac:dyDescent="0.35">
      <c r="A2579"/>
      <c r="B2579"/>
      <c r="C2579"/>
      <c r="D2579"/>
      <c r="E2579"/>
      <c r="F2579"/>
      <c r="G2579"/>
    </row>
    <row r="2580" spans="1:7" x14ac:dyDescent="0.35">
      <c r="A2580"/>
      <c r="B2580"/>
      <c r="C2580"/>
      <c r="D2580"/>
      <c r="E2580"/>
      <c r="F2580"/>
      <c r="G2580"/>
    </row>
    <row r="2581" spans="1:7" x14ac:dyDescent="0.35">
      <c r="A2581"/>
      <c r="B2581"/>
      <c r="C2581"/>
      <c r="D2581"/>
      <c r="E2581"/>
      <c r="F2581"/>
      <c r="G2581"/>
    </row>
    <row r="2582" spans="1:7" x14ac:dyDescent="0.35">
      <c r="A2582"/>
      <c r="B2582"/>
      <c r="C2582"/>
      <c r="D2582"/>
      <c r="E2582"/>
      <c r="F2582"/>
      <c r="G2582"/>
    </row>
    <row r="2583" spans="1:7" x14ac:dyDescent="0.35">
      <c r="A2583"/>
      <c r="B2583"/>
      <c r="C2583"/>
      <c r="D2583"/>
      <c r="E2583"/>
      <c r="F2583"/>
      <c r="G2583"/>
    </row>
    <row r="2584" spans="1:7" x14ac:dyDescent="0.35">
      <c r="A2584"/>
      <c r="B2584"/>
      <c r="C2584"/>
      <c r="D2584"/>
      <c r="E2584"/>
      <c r="F2584"/>
      <c r="G2584"/>
    </row>
    <row r="2585" spans="1:7" x14ac:dyDescent="0.35">
      <c r="A2585"/>
      <c r="B2585"/>
      <c r="C2585"/>
      <c r="D2585"/>
      <c r="E2585"/>
      <c r="F2585"/>
      <c r="G2585"/>
    </row>
    <row r="2586" spans="1:7" x14ac:dyDescent="0.35">
      <c r="A2586"/>
      <c r="B2586"/>
      <c r="C2586"/>
      <c r="D2586"/>
      <c r="E2586"/>
      <c r="F2586"/>
      <c r="G2586"/>
    </row>
    <row r="2587" spans="1:7" x14ac:dyDescent="0.35">
      <c r="A2587"/>
      <c r="B2587"/>
      <c r="C2587"/>
      <c r="D2587"/>
      <c r="E2587"/>
      <c r="F2587"/>
      <c r="G2587"/>
    </row>
    <row r="2588" spans="1:7" x14ac:dyDescent="0.35">
      <c r="A2588"/>
      <c r="B2588"/>
      <c r="C2588"/>
      <c r="D2588"/>
      <c r="E2588"/>
      <c r="F2588"/>
      <c r="G2588"/>
    </row>
    <row r="2589" spans="1:7" x14ac:dyDescent="0.35">
      <c r="A2589"/>
      <c r="B2589"/>
      <c r="C2589"/>
      <c r="D2589"/>
      <c r="E2589"/>
      <c r="F2589"/>
      <c r="G2589"/>
    </row>
    <row r="2590" spans="1:7" x14ac:dyDescent="0.35">
      <c r="A2590"/>
      <c r="B2590"/>
      <c r="C2590"/>
      <c r="D2590"/>
      <c r="E2590"/>
      <c r="F2590"/>
      <c r="G2590"/>
    </row>
    <row r="2591" spans="1:7" x14ac:dyDescent="0.35">
      <c r="A2591"/>
      <c r="B2591"/>
      <c r="C2591"/>
      <c r="D2591"/>
      <c r="E2591"/>
      <c r="F2591"/>
      <c r="G2591"/>
    </row>
    <row r="2592" spans="1:7" x14ac:dyDescent="0.35">
      <c r="A2592"/>
      <c r="B2592"/>
      <c r="C2592"/>
      <c r="D2592"/>
      <c r="E2592"/>
      <c r="F2592"/>
      <c r="G2592"/>
    </row>
    <row r="2593" spans="1:7" x14ac:dyDescent="0.35">
      <c r="A2593"/>
      <c r="B2593"/>
      <c r="C2593"/>
      <c r="D2593"/>
      <c r="E2593"/>
      <c r="F2593"/>
      <c r="G2593"/>
    </row>
    <row r="2594" spans="1:7" x14ac:dyDescent="0.35">
      <c r="A2594"/>
      <c r="B2594"/>
      <c r="C2594"/>
      <c r="D2594"/>
      <c r="E2594"/>
      <c r="F2594"/>
      <c r="G2594"/>
    </row>
    <row r="2595" spans="1:7" x14ac:dyDescent="0.35">
      <c r="A2595"/>
      <c r="B2595"/>
      <c r="C2595"/>
      <c r="D2595"/>
      <c r="E2595"/>
      <c r="F2595"/>
      <c r="G2595"/>
    </row>
    <row r="2596" spans="1:7" x14ac:dyDescent="0.35">
      <c r="A2596"/>
      <c r="B2596"/>
      <c r="C2596"/>
      <c r="D2596"/>
      <c r="E2596"/>
      <c r="F2596"/>
      <c r="G2596"/>
    </row>
    <row r="2597" spans="1:7" x14ac:dyDescent="0.35">
      <c r="A2597"/>
      <c r="B2597"/>
      <c r="C2597"/>
      <c r="D2597"/>
      <c r="E2597"/>
      <c r="F2597"/>
      <c r="G2597"/>
    </row>
    <row r="2598" spans="1:7" x14ac:dyDescent="0.35">
      <c r="A2598"/>
      <c r="B2598"/>
      <c r="C2598"/>
      <c r="D2598"/>
      <c r="E2598"/>
      <c r="F2598"/>
      <c r="G2598"/>
    </row>
    <row r="2599" spans="1:7" x14ac:dyDescent="0.35">
      <c r="A2599"/>
      <c r="B2599"/>
      <c r="C2599"/>
      <c r="D2599"/>
      <c r="E2599"/>
      <c r="F2599"/>
      <c r="G2599"/>
    </row>
    <row r="2600" spans="1:7" x14ac:dyDescent="0.35">
      <c r="A2600"/>
      <c r="B2600"/>
      <c r="C2600"/>
      <c r="D2600"/>
      <c r="E2600"/>
      <c r="F2600"/>
      <c r="G2600"/>
    </row>
    <row r="2601" spans="1:7" x14ac:dyDescent="0.35">
      <c r="A2601"/>
      <c r="B2601"/>
      <c r="C2601"/>
      <c r="D2601"/>
      <c r="E2601"/>
      <c r="F2601"/>
      <c r="G2601"/>
    </row>
    <row r="2602" spans="1:7" x14ac:dyDescent="0.35">
      <c r="A2602"/>
      <c r="B2602"/>
      <c r="C2602"/>
      <c r="D2602"/>
      <c r="E2602"/>
      <c r="F2602"/>
      <c r="G2602"/>
    </row>
    <row r="2603" spans="1:7" x14ac:dyDescent="0.35">
      <c r="A2603"/>
      <c r="B2603"/>
      <c r="C2603"/>
      <c r="D2603"/>
      <c r="E2603"/>
      <c r="F2603"/>
      <c r="G2603"/>
    </row>
    <row r="2604" spans="1:7" x14ac:dyDescent="0.35">
      <c r="A2604"/>
      <c r="B2604"/>
      <c r="C2604"/>
      <c r="D2604"/>
      <c r="E2604"/>
      <c r="F2604"/>
      <c r="G2604"/>
    </row>
    <row r="2605" spans="1:7" x14ac:dyDescent="0.35">
      <c r="A2605"/>
      <c r="B2605"/>
      <c r="C2605"/>
      <c r="D2605"/>
      <c r="E2605"/>
      <c r="F2605"/>
      <c r="G2605"/>
    </row>
    <row r="2606" spans="1:7" x14ac:dyDescent="0.35">
      <c r="A2606"/>
      <c r="B2606"/>
      <c r="C2606"/>
      <c r="D2606"/>
      <c r="E2606"/>
      <c r="F2606"/>
      <c r="G2606"/>
    </row>
    <row r="2607" spans="1:7" x14ac:dyDescent="0.35">
      <c r="A2607"/>
      <c r="B2607"/>
      <c r="C2607"/>
      <c r="D2607"/>
      <c r="E2607"/>
      <c r="F2607"/>
      <c r="G2607"/>
    </row>
    <row r="2608" spans="1:7" x14ac:dyDescent="0.35">
      <c r="A2608"/>
      <c r="B2608"/>
      <c r="C2608"/>
      <c r="D2608"/>
      <c r="E2608"/>
      <c r="F2608"/>
      <c r="G2608"/>
    </row>
    <row r="2609" spans="1:7" x14ac:dyDescent="0.35">
      <c r="A2609"/>
      <c r="B2609"/>
      <c r="C2609"/>
      <c r="D2609"/>
      <c r="E2609"/>
      <c r="F2609"/>
      <c r="G2609"/>
    </row>
    <row r="2610" spans="1:7" x14ac:dyDescent="0.35">
      <c r="A2610"/>
      <c r="B2610"/>
      <c r="C2610"/>
      <c r="D2610"/>
      <c r="E2610"/>
      <c r="F2610"/>
      <c r="G2610"/>
    </row>
    <row r="2611" spans="1:7" x14ac:dyDescent="0.35">
      <c r="A2611"/>
      <c r="B2611"/>
      <c r="C2611"/>
      <c r="D2611"/>
      <c r="E2611"/>
      <c r="F2611"/>
      <c r="G2611"/>
    </row>
    <row r="2612" spans="1:7" x14ac:dyDescent="0.35">
      <c r="A2612"/>
      <c r="B2612"/>
      <c r="C2612"/>
      <c r="D2612"/>
      <c r="E2612"/>
      <c r="F2612"/>
      <c r="G2612"/>
    </row>
    <row r="2613" spans="1:7" x14ac:dyDescent="0.35">
      <c r="A2613"/>
      <c r="B2613"/>
      <c r="C2613"/>
      <c r="D2613"/>
      <c r="E2613"/>
      <c r="F2613"/>
      <c r="G2613"/>
    </row>
    <row r="2614" spans="1:7" x14ac:dyDescent="0.35">
      <c r="A2614"/>
      <c r="B2614"/>
      <c r="C2614"/>
      <c r="D2614"/>
      <c r="E2614"/>
      <c r="F2614"/>
      <c r="G2614"/>
    </row>
    <row r="2615" spans="1:7" x14ac:dyDescent="0.35">
      <c r="A2615"/>
      <c r="B2615"/>
      <c r="C2615"/>
      <c r="D2615"/>
      <c r="E2615"/>
      <c r="F2615"/>
      <c r="G2615"/>
    </row>
    <row r="2616" spans="1:7" x14ac:dyDescent="0.35">
      <c r="A2616"/>
      <c r="B2616"/>
      <c r="C2616"/>
      <c r="D2616"/>
      <c r="E2616"/>
      <c r="F2616"/>
      <c r="G2616"/>
    </row>
    <row r="2617" spans="1:7" x14ac:dyDescent="0.35">
      <c r="A2617"/>
      <c r="B2617"/>
      <c r="C2617"/>
      <c r="D2617"/>
      <c r="E2617"/>
      <c r="F2617"/>
      <c r="G2617"/>
    </row>
    <row r="2618" spans="1:7" x14ac:dyDescent="0.35">
      <c r="A2618"/>
      <c r="B2618"/>
      <c r="C2618"/>
      <c r="D2618"/>
      <c r="E2618"/>
      <c r="F2618"/>
      <c r="G2618"/>
    </row>
    <row r="2619" spans="1:7" x14ac:dyDescent="0.35">
      <c r="A2619"/>
      <c r="B2619"/>
      <c r="C2619"/>
      <c r="D2619"/>
      <c r="E2619"/>
      <c r="F2619"/>
      <c r="G2619"/>
    </row>
    <row r="2620" spans="1:7" x14ac:dyDescent="0.35">
      <c r="A2620"/>
      <c r="B2620"/>
      <c r="C2620"/>
      <c r="D2620"/>
      <c r="E2620"/>
      <c r="F2620"/>
      <c r="G2620"/>
    </row>
    <row r="2621" spans="1:7" x14ac:dyDescent="0.35">
      <c r="A2621"/>
      <c r="B2621"/>
      <c r="C2621"/>
      <c r="D2621"/>
      <c r="E2621"/>
      <c r="F2621"/>
      <c r="G2621"/>
    </row>
    <row r="2622" spans="1:7" x14ac:dyDescent="0.35">
      <c r="A2622"/>
      <c r="B2622"/>
      <c r="C2622"/>
      <c r="D2622"/>
      <c r="E2622"/>
      <c r="F2622"/>
      <c r="G2622"/>
    </row>
    <row r="2623" spans="1:7" x14ac:dyDescent="0.35">
      <c r="A2623"/>
      <c r="B2623"/>
      <c r="C2623"/>
      <c r="D2623"/>
      <c r="E2623"/>
      <c r="F2623"/>
      <c r="G2623"/>
    </row>
    <row r="2624" spans="1:7" x14ac:dyDescent="0.35">
      <c r="A2624"/>
      <c r="B2624"/>
      <c r="C2624"/>
      <c r="D2624"/>
      <c r="E2624"/>
      <c r="F2624"/>
      <c r="G2624"/>
    </row>
    <row r="2625" spans="1:7" x14ac:dyDescent="0.35">
      <c r="A2625"/>
      <c r="B2625"/>
      <c r="C2625"/>
      <c r="D2625"/>
      <c r="E2625"/>
      <c r="F2625"/>
      <c r="G2625"/>
    </row>
    <row r="2626" spans="1:7" x14ac:dyDescent="0.35">
      <c r="A2626"/>
      <c r="B2626"/>
      <c r="C2626"/>
      <c r="D2626"/>
      <c r="E2626"/>
      <c r="F2626"/>
      <c r="G2626"/>
    </row>
    <row r="2627" spans="1:7" x14ac:dyDescent="0.35">
      <c r="A2627"/>
      <c r="B2627"/>
      <c r="C2627"/>
      <c r="D2627"/>
      <c r="E2627"/>
      <c r="F2627"/>
      <c r="G2627"/>
    </row>
    <row r="2628" spans="1:7" x14ac:dyDescent="0.35">
      <c r="A2628"/>
      <c r="B2628"/>
      <c r="C2628"/>
      <c r="D2628"/>
      <c r="E2628"/>
      <c r="F2628"/>
      <c r="G2628"/>
    </row>
    <row r="2629" spans="1:7" x14ac:dyDescent="0.35">
      <c r="A2629"/>
      <c r="B2629"/>
      <c r="C2629"/>
      <c r="D2629"/>
      <c r="E2629"/>
      <c r="F2629"/>
      <c r="G2629"/>
    </row>
    <row r="2630" spans="1:7" x14ac:dyDescent="0.35">
      <c r="A2630"/>
      <c r="B2630"/>
      <c r="C2630"/>
      <c r="D2630"/>
      <c r="E2630"/>
      <c r="F2630"/>
      <c r="G2630"/>
    </row>
    <row r="2631" spans="1:7" x14ac:dyDescent="0.35">
      <c r="A2631"/>
      <c r="B2631"/>
      <c r="C2631"/>
      <c r="D2631"/>
      <c r="E2631"/>
      <c r="F2631"/>
      <c r="G2631"/>
    </row>
    <row r="2632" spans="1:7" x14ac:dyDescent="0.35">
      <c r="A2632"/>
      <c r="B2632"/>
      <c r="C2632"/>
      <c r="D2632"/>
      <c r="E2632"/>
      <c r="F2632"/>
      <c r="G2632"/>
    </row>
    <row r="2633" spans="1:7" x14ac:dyDescent="0.35">
      <c r="A2633"/>
      <c r="B2633"/>
      <c r="C2633"/>
      <c r="D2633"/>
      <c r="E2633"/>
      <c r="F2633"/>
      <c r="G2633"/>
    </row>
    <row r="2634" spans="1:7" x14ac:dyDescent="0.35">
      <c r="A2634"/>
      <c r="B2634"/>
      <c r="C2634"/>
      <c r="D2634"/>
      <c r="E2634"/>
      <c r="F2634"/>
      <c r="G2634"/>
    </row>
    <row r="2635" spans="1:7" x14ac:dyDescent="0.35">
      <c r="A2635"/>
      <c r="B2635"/>
      <c r="C2635"/>
      <c r="D2635"/>
      <c r="E2635"/>
      <c r="F2635"/>
      <c r="G2635"/>
    </row>
    <row r="2636" spans="1:7" x14ac:dyDescent="0.35">
      <c r="A2636"/>
      <c r="B2636"/>
      <c r="C2636"/>
      <c r="D2636"/>
      <c r="E2636"/>
      <c r="F2636"/>
      <c r="G2636"/>
    </row>
    <row r="2637" spans="1:7" x14ac:dyDescent="0.35">
      <c r="A2637"/>
      <c r="B2637"/>
      <c r="C2637"/>
      <c r="D2637"/>
      <c r="E2637"/>
      <c r="F2637"/>
      <c r="G2637"/>
    </row>
    <row r="2638" spans="1:7" x14ac:dyDescent="0.35">
      <c r="A2638"/>
      <c r="B2638"/>
      <c r="C2638"/>
      <c r="D2638"/>
      <c r="E2638"/>
      <c r="F2638"/>
      <c r="G2638"/>
    </row>
    <row r="2639" spans="1:7" x14ac:dyDescent="0.35">
      <c r="A2639"/>
      <c r="B2639"/>
      <c r="C2639"/>
      <c r="D2639"/>
      <c r="E2639"/>
      <c r="F2639"/>
      <c r="G2639"/>
    </row>
    <row r="2640" spans="1:7" x14ac:dyDescent="0.35">
      <c r="A2640"/>
      <c r="B2640"/>
      <c r="C2640"/>
      <c r="D2640"/>
      <c r="E2640"/>
      <c r="F2640"/>
      <c r="G2640"/>
    </row>
    <row r="2641" spans="1:7" x14ac:dyDescent="0.35">
      <c r="A2641"/>
      <c r="B2641"/>
      <c r="C2641"/>
      <c r="D2641"/>
      <c r="E2641"/>
      <c r="F2641"/>
      <c r="G2641"/>
    </row>
    <row r="2642" spans="1:7" x14ac:dyDescent="0.35">
      <c r="A2642"/>
      <c r="B2642"/>
      <c r="C2642"/>
      <c r="D2642"/>
      <c r="E2642"/>
      <c r="F2642"/>
      <c r="G2642"/>
    </row>
    <row r="2643" spans="1:7" x14ac:dyDescent="0.35">
      <c r="A2643"/>
      <c r="B2643"/>
      <c r="C2643"/>
      <c r="D2643"/>
      <c r="E2643"/>
      <c r="F2643"/>
      <c r="G2643"/>
    </row>
    <row r="2644" spans="1:7" x14ac:dyDescent="0.35">
      <c r="A2644"/>
      <c r="B2644"/>
      <c r="C2644"/>
      <c r="D2644"/>
      <c r="E2644"/>
      <c r="F2644"/>
      <c r="G2644"/>
    </row>
    <row r="2645" spans="1:7" x14ac:dyDescent="0.35">
      <c r="A2645"/>
      <c r="B2645"/>
      <c r="C2645"/>
      <c r="D2645"/>
      <c r="E2645"/>
      <c r="F2645"/>
      <c r="G2645"/>
    </row>
    <row r="2646" spans="1:7" x14ac:dyDescent="0.35">
      <c r="A2646"/>
      <c r="B2646"/>
      <c r="C2646"/>
      <c r="D2646"/>
      <c r="E2646"/>
      <c r="F2646"/>
      <c r="G2646"/>
    </row>
    <row r="2647" spans="1:7" x14ac:dyDescent="0.35">
      <c r="A2647"/>
      <c r="B2647"/>
      <c r="C2647"/>
      <c r="D2647"/>
      <c r="E2647"/>
      <c r="F2647"/>
      <c r="G2647"/>
    </row>
    <row r="2648" spans="1:7" x14ac:dyDescent="0.35">
      <c r="A2648"/>
      <c r="B2648"/>
      <c r="C2648"/>
      <c r="D2648"/>
      <c r="E2648"/>
      <c r="F2648"/>
      <c r="G2648"/>
    </row>
    <row r="2649" spans="1:7" x14ac:dyDescent="0.35">
      <c r="A2649"/>
      <c r="B2649"/>
      <c r="C2649"/>
      <c r="D2649"/>
      <c r="E2649"/>
      <c r="F2649"/>
      <c r="G2649"/>
    </row>
    <row r="2650" spans="1:7" x14ac:dyDescent="0.35">
      <c r="A2650"/>
      <c r="B2650"/>
      <c r="C2650"/>
      <c r="D2650"/>
      <c r="E2650"/>
      <c r="F2650"/>
      <c r="G2650"/>
    </row>
    <row r="2651" spans="1:7" x14ac:dyDescent="0.35">
      <c r="A2651"/>
      <c r="B2651"/>
      <c r="C2651"/>
      <c r="D2651"/>
      <c r="E2651"/>
      <c r="F2651"/>
      <c r="G2651"/>
    </row>
    <row r="2652" spans="1:7" x14ac:dyDescent="0.35">
      <c r="A2652"/>
      <c r="B2652"/>
      <c r="C2652"/>
      <c r="D2652"/>
      <c r="E2652"/>
      <c r="F2652"/>
      <c r="G2652"/>
    </row>
    <row r="2653" spans="1:7" x14ac:dyDescent="0.35">
      <c r="A2653"/>
      <c r="B2653"/>
      <c r="C2653"/>
      <c r="D2653"/>
      <c r="E2653"/>
      <c r="F2653"/>
      <c r="G2653"/>
    </row>
    <row r="2654" spans="1:7" x14ac:dyDescent="0.35">
      <c r="A2654"/>
      <c r="B2654"/>
      <c r="C2654"/>
      <c r="D2654"/>
      <c r="E2654"/>
      <c r="F2654"/>
      <c r="G2654"/>
    </row>
    <row r="2655" spans="1:7" x14ac:dyDescent="0.35">
      <c r="A2655"/>
      <c r="B2655"/>
      <c r="C2655"/>
      <c r="D2655"/>
      <c r="E2655"/>
      <c r="F2655"/>
      <c r="G2655"/>
    </row>
    <row r="2656" spans="1:7" x14ac:dyDescent="0.35">
      <c r="A2656"/>
      <c r="B2656"/>
      <c r="C2656"/>
      <c r="D2656"/>
      <c r="E2656"/>
      <c r="F2656"/>
      <c r="G2656"/>
    </row>
    <row r="2657" spans="1:7" x14ac:dyDescent="0.35">
      <c r="A2657"/>
      <c r="B2657"/>
      <c r="C2657"/>
      <c r="D2657"/>
      <c r="E2657"/>
      <c r="F2657"/>
      <c r="G2657"/>
    </row>
    <row r="2658" spans="1:7" x14ac:dyDescent="0.35">
      <c r="A2658"/>
      <c r="B2658"/>
      <c r="C2658"/>
      <c r="D2658"/>
      <c r="E2658"/>
      <c r="F2658"/>
      <c r="G2658"/>
    </row>
    <row r="2659" spans="1:7" x14ac:dyDescent="0.35">
      <c r="A2659"/>
      <c r="B2659"/>
      <c r="C2659"/>
      <c r="D2659"/>
      <c r="E2659"/>
      <c r="F2659"/>
      <c r="G2659"/>
    </row>
    <row r="2660" spans="1:7" x14ac:dyDescent="0.35">
      <c r="A2660"/>
      <c r="B2660"/>
      <c r="C2660"/>
      <c r="D2660"/>
      <c r="E2660"/>
      <c r="F2660"/>
      <c r="G2660"/>
    </row>
    <row r="2661" spans="1:7" x14ac:dyDescent="0.35">
      <c r="A2661"/>
      <c r="B2661"/>
      <c r="C2661"/>
      <c r="D2661"/>
      <c r="E2661"/>
      <c r="F2661"/>
      <c r="G2661"/>
    </row>
    <row r="2662" spans="1:7" x14ac:dyDescent="0.35">
      <c r="A2662"/>
      <c r="B2662"/>
      <c r="C2662"/>
      <c r="D2662"/>
      <c r="E2662"/>
      <c r="F2662"/>
      <c r="G2662"/>
    </row>
    <row r="2663" spans="1:7" x14ac:dyDescent="0.35">
      <c r="A2663"/>
      <c r="B2663"/>
      <c r="C2663"/>
      <c r="D2663"/>
      <c r="E2663"/>
      <c r="F2663"/>
      <c r="G2663"/>
    </row>
    <row r="2664" spans="1:7" x14ac:dyDescent="0.35">
      <c r="A2664"/>
      <c r="B2664"/>
      <c r="C2664"/>
      <c r="D2664"/>
      <c r="E2664"/>
      <c r="F2664"/>
      <c r="G2664"/>
    </row>
    <row r="2665" spans="1:7" x14ac:dyDescent="0.35">
      <c r="A2665"/>
      <c r="B2665"/>
      <c r="C2665"/>
      <c r="D2665"/>
      <c r="E2665"/>
      <c r="F2665"/>
      <c r="G2665"/>
    </row>
    <row r="2666" spans="1:7" x14ac:dyDescent="0.35">
      <c r="A2666"/>
      <c r="B2666"/>
      <c r="C2666"/>
      <c r="D2666"/>
      <c r="E2666"/>
      <c r="F2666"/>
      <c r="G2666"/>
    </row>
    <row r="2667" spans="1:7" x14ac:dyDescent="0.35">
      <c r="A2667"/>
      <c r="B2667"/>
      <c r="C2667"/>
      <c r="D2667"/>
      <c r="E2667"/>
      <c r="F2667"/>
      <c r="G2667"/>
    </row>
    <row r="2668" spans="1:7" x14ac:dyDescent="0.35">
      <c r="A2668"/>
      <c r="B2668"/>
      <c r="C2668"/>
      <c r="D2668"/>
      <c r="E2668"/>
      <c r="F2668"/>
      <c r="G2668"/>
    </row>
    <row r="2669" spans="1:7" x14ac:dyDescent="0.35">
      <c r="A2669"/>
      <c r="B2669"/>
      <c r="C2669"/>
      <c r="D2669"/>
      <c r="E2669"/>
      <c r="F2669"/>
      <c r="G2669"/>
    </row>
    <row r="2670" spans="1:7" x14ac:dyDescent="0.35">
      <c r="A2670"/>
      <c r="B2670"/>
      <c r="C2670"/>
      <c r="D2670"/>
      <c r="E2670"/>
      <c r="F2670"/>
      <c r="G2670"/>
    </row>
    <row r="2671" spans="1:7" x14ac:dyDescent="0.35">
      <c r="A2671"/>
      <c r="B2671"/>
      <c r="C2671"/>
      <c r="D2671"/>
      <c r="E2671"/>
      <c r="F2671"/>
      <c r="G2671"/>
    </row>
    <row r="2672" spans="1:7" x14ac:dyDescent="0.35">
      <c r="A2672"/>
      <c r="B2672"/>
      <c r="C2672"/>
      <c r="D2672"/>
      <c r="E2672"/>
      <c r="F2672"/>
      <c r="G2672"/>
    </row>
    <row r="2673" spans="1:7" x14ac:dyDescent="0.35">
      <c r="A2673"/>
      <c r="B2673"/>
      <c r="C2673"/>
      <c r="D2673"/>
      <c r="E2673"/>
      <c r="F2673"/>
      <c r="G2673"/>
    </row>
    <row r="2674" spans="1:7" x14ac:dyDescent="0.35">
      <c r="A2674"/>
      <c r="B2674"/>
      <c r="C2674"/>
      <c r="D2674"/>
      <c r="E2674"/>
      <c r="F2674"/>
      <c r="G2674"/>
    </row>
    <row r="2675" spans="1:7" x14ac:dyDescent="0.35">
      <c r="A2675"/>
      <c r="B2675"/>
      <c r="C2675"/>
      <c r="D2675"/>
      <c r="E2675"/>
      <c r="F2675"/>
      <c r="G2675"/>
    </row>
    <row r="2676" spans="1:7" x14ac:dyDescent="0.35">
      <c r="A2676"/>
      <c r="B2676"/>
      <c r="C2676"/>
      <c r="D2676"/>
      <c r="E2676"/>
      <c r="F2676"/>
      <c r="G2676"/>
    </row>
    <row r="2677" spans="1:7" x14ac:dyDescent="0.35">
      <c r="A2677"/>
      <c r="B2677"/>
      <c r="C2677"/>
      <c r="D2677"/>
      <c r="E2677"/>
      <c r="F2677"/>
      <c r="G2677"/>
    </row>
    <row r="2678" spans="1:7" x14ac:dyDescent="0.35">
      <c r="A2678"/>
      <c r="B2678"/>
      <c r="C2678"/>
      <c r="D2678"/>
      <c r="E2678"/>
      <c r="F2678"/>
      <c r="G2678"/>
    </row>
    <row r="2679" spans="1:7" x14ac:dyDescent="0.35">
      <c r="A2679"/>
      <c r="B2679"/>
      <c r="C2679"/>
      <c r="D2679"/>
      <c r="E2679"/>
      <c r="F2679"/>
      <c r="G2679"/>
    </row>
    <row r="2680" spans="1:7" x14ac:dyDescent="0.35">
      <c r="A2680"/>
      <c r="B2680"/>
      <c r="C2680"/>
      <c r="D2680"/>
      <c r="E2680"/>
      <c r="F2680"/>
      <c r="G2680"/>
    </row>
    <row r="2681" spans="1:7" x14ac:dyDescent="0.35">
      <c r="A2681"/>
      <c r="B2681"/>
      <c r="C2681"/>
      <c r="D2681"/>
      <c r="E2681"/>
      <c r="F2681"/>
      <c r="G2681"/>
    </row>
    <row r="2682" spans="1:7" x14ac:dyDescent="0.35">
      <c r="A2682"/>
      <c r="B2682"/>
      <c r="C2682"/>
      <c r="D2682"/>
      <c r="E2682"/>
      <c r="F2682"/>
      <c r="G2682"/>
    </row>
    <row r="2683" spans="1:7" x14ac:dyDescent="0.35">
      <c r="A2683"/>
      <c r="B2683"/>
      <c r="C2683"/>
      <c r="D2683"/>
      <c r="E2683"/>
      <c r="F2683"/>
      <c r="G2683"/>
    </row>
    <row r="2684" spans="1:7" x14ac:dyDescent="0.35">
      <c r="A2684"/>
      <c r="B2684"/>
      <c r="C2684"/>
      <c r="D2684"/>
      <c r="E2684"/>
      <c r="F2684"/>
      <c r="G2684"/>
    </row>
    <row r="2685" spans="1:7" x14ac:dyDescent="0.35">
      <c r="A2685"/>
      <c r="B2685"/>
      <c r="C2685"/>
      <c r="D2685"/>
      <c r="E2685"/>
      <c r="F2685"/>
      <c r="G2685"/>
    </row>
    <row r="2686" spans="1:7" x14ac:dyDescent="0.35">
      <c r="A2686"/>
      <c r="B2686"/>
      <c r="C2686"/>
      <c r="D2686"/>
      <c r="E2686"/>
      <c r="F2686"/>
      <c r="G2686"/>
    </row>
    <row r="2687" spans="1:7" x14ac:dyDescent="0.35">
      <c r="A2687"/>
      <c r="B2687"/>
      <c r="C2687"/>
      <c r="D2687"/>
      <c r="E2687"/>
      <c r="F2687"/>
      <c r="G2687"/>
    </row>
    <row r="2688" spans="1:7" x14ac:dyDescent="0.35">
      <c r="A2688"/>
      <c r="B2688"/>
      <c r="C2688"/>
      <c r="D2688"/>
      <c r="E2688"/>
      <c r="F2688"/>
      <c r="G2688"/>
    </row>
    <row r="2689" spans="1:7" x14ac:dyDescent="0.35">
      <c r="A2689"/>
      <c r="B2689"/>
      <c r="C2689"/>
      <c r="D2689"/>
      <c r="E2689"/>
      <c r="F2689"/>
      <c r="G2689"/>
    </row>
    <row r="2690" spans="1:7" x14ac:dyDescent="0.35">
      <c r="A2690"/>
      <c r="B2690"/>
      <c r="C2690"/>
      <c r="D2690"/>
      <c r="E2690"/>
      <c r="F2690"/>
      <c r="G2690"/>
    </row>
    <row r="2691" spans="1:7" x14ac:dyDescent="0.35">
      <c r="A2691"/>
      <c r="B2691"/>
      <c r="C2691"/>
      <c r="D2691"/>
      <c r="E2691"/>
      <c r="F2691"/>
      <c r="G2691"/>
    </row>
    <row r="2692" spans="1:7" x14ac:dyDescent="0.35">
      <c r="A2692"/>
      <c r="B2692"/>
      <c r="C2692"/>
      <c r="D2692"/>
      <c r="E2692"/>
      <c r="F2692"/>
      <c r="G2692"/>
    </row>
    <row r="2693" spans="1:7" x14ac:dyDescent="0.35">
      <c r="A2693"/>
      <c r="B2693"/>
      <c r="C2693"/>
      <c r="D2693"/>
      <c r="E2693"/>
      <c r="F2693"/>
      <c r="G2693"/>
    </row>
    <row r="2694" spans="1:7" x14ac:dyDescent="0.35">
      <c r="A2694"/>
      <c r="B2694"/>
      <c r="C2694"/>
      <c r="D2694"/>
      <c r="E2694"/>
      <c r="F2694"/>
      <c r="G2694"/>
    </row>
    <row r="2695" spans="1:7" x14ac:dyDescent="0.35">
      <c r="A2695"/>
      <c r="B2695"/>
      <c r="C2695"/>
      <c r="D2695"/>
      <c r="E2695"/>
      <c r="F2695"/>
      <c r="G2695"/>
    </row>
    <row r="2696" spans="1:7" x14ac:dyDescent="0.35">
      <c r="A2696"/>
      <c r="B2696"/>
      <c r="C2696"/>
      <c r="D2696"/>
      <c r="E2696"/>
      <c r="F2696"/>
      <c r="G2696"/>
    </row>
    <row r="2697" spans="1:7" x14ac:dyDescent="0.35">
      <c r="A2697"/>
      <c r="B2697"/>
      <c r="C2697"/>
      <c r="D2697"/>
      <c r="E2697"/>
      <c r="F2697"/>
      <c r="G2697"/>
    </row>
    <row r="2698" spans="1:7" x14ac:dyDescent="0.35">
      <c r="A2698"/>
      <c r="B2698"/>
      <c r="C2698"/>
      <c r="D2698"/>
      <c r="E2698"/>
      <c r="F2698"/>
      <c r="G2698"/>
    </row>
    <row r="2699" spans="1:7" x14ac:dyDescent="0.35">
      <c r="A2699"/>
      <c r="B2699"/>
      <c r="C2699"/>
      <c r="D2699"/>
      <c r="E2699"/>
      <c r="F2699"/>
      <c r="G2699"/>
    </row>
    <row r="2700" spans="1:7" x14ac:dyDescent="0.35">
      <c r="A2700"/>
      <c r="B2700"/>
      <c r="C2700"/>
      <c r="D2700"/>
      <c r="E2700"/>
      <c r="F2700"/>
      <c r="G2700"/>
    </row>
    <row r="2701" spans="1:7" x14ac:dyDescent="0.35">
      <c r="A2701"/>
      <c r="B2701"/>
      <c r="C2701"/>
      <c r="D2701"/>
      <c r="E2701"/>
      <c r="F2701"/>
      <c r="G2701"/>
    </row>
    <row r="2702" spans="1:7" x14ac:dyDescent="0.35">
      <c r="A2702"/>
      <c r="B2702"/>
      <c r="C2702"/>
      <c r="D2702"/>
      <c r="E2702"/>
      <c r="F2702"/>
      <c r="G2702"/>
    </row>
    <row r="2703" spans="1:7" x14ac:dyDescent="0.35">
      <c r="A2703"/>
      <c r="B2703"/>
      <c r="C2703"/>
      <c r="D2703"/>
      <c r="E2703"/>
      <c r="F2703"/>
      <c r="G2703"/>
    </row>
    <row r="2704" spans="1:7" x14ac:dyDescent="0.35">
      <c r="A2704"/>
      <c r="B2704"/>
      <c r="C2704"/>
      <c r="D2704"/>
      <c r="E2704"/>
      <c r="F2704"/>
      <c r="G2704"/>
    </row>
    <row r="2705" spans="1:7" x14ac:dyDescent="0.35">
      <c r="A2705"/>
      <c r="B2705"/>
      <c r="C2705"/>
      <c r="D2705"/>
      <c r="E2705"/>
      <c r="F2705"/>
      <c r="G2705"/>
    </row>
    <row r="2706" spans="1:7" x14ac:dyDescent="0.35">
      <c r="A2706"/>
      <c r="B2706"/>
      <c r="C2706"/>
      <c r="D2706"/>
      <c r="E2706"/>
      <c r="F2706"/>
      <c r="G2706"/>
    </row>
    <row r="2707" spans="1:7" x14ac:dyDescent="0.35">
      <c r="A2707"/>
      <c r="B2707"/>
      <c r="C2707"/>
      <c r="D2707"/>
      <c r="E2707"/>
      <c r="F2707"/>
      <c r="G2707"/>
    </row>
    <row r="2708" spans="1:7" x14ac:dyDescent="0.35">
      <c r="A2708"/>
      <c r="B2708"/>
      <c r="C2708"/>
      <c r="D2708"/>
      <c r="E2708"/>
      <c r="F2708"/>
      <c r="G2708"/>
    </row>
    <row r="2709" spans="1:7" x14ac:dyDescent="0.35">
      <c r="A2709"/>
      <c r="B2709"/>
      <c r="C2709"/>
      <c r="D2709"/>
      <c r="E2709"/>
      <c r="F2709"/>
      <c r="G2709"/>
    </row>
    <row r="2710" spans="1:7" x14ac:dyDescent="0.35">
      <c r="A2710"/>
      <c r="B2710"/>
      <c r="C2710"/>
      <c r="D2710"/>
      <c r="E2710"/>
      <c r="F2710"/>
      <c r="G2710"/>
    </row>
    <row r="2711" spans="1:7" x14ac:dyDescent="0.35">
      <c r="A2711"/>
      <c r="B2711"/>
      <c r="C2711"/>
      <c r="D2711"/>
      <c r="E2711"/>
      <c r="F2711"/>
      <c r="G2711"/>
    </row>
    <row r="2712" spans="1:7" x14ac:dyDescent="0.35">
      <c r="A2712"/>
      <c r="B2712"/>
      <c r="C2712"/>
      <c r="D2712"/>
      <c r="E2712"/>
      <c r="F2712"/>
      <c r="G2712"/>
    </row>
    <row r="2713" spans="1:7" x14ac:dyDescent="0.35">
      <c r="A2713"/>
      <c r="B2713"/>
      <c r="C2713"/>
      <c r="D2713"/>
      <c r="E2713"/>
      <c r="F2713"/>
      <c r="G2713"/>
    </row>
    <row r="2714" spans="1:7" x14ac:dyDescent="0.35">
      <c r="A2714"/>
      <c r="B2714"/>
      <c r="C2714"/>
      <c r="D2714"/>
      <c r="E2714"/>
      <c r="F2714"/>
      <c r="G2714"/>
    </row>
    <row r="2715" spans="1:7" x14ac:dyDescent="0.35">
      <c r="A2715"/>
      <c r="B2715"/>
      <c r="C2715"/>
      <c r="D2715"/>
      <c r="E2715"/>
      <c r="F2715"/>
      <c r="G2715"/>
    </row>
    <row r="2716" spans="1:7" x14ac:dyDescent="0.35">
      <c r="A2716"/>
      <c r="B2716"/>
      <c r="C2716"/>
      <c r="D2716"/>
      <c r="E2716"/>
      <c r="F2716"/>
      <c r="G2716"/>
    </row>
    <row r="2717" spans="1:7" x14ac:dyDescent="0.35">
      <c r="A2717"/>
      <c r="B2717"/>
      <c r="C2717"/>
      <c r="D2717"/>
      <c r="E2717"/>
      <c r="F2717"/>
      <c r="G2717"/>
    </row>
    <row r="2718" spans="1:7" x14ac:dyDescent="0.35">
      <c r="A2718"/>
      <c r="B2718"/>
      <c r="C2718"/>
      <c r="D2718"/>
      <c r="E2718"/>
      <c r="F2718"/>
      <c r="G2718"/>
    </row>
    <row r="2719" spans="1:7" x14ac:dyDescent="0.35">
      <c r="A2719"/>
      <c r="B2719"/>
      <c r="C2719"/>
      <c r="D2719"/>
      <c r="E2719"/>
      <c r="F2719"/>
      <c r="G2719"/>
    </row>
    <row r="2720" spans="1:7" x14ac:dyDescent="0.35">
      <c r="A2720"/>
      <c r="B2720"/>
      <c r="C2720"/>
      <c r="D2720"/>
      <c r="E2720"/>
      <c r="F2720"/>
      <c r="G2720"/>
    </row>
    <row r="2721" spans="1:7" x14ac:dyDescent="0.35">
      <c r="A2721"/>
      <c r="B2721"/>
      <c r="C2721"/>
      <c r="D2721"/>
      <c r="E2721"/>
      <c r="F2721"/>
      <c r="G2721"/>
    </row>
    <row r="2722" spans="1:7" x14ac:dyDescent="0.35">
      <c r="A2722"/>
      <c r="B2722"/>
      <c r="C2722"/>
      <c r="D2722"/>
      <c r="E2722"/>
      <c r="F2722"/>
      <c r="G2722"/>
    </row>
    <row r="2723" spans="1:7" x14ac:dyDescent="0.35">
      <c r="A2723"/>
      <c r="B2723"/>
      <c r="C2723"/>
      <c r="D2723"/>
      <c r="E2723"/>
      <c r="F2723"/>
      <c r="G2723"/>
    </row>
    <row r="2724" spans="1:7" x14ac:dyDescent="0.35">
      <c r="A2724"/>
      <c r="B2724"/>
      <c r="C2724"/>
      <c r="D2724"/>
      <c r="E2724"/>
      <c r="F2724"/>
      <c r="G2724"/>
    </row>
    <row r="2725" spans="1:7" x14ac:dyDescent="0.35">
      <c r="A2725"/>
      <c r="B2725"/>
      <c r="C2725"/>
      <c r="D2725"/>
      <c r="E2725"/>
      <c r="F2725"/>
      <c r="G2725"/>
    </row>
    <row r="2726" spans="1:7" x14ac:dyDescent="0.35">
      <c r="A2726"/>
      <c r="B2726"/>
      <c r="C2726"/>
      <c r="D2726"/>
      <c r="E2726"/>
      <c r="F2726"/>
      <c r="G2726"/>
    </row>
    <row r="2727" spans="1:7" x14ac:dyDescent="0.35">
      <c r="A2727"/>
      <c r="B2727"/>
      <c r="C2727"/>
      <c r="D2727"/>
      <c r="E2727"/>
      <c r="F2727"/>
      <c r="G2727"/>
    </row>
    <row r="2728" spans="1:7" x14ac:dyDescent="0.35">
      <c r="A2728"/>
      <c r="B2728"/>
      <c r="C2728"/>
      <c r="D2728"/>
      <c r="E2728"/>
      <c r="F2728"/>
      <c r="G2728"/>
    </row>
    <row r="2729" spans="1:7" x14ac:dyDescent="0.35">
      <c r="A2729"/>
      <c r="B2729"/>
      <c r="C2729"/>
      <c r="D2729"/>
      <c r="E2729"/>
      <c r="F2729"/>
      <c r="G2729"/>
    </row>
    <row r="2730" spans="1:7" x14ac:dyDescent="0.35">
      <c r="A2730"/>
      <c r="B2730"/>
      <c r="C2730"/>
      <c r="D2730"/>
      <c r="E2730"/>
      <c r="F2730"/>
      <c r="G2730"/>
    </row>
    <row r="2731" spans="1:7" x14ac:dyDescent="0.35">
      <c r="A2731"/>
      <c r="B2731"/>
      <c r="C2731"/>
      <c r="D2731"/>
      <c r="E2731"/>
      <c r="F2731"/>
      <c r="G2731"/>
    </row>
    <row r="2732" spans="1:7" x14ac:dyDescent="0.35">
      <c r="A2732"/>
      <c r="B2732"/>
      <c r="C2732"/>
      <c r="D2732"/>
      <c r="E2732"/>
      <c r="F2732"/>
      <c r="G2732"/>
    </row>
    <row r="2733" spans="1:7" x14ac:dyDescent="0.35">
      <c r="A2733"/>
      <c r="B2733"/>
      <c r="C2733"/>
      <c r="D2733"/>
      <c r="E2733"/>
      <c r="F2733"/>
      <c r="G2733"/>
    </row>
    <row r="2734" spans="1:7" x14ac:dyDescent="0.35">
      <c r="A2734"/>
      <c r="B2734"/>
      <c r="C2734"/>
      <c r="D2734"/>
      <c r="E2734"/>
      <c r="F2734"/>
      <c r="G2734"/>
    </row>
    <row r="2735" spans="1:7" x14ac:dyDescent="0.35">
      <c r="A2735"/>
      <c r="B2735"/>
      <c r="C2735"/>
      <c r="D2735"/>
      <c r="E2735"/>
      <c r="F2735"/>
      <c r="G2735"/>
    </row>
    <row r="2736" spans="1:7" x14ac:dyDescent="0.35">
      <c r="A2736"/>
      <c r="B2736"/>
      <c r="C2736"/>
      <c r="D2736"/>
      <c r="E2736"/>
      <c r="F2736"/>
      <c r="G2736"/>
    </row>
    <row r="2737" spans="1:7" x14ac:dyDescent="0.35">
      <c r="A2737"/>
      <c r="B2737"/>
      <c r="C2737"/>
      <c r="D2737"/>
      <c r="E2737"/>
      <c r="F2737"/>
      <c r="G2737"/>
    </row>
    <row r="2738" spans="1:7" x14ac:dyDescent="0.35">
      <c r="A2738"/>
      <c r="B2738"/>
      <c r="C2738"/>
      <c r="D2738"/>
      <c r="E2738"/>
      <c r="F2738"/>
      <c r="G2738"/>
    </row>
    <row r="2739" spans="1:7" x14ac:dyDescent="0.35">
      <c r="A2739"/>
      <c r="B2739"/>
      <c r="C2739"/>
      <c r="D2739"/>
      <c r="E2739"/>
      <c r="F2739"/>
      <c r="G2739"/>
    </row>
    <row r="2740" spans="1:7" x14ac:dyDescent="0.35">
      <c r="A2740"/>
      <c r="B2740"/>
      <c r="C2740"/>
      <c r="D2740"/>
      <c r="E2740"/>
      <c r="F2740"/>
      <c r="G2740"/>
    </row>
    <row r="2741" spans="1:7" x14ac:dyDescent="0.35">
      <c r="A2741"/>
      <c r="B2741"/>
      <c r="C2741"/>
      <c r="D2741"/>
      <c r="E2741"/>
      <c r="F2741"/>
      <c r="G2741"/>
    </row>
    <row r="2742" spans="1:7" x14ac:dyDescent="0.35">
      <c r="A2742"/>
      <c r="B2742"/>
      <c r="C2742"/>
      <c r="D2742"/>
      <c r="E2742"/>
      <c r="F2742"/>
      <c r="G2742"/>
    </row>
    <row r="2743" spans="1:7" x14ac:dyDescent="0.35">
      <c r="A2743"/>
      <c r="B2743"/>
      <c r="C2743"/>
      <c r="D2743"/>
      <c r="E2743"/>
      <c r="F2743"/>
      <c r="G2743"/>
    </row>
    <row r="2744" spans="1:7" x14ac:dyDescent="0.35">
      <c r="A2744"/>
      <c r="B2744"/>
      <c r="C2744"/>
      <c r="D2744"/>
      <c r="E2744"/>
      <c r="F2744"/>
      <c r="G2744"/>
    </row>
    <row r="2745" spans="1:7" x14ac:dyDescent="0.35">
      <c r="A2745"/>
      <c r="B2745"/>
      <c r="C2745"/>
      <c r="D2745"/>
      <c r="E2745"/>
      <c r="F2745"/>
      <c r="G2745"/>
    </row>
    <row r="2746" spans="1:7" x14ac:dyDescent="0.35">
      <c r="A2746"/>
      <c r="B2746"/>
      <c r="C2746"/>
      <c r="D2746"/>
      <c r="E2746"/>
      <c r="F2746"/>
      <c r="G2746"/>
    </row>
    <row r="2747" spans="1:7" x14ac:dyDescent="0.35">
      <c r="A2747"/>
      <c r="B2747"/>
      <c r="C2747"/>
      <c r="D2747"/>
      <c r="E2747"/>
      <c r="F2747"/>
      <c r="G2747"/>
    </row>
    <row r="2748" spans="1:7" x14ac:dyDescent="0.35">
      <c r="A2748"/>
      <c r="B2748"/>
      <c r="C2748"/>
      <c r="D2748"/>
      <c r="E2748"/>
      <c r="F2748"/>
      <c r="G2748"/>
    </row>
    <row r="2749" spans="1:7" x14ac:dyDescent="0.35">
      <c r="A2749"/>
      <c r="B2749"/>
      <c r="C2749"/>
      <c r="D2749"/>
      <c r="E2749"/>
      <c r="F2749"/>
      <c r="G2749"/>
    </row>
    <row r="2750" spans="1:7" x14ac:dyDescent="0.35">
      <c r="A2750"/>
      <c r="B2750"/>
      <c r="C2750"/>
      <c r="D2750"/>
      <c r="E2750"/>
      <c r="F2750"/>
      <c r="G2750"/>
    </row>
    <row r="2751" spans="1:7" x14ac:dyDescent="0.35">
      <c r="A2751"/>
      <c r="B2751"/>
      <c r="C2751"/>
      <c r="D2751"/>
      <c r="E2751"/>
      <c r="F2751"/>
      <c r="G2751"/>
    </row>
    <row r="2752" spans="1:7" x14ac:dyDescent="0.35">
      <c r="A2752"/>
      <c r="B2752"/>
      <c r="C2752"/>
      <c r="D2752"/>
      <c r="E2752"/>
      <c r="F2752"/>
      <c r="G2752"/>
    </row>
    <row r="2753" spans="1:7" x14ac:dyDescent="0.35">
      <c r="A2753"/>
      <c r="B2753"/>
      <c r="C2753"/>
      <c r="D2753"/>
      <c r="E2753"/>
      <c r="F2753"/>
      <c r="G2753"/>
    </row>
    <row r="2754" spans="1:7" x14ac:dyDescent="0.35">
      <c r="A2754"/>
      <c r="B2754"/>
      <c r="C2754"/>
      <c r="D2754"/>
      <c r="E2754"/>
      <c r="F2754"/>
      <c r="G2754"/>
    </row>
    <row r="2755" spans="1:7" x14ac:dyDescent="0.35">
      <c r="A2755"/>
      <c r="B2755"/>
      <c r="C2755"/>
      <c r="D2755"/>
      <c r="E2755"/>
      <c r="F2755"/>
      <c r="G2755"/>
    </row>
    <row r="2756" spans="1:7" x14ac:dyDescent="0.35">
      <c r="A2756"/>
      <c r="B2756"/>
      <c r="C2756"/>
      <c r="D2756"/>
      <c r="E2756"/>
      <c r="F2756"/>
      <c r="G2756"/>
    </row>
    <row r="2757" spans="1:7" x14ac:dyDescent="0.35">
      <c r="A2757"/>
      <c r="B2757"/>
      <c r="C2757"/>
      <c r="D2757"/>
      <c r="E2757"/>
      <c r="F2757"/>
      <c r="G2757"/>
    </row>
    <row r="2758" spans="1:7" x14ac:dyDescent="0.35">
      <c r="A2758"/>
      <c r="B2758"/>
      <c r="C2758"/>
      <c r="D2758"/>
      <c r="E2758"/>
      <c r="F2758"/>
      <c r="G2758"/>
    </row>
    <row r="2759" spans="1:7" x14ac:dyDescent="0.35">
      <c r="A2759"/>
      <c r="B2759"/>
      <c r="C2759"/>
      <c r="D2759"/>
      <c r="E2759"/>
      <c r="F2759"/>
      <c r="G2759"/>
    </row>
    <row r="2760" spans="1:7" x14ac:dyDescent="0.35">
      <c r="A2760"/>
      <c r="B2760"/>
      <c r="C2760"/>
      <c r="D2760"/>
      <c r="E2760"/>
      <c r="F2760"/>
      <c r="G2760"/>
    </row>
    <row r="2761" spans="1:7" x14ac:dyDescent="0.35">
      <c r="A2761"/>
      <c r="B2761"/>
      <c r="C2761"/>
      <c r="D2761"/>
      <c r="E2761"/>
      <c r="F2761"/>
      <c r="G2761"/>
    </row>
    <row r="2762" spans="1:7" x14ac:dyDescent="0.35">
      <c r="A2762"/>
      <c r="B2762"/>
      <c r="C2762"/>
      <c r="D2762"/>
      <c r="E2762"/>
      <c r="F2762"/>
      <c r="G2762"/>
    </row>
    <row r="2763" spans="1:7" x14ac:dyDescent="0.35">
      <c r="A2763"/>
      <c r="B2763"/>
      <c r="C2763"/>
      <c r="D2763"/>
      <c r="E2763"/>
      <c r="F2763"/>
      <c r="G2763"/>
    </row>
    <row r="2764" spans="1:7" x14ac:dyDescent="0.35">
      <c r="A2764"/>
      <c r="B2764"/>
      <c r="C2764"/>
      <c r="D2764"/>
      <c r="E2764"/>
      <c r="F2764"/>
      <c r="G2764"/>
    </row>
    <row r="2765" spans="1:7" x14ac:dyDescent="0.35">
      <c r="A2765"/>
      <c r="B2765"/>
      <c r="C2765"/>
      <c r="D2765"/>
      <c r="E2765"/>
      <c r="F2765"/>
      <c r="G2765"/>
    </row>
    <row r="2766" spans="1:7" x14ac:dyDescent="0.35">
      <c r="A2766"/>
      <c r="B2766"/>
      <c r="C2766"/>
      <c r="D2766"/>
      <c r="E2766"/>
      <c r="F2766"/>
      <c r="G2766"/>
    </row>
    <row r="2767" spans="1:7" x14ac:dyDescent="0.35">
      <c r="A2767"/>
      <c r="B2767"/>
      <c r="C2767"/>
      <c r="D2767"/>
      <c r="E2767"/>
      <c r="F2767"/>
      <c r="G2767"/>
    </row>
    <row r="2768" spans="1:7" x14ac:dyDescent="0.35">
      <c r="A2768"/>
      <c r="B2768"/>
      <c r="C2768"/>
      <c r="D2768"/>
      <c r="E2768"/>
      <c r="F2768"/>
      <c r="G2768"/>
    </row>
    <row r="2769" spans="1:7" x14ac:dyDescent="0.35">
      <c r="A2769"/>
      <c r="B2769"/>
      <c r="C2769"/>
      <c r="D2769"/>
      <c r="E2769"/>
      <c r="F2769"/>
      <c r="G2769"/>
    </row>
    <row r="2770" spans="1:7" x14ac:dyDescent="0.35">
      <c r="A2770"/>
      <c r="B2770"/>
      <c r="C2770"/>
      <c r="D2770"/>
      <c r="E2770"/>
      <c r="F2770"/>
      <c r="G2770"/>
    </row>
    <row r="2771" spans="1:7" x14ac:dyDescent="0.35">
      <c r="A2771"/>
      <c r="B2771"/>
      <c r="C2771"/>
      <c r="D2771"/>
      <c r="E2771"/>
      <c r="F2771"/>
      <c r="G2771"/>
    </row>
    <row r="2772" spans="1:7" x14ac:dyDescent="0.35">
      <c r="A2772"/>
      <c r="B2772"/>
      <c r="C2772"/>
      <c r="D2772"/>
      <c r="E2772"/>
      <c r="F2772"/>
      <c r="G2772"/>
    </row>
    <row r="2773" spans="1:7" x14ac:dyDescent="0.35">
      <c r="A2773"/>
      <c r="B2773"/>
      <c r="C2773"/>
      <c r="D2773"/>
      <c r="E2773"/>
      <c r="F2773"/>
      <c r="G2773"/>
    </row>
    <row r="2774" spans="1:7" x14ac:dyDescent="0.35">
      <c r="A2774"/>
      <c r="B2774"/>
      <c r="C2774"/>
      <c r="D2774"/>
      <c r="E2774"/>
      <c r="F2774"/>
      <c r="G2774"/>
    </row>
    <row r="2775" spans="1:7" x14ac:dyDescent="0.35">
      <c r="A2775"/>
      <c r="B2775"/>
      <c r="C2775"/>
      <c r="D2775"/>
      <c r="E2775"/>
      <c r="F2775"/>
      <c r="G2775"/>
    </row>
    <row r="2776" spans="1:7" x14ac:dyDescent="0.35">
      <c r="A2776"/>
      <c r="B2776"/>
      <c r="C2776"/>
      <c r="D2776"/>
      <c r="E2776"/>
      <c r="F2776"/>
      <c r="G2776"/>
    </row>
    <row r="2777" spans="1:7" x14ac:dyDescent="0.35">
      <c r="A2777"/>
      <c r="B2777"/>
      <c r="C2777"/>
      <c r="D2777"/>
      <c r="E2777"/>
      <c r="F2777"/>
      <c r="G2777"/>
    </row>
    <row r="2778" spans="1:7" x14ac:dyDescent="0.35">
      <c r="A2778"/>
      <c r="B2778"/>
      <c r="C2778"/>
      <c r="D2778"/>
      <c r="E2778"/>
      <c r="F2778"/>
      <c r="G2778"/>
    </row>
    <row r="2779" spans="1:7" x14ac:dyDescent="0.35">
      <c r="A2779"/>
      <c r="B2779"/>
      <c r="C2779"/>
      <c r="D2779"/>
      <c r="E2779"/>
      <c r="F2779"/>
      <c r="G2779"/>
    </row>
    <row r="2780" spans="1:7" x14ac:dyDescent="0.35">
      <c r="A2780"/>
      <c r="B2780"/>
      <c r="C2780"/>
      <c r="D2780"/>
      <c r="E2780"/>
      <c r="F2780"/>
      <c r="G2780"/>
    </row>
    <row r="2781" spans="1:7" x14ac:dyDescent="0.35">
      <c r="A2781"/>
      <c r="B2781"/>
      <c r="C2781"/>
      <c r="D2781"/>
      <c r="E2781"/>
      <c r="F2781"/>
      <c r="G2781"/>
    </row>
    <row r="2782" spans="1:7" x14ac:dyDescent="0.35">
      <c r="A2782"/>
      <c r="B2782"/>
      <c r="C2782"/>
      <c r="D2782"/>
      <c r="E2782"/>
      <c r="F2782"/>
      <c r="G2782"/>
    </row>
    <row r="2783" spans="1:7" x14ac:dyDescent="0.35">
      <c r="A2783"/>
      <c r="B2783"/>
      <c r="C2783"/>
      <c r="D2783"/>
      <c r="E2783"/>
      <c r="F2783"/>
      <c r="G2783"/>
    </row>
    <row r="2784" spans="1:7" x14ac:dyDescent="0.35">
      <c r="A2784"/>
      <c r="B2784"/>
      <c r="C2784"/>
      <c r="D2784"/>
      <c r="E2784"/>
      <c r="F2784"/>
      <c r="G2784"/>
    </row>
    <row r="2785" spans="1:7" x14ac:dyDescent="0.35">
      <c r="A2785"/>
      <c r="B2785"/>
      <c r="C2785"/>
      <c r="D2785"/>
      <c r="E2785"/>
      <c r="F2785"/>
      <c r="G2785"/>
    </row>
    <row r="2786" spans="1:7" x14ac:dyDescent="0.35">
      <c r="A2786"/>
      <c r="B2786"/>
      <c r="C2786"/>
      <c r="D2786"/>
      <c r="E2786"/>
      <c r="F2786"/>
      <c r="G2786"/>
    </row>
    <row r="2787" spans="1:7" x14ac:dyDescent="0.35">
      <c r="A2787"/>
      <c r="B2787"/>
      <c r="C2787"/>
      <c r="D2787"/>
      <c r="E2787"/>
      <c r="F2787"/>
      <c r="G2787"/>
    </row>
    <row r="2788" spans="1:7" x14ac:dyDescent="0.35">
      <c r="A2788"/>
      <c r="B2788"/>
      <c r="C2788"/>
      <c r="D2788"/>
      <c r="E2788"/>
      <c r="F2788"/>
      <c r="G2788"/>
    </row>
    <row r="2789" spans="1:7" x14ac:dyDescent="0.35">
      <c r="A2789"/>
      <c r="B2789"/>
      <c r="C2789"/>
      <c r="D2789"/>
      <c r="E2789"/>
      <c r="F2789"/>
      <c r="G2789"/>
    </row>
    <row r="2790" spans="1:7" x14ac:dyDescent="0.35">
      <c r="A2790"/>
      <c r="B2790"/>
      <c r="C2790"/>
      <c r="D2790"/>
      <c r="E2790"/>
      <c r="F2790"/>
      <c r="G2790"/>
    </row>
    <row r="2791" spans="1:7" x14ac:dyDescent="0.35">
      <c r="A2791"/>
      <c r="B2791"/>
      <c r="C2791"/>
      <c r="D2791"/>
      <c r="E2791"/>
      <c r="F2791"/>
      <c r="G2791"/>
    </row>
    <row r="2792" spans="1:7" x14ac:dyDescent="0.35">
      <c r="A2792"/>
      <c r="B2792"/>
      <c r="C2792"/>
      <c r="D2792"/>
      <c r="E2792"/>
      <c r="F2792"/>
      <c r="G2792"/>
    </row>
    <row r="2793" spans="1:7" x14ac:dyDescent="0.35">
      <c r="A2793"/>
      <c r="B2793"/>
      <c r="C2793"/>
      <c r="D2793"/>
      <c r="E2793"/>
      <c r="F2793"/>
      <c r="G2793"/>
    </row>
    <row r="2794" spans="1:7" x14ac:dyDescent="0.35">
      <c r="A2794"/>
      <c r="B2794"/>
      <c r="C2794"/>
      <c r="D2794"/>
      <c r="E2794"/>
      <c r="F2794"/>
      <c r="G2794"/>
    </row>
    <row r="2795" spans="1:7" x14ac:dyDescent="0.35">
      <c r="A2795"/>
      <c r="B2795"/>
      <c r="C2795"/>
      <c r="D2795"/>
      <c r="E2795"/>
      <c r="F2795"/>
      <c r="G2795"/>
    </row>
    <row r="2796" spans="1:7" x14ac:dyDescent="0.35">
      <c r="A2796"/>
      <c r="B2796"/>
      <c r="C2796"/>
      <c r="D2796"/>
      <c r="E2796"/>
      <c r="F2796"/>
      <c r="G2796"/>
    </row>
    <row r="2797" spans="1:7" x14ac:dyDescent="0.35">
      <c r="A2797"/>
      <c r="B2797"/>
      <c r="C2797"/>
      <c r="D2797"/>
      <c r="E2797"/>
      <c r="F2797"/>
      <c r="G2797"/>
    </row>
    <row r="2798" spans="1:7" x14ac:dyDescent="0.35">
      <c r="A2798"/>
      <c r="B2798"/>
      <c r="C2798"/>
      <c r="D2798"/>
      <c r="E2798"/>
      <c r="F2798"/>
      <c r="G2798"/>
    </row>
    <row r="2799" spans="1:7" x14ac:dyDescent="0.35">
      <c r="A2799"/>
      <c r="B2799"/>
      <c r="C2799"/>
      <c r="D2799"/>
      <c r="E2799"/>
      <c r="F2799"/>
      <c r="G2799"/>
    </row>
    <row r="2800" spans="1:7" x14ac:dyDescent="0.35">
      <c r="A2800"/>
      <c r="B2800"/>
      <c r="C2800"/>
      <c r="D2800"/>
      <c r="E2800"/>
      <c r="F2800"/>
      <c r="G2800"/>
    </row>
    <row r="2801" spans="1:7" x14ac:dyDescent="0.35">
      <c r="A2801"/>
      <c r="B2801"/>
      <c r="C2801"/>
      <c r="D2801"/>
      <c r="E2801"/>
      <c r="F2801"/>
      <c r="G2801"/>
    </row>
    <row r="2802" spans="1:7" x14ac:dyDescent="0.35">
      <c r="A2802"/>
      <c r="B2802"/>
      <c r="C2802"/>
      <c r="D2802"/>
      <c r="E2802"/>
      <c r="F2802"/>
      <c r="G2802"/>
    </row>
    <row r="2803" spans="1:7" x14ac:dyDescent="0.35">
      <c r="A2803"/>
      <c r="B2803"/>
      <c r="C2803"/>
      <c r="D2803"/>
      <c r="E2803"/>
      <c r="F2803"/>
      <c r="G2803"/>
    </row>
    <row r="2804" spans="1:7" x14ac:dyDescent="0.35">
      <c r="A2804"/>
      <c r="B2804"/>
      <c r="C2804"/>
      <c r="D2804"/>
      <c r="E2804"/>
      <c r="F2804"/>
      <c r="G2804"/>
    </row>
    <row r="2805" spans="1:7" x14ac:dyDescent="0.35">
      <c r="A2805"/>
      <c r="B2805"/>
      <c r="C2805"/>
      <c r="D2805"/>
      <c r="E2805"/>
      <c r="F2805"/>
      <c r="G2805"/>
    </row>
    <row r="2806" spans="1:7" x14ac:dyDescent="0.35">
      <c r="A2806"/>
      <c r="B2806"/>
      <c r="C2806"/>
      <c r="D2806"/>
      <c r="E2806"/>
      <c r="F2806"/>
      <c r="G2806"/>
    </row>
    <row r="2807" spans="1:7" x14ac:dyDescent="0.35">
      <c r="A2807"/>
      <c r="B2807"/>
      <c r="C2807"/>
      <c r="D2807"/>
      <c r="E2807"/>
      <c r="F2807"/>
      <c r="G2807"/>
    </row>
    <row r="2808" spans="1:7" x14ac:dyDescent="0.35">
      <c r="A2808"/>
      <c r="B2808"/>
      <c r="C2808"/>
      <c r="D2808"/>
      <c r="E2808"/>
      <c r="F2808"/>
      <c r="G2808"/>
    </row>
    <row r="2809" spans="1:7" x14ac:dyDescent="0.35">
      <c r="A2809"/>
      <c r="B2809"/>
      <c r="C2809"/>
      <c r="D2809"/>
      <c r="E2809"/>
      <c r="F2809"/>
      <c r="G2809"/>
    </row>
    <row r="2810" spans="1:7" x14ac:dyDescent="0.35">
      <c r="A2810"/>
      <c r="B2810"/>
      <c r="C2810"/>
      <c r="D2810"/>
      <c r="E2810"/>
      <c r="F2810"/>
      <c r="G2810"/>
    </row>
    <row r="2811" spans="1:7" x14ac:dyDescent="0.35">
      <c r="A2811"/>
      <c r="B2811"/>
      <c r="C2811"/>
      <c r="D2811"/>
      <c r="E2811"/>
      <c r="F2811"/>
      <c r="G2811"/>
    </row>
    <row r="2812" spans="1:7" x14ac:dyDescent="0.35">
      <c r="A2812"/>
      <c r="B2812"/>
      <c r="C2812"/>
      <c r="D2812"/>
      <c r="E2812"/>
      <c r="F2812"/>
      <c r="G2812"/>
    </row>
    <row r="2813" spans="1:7" x14ac:dyDescent="0.35">
      <c r="A2813"/>
      <c r="B2813"/>
      <c r="C2813"/>
      <c r="D2813"/>
      <c r="E2813"/>
      <c r="F2813"/>
      <c r="G2813"/>
    </row>
    <row r="2814" spans="1:7" x14ac:dyDescent="0.35">
      <c r="A2814"/>
      <c r="B2814"/>
      <c r="C2814"/>
      <c r="D2814"/>
      <c r="E2814"/>
      <c r="F2814"/>
      <c r="G2814"/>
    </row>
    <row r="2815" spans="1:7" x14ac:dyDescent="0.35">
      <c r="A2815"/>
      <c r="B2815"/>
      <c r="C2815"/>
      <c r="D2815"/>
      <c r="E2815"/>
      <c r="F2815"/>
      <c r="G2815"/>
    </row>
    <row r="2816" spans="1:7" x14ac:dyDescent="0.35">
      <c r="A2816"/>
      <c r="B2816"/>
      <c r="C2816"/>
      <c r="D2816"/>
      <c r="E2816"/>
      <c r="F2816"/>
      <c r="G2816"/>
    </row>
    <row r="2817" spans="1:7" x14ac:dyDescent="0.35">
      <c r="A2817"/>
      <c r="B2817"/>
      <c r="C2817"/>
      <c r="D2817"/>
      <c r="E2817"/>
      <c r="F2817"/>
      <c r="G2817"/>
    </row>
    <row r="2818" spans="1:7" x14ac:dyDescent="0.35">
      <c r="A2818"/>
      <c r="B2818"/>
      <c r="C2818"/>
      <c r="D2818"/>
      <c r="E2818"/>
      <c r="F2818"/>
      <c r="G2818"/>
    </row>
    <row r="2819" spans="1:7" x14ac:dyDescent="0.35">
      <c r="A2819"/>
      <c r="B2819"/>
      <c r="C2819"/>
      <c r="D2819"/>
      <c r="E2819"/>
      <c r="F2819"/>
      <c r="G2819"/>
    </row>
    <row r="2820" spans="1:7" x14ac:dyDescent="0.35">
      <c r="A2820"/>
      <c r="B2820"/>
      <c r="C2820"/>
      <c r="D2820"/>
      <c r="E2820"/>
      <c r="F2820"/>
      <c r="G2820"/>
    </row>
    <row r="2821" spans="1:7" x14ac:dyDescent="0.35">
      <c r="A2821"/>
      <c r="B2821"/>
      <c r="C2821"/>
      <c r="D2821"/>
      <c r="E2821"/>
      <c r="F2821"/>
      <c r="G2821"/>
    </row>
    <row r="2822" spans="1:7" x14ac:dyDescent="0.35">
      <c r="A2822"/>
      <c r="B2822"/>
      <c r="C2822"/>
      <c r="D2822"/>
      <c r="E2822"/>
      <c r="F2822"/>
      <c r="G2822"/>
    </row>
    <row r="2823" spans="1:7" x14ac:dyDescent="0.35">
      <c r="A2823"/>
      <c r="B2823"/>
      <c r="C2823"/>
      <c r="D2823"/>
      <c r="E2823"/>
      <c r="F2823"/>
      <c r="G2823"/>
    </row>
    <row r="2824" spans="1:7" x14ac:dyDescent="0.35">
      <c r="A2824"/>
      <c r="B2824"/>
      <c r="C2824"/>
      <c r="D2824"/>
      <c r="E2824"/>
      <c r="F2824"/>
      <c r="G2824"/>
    </row>
    <row r="2825" spans="1:7" x14ac:dyDescent="0.35">
      <c r="A2825"/>
      <c r="B2825"/>
      <c r="C2825"/>
      <c r="D2825"/>
      <c r="E2825"/>
      <c r="F2825"/>
      <c r="G2825"/>
    </row>
    <row r="2826" spans="1:7" x14ac:dyDescent="0.35">
      <c r="A2826"/>
      <c r="B2826"/>
      <c r="C2826"/>
      <c r="D2826"/>
      <c r="E2826"/>
      <c r="F2826"/>
      <c r="G2826"/>
    </row>
    <row r="2827" spans="1:7" x14ac:dyDescent="0.35">
      <c r="A2827"/>
      <c r="B2827"/>
      <c r="C2827"/>
      <c r="D2827"/>
      <c r="E2827"/>
      <c r="F2827"/>
      <c r="G2827"/>
    </row>
    <row r="2828" spans="1:7" x14ac:dyDescent="0.35">
      <c r="A2828"/>
      <c r="B2828"/>
      <c r="C2828"/>
      <c r="D2828"/>
      <c r="E2828"/>
      <c r="F2828"/>
      <c r="G2828"/>
    </row>
    <row r="2829" spans="1:7" x14ac:dyDescent="0.35">
      <c r="A2829"/>
      <c r="B2829"/>
      <c r="C2829"/>
      <c r="D2829"/>
      <c r="E2829"/>
      <c r="F2829"/>
      <c r="G2829"/>
    </row>
    <row r="2830" spans="1:7" x14ac:dyDescent="0.35">
      <c r="A2830"/>
      <c r="B2830"/>
      <c r="C2830"/>
      <c r="D2830"/>
      <c r="E2830"/>
      <c r="F2830"/>
      <c r="G2830"/>
    </row>
    <row r="2831" spans="1:7" x14ac:dyDescent="0.35">
      <c r="A2831"/>
      <c r="B2831"/>
      <c r="C2831"/>
      <c r="D2831"/>
      <c r="E2831"/>
      <c r="F2831"/>
      <c r="G2831"/>
    </row>
    <row r="2832" spans="1:7" x14ac:dyDescent="0.35">
      <c r="A2832"/>
      <c r="B2832"/>
      <c r="C2832"/>
      <c r="D2832"/>
      <c r="E2832"/>
      <c r="F2832"/>
      <c r="G2832"/>
    </row>
    <row r="2833" spans="1:7" x14ac:dyDescent="0.35">
      <c r="A2833"/>
      <c r="B2833"/>
      <c r="C2833"/>
      <c r="D2833"/>
      <c r="E2833"/>
      <c r="F2833"/>
      <c r="G2833"/>
    </row>
    <row r="2834" spans="1:7" x14ac:dyDescent="0.35">
      <c r="A2834"/>
      <c r="B2834"/>
      <c r="C2834"/>
      <c r="D2834"/>
      <c r="E2834"/>
      <c r="F2834"/>
      <c r="G2834"/>
    </row>
    <row r="2835" spans="1:7" x14ac:dyDescent="0.35">
      <c r="A2835"/>
      <c r="B2835"/>
      <c r="C2835"/>
      <c r="D2835"/>
      <c r="E2835"/>
      <c r="F2835"/>
      <c r="G2835"/>
    </row>
    <row r="2836" spans="1:7" x14ac:dyDescent="0.35">
      <c r="A2836"/>
      <c r="B2836"/>
      <c r="C2836"/>
      <c r="D2836"/>
      <c r="E2836"/>
      <c r="F2836"/>
      <c r="G2836"/>
    </row>
    <row r="2837" spans="1:7" x14ac:dyDescent="0.35">
      <c r="A2837"/>
      <c r="B2837"/>
      <c r="C2837"/>
      <c r="D2837"/>
      <c r="E2837"/>
      <c r="F2837"/>
      <c r="G2837"/>
    </row>
    <row r="2838" spans="1:7" x14ac:dyDescent="0.35">
      <c r="A2838"/>
      <c r="B2838"/>
      <c r="C2838"/>
      <c r="D2838"/>
      <c r="E2838"/>
      <c r="F2838"/>
      <c r="G2838"/>
    </row>
    <row r="2839" spans="1:7" x14ac:dyDescent="0.35">
      <c r="A2839"/>
      <c r="B2839"/>
      <c r="C2839"/>
      <c r="D2839"/>
      <c r="E2839"/>
      <c r="F2839"/>
      <c r="G2839"/>
    </row>
    <row r="2840" spans="1:7" x14ac:dyDescent="0.35">
      <c r="A2840"/>
      <c r="B2840"/>
      <c r="C2840"/>
      <c r="D2840"/>
      <c r="E2840"/>
      <c r="F2840"/>
      <c r="G2840"/>
    </row>
    <row r="2841" spans="1:7" x14ac:dyDescent="0.35">
      <c r="A2841"/>
      <c r="B2841"/>
      <c r="C2841"/>
      <c r="D2841"/>
      <c r="E2841"/>
      <c r="F2841"/>
      <c r="G2841"/>
    </row>
    <row r="2842" spans="1:7" x14ac:dyDescent="0.35">
      <c r="A2842"/>
      <c r="B2842"/>
      <c r="C2842"/>
      <c r="D2842"/>
      <c r="E2842"/>
      <c r="F2842"/>
      <c r="G2842"/>
    </row>
    <row r="2843" spans="1:7" x14ac:dyDescent="0.35">
      <c r="A2843"/>
      <c r="B2843"/>
      <c r="C2843"/>
      <c r="D2843"/>
      <c r="E2843"/>
      <c r="F2843"/>
      <c r="G2843"/>
    </row>
    <row r="2844" spans="1:7" x14ac:dyDescent="0.35">
      <c r="A2844"/>
      <c r="B2844"/>
      <c r="C2844"/>
      <c r="D2844"/>
      <c r="E2844"/>
      <c r="F2844"/>
      <c r="G2844"/>
    </row>
    <row r="2845" spans="1:7" x14ac:dyDescent="0.35">
      <c r="A2845"/>
      <c r="B2845"/>
      <c r="C2845"/>
      <c r="D2845"/>
      <c r="E2845"/>
      <c r="F2845"/>
      <c r="G2845"/>
    </row>
    <row r="2846" spans="1:7" x14ac:dyDescent="0.35">
      <c r="A2846"/>
      <c r="B2846"/>
      <c r="C2846"/>
      <c r="D2846"/>
      <c r="E2846"/>
      <c r="F2846"/>
      <c r="G2846"/>
    </row>
    <row r="2847" spans="1:7" x14ac:dyDescent="0.35">
      <c r="A2847"/>
      <c r="B2847"/>
      <c r="C2847"/>
      <c r="D2847"/>
      <c r="E2847"/>
      <c r="F2847"/>
      <c r="G2847"/>
    </row>
    <row r="2848" spans="1:7" x14ac:dyDescent="0.35">
      <c r="A2848"/>
      <c r="B2848"/>
      <c r="C2848"/>
      <c r="D2848"/>
      <c r="E2848"/>
      <c r="F2848"/>
      <c r="G2848"/>
    </row>
    <row r="2849" spans="1:7" x14ac:dyDescent="0.35">
      <c r="A2849"/>
      <c r="B2849"/>
      <c r="C2849"/>
      <c r="D2849"/>
      <c r="E2849"/>
      <c r="F2849"/>
      <c r="G2849"/>
    </row>
    <row r="2850" spans="1:7" x14ac:dyDescent="0.35">
      <c r="A2850"/>
      <c r="B2850"/>
      <c r="C2850"/>
      <c r="D2850"/>
      <c r="E2850"/>
      <c r="F2850"/>
      <c r="G2850"/>
    </row>
    <row r="2851" spans="1:7" x14ac:dyDescent="0.35">
      <c r="A2851"/>
      <c r="B2851"/>
      <c r="C2851"/>
      <c r="D2851"/>
      <c r="E2851"/>
      <c r="F2851"/>
      <c r="G2851"/>
    </row>
    <row r="2852" spans="1:7" x14ac:dyDescent="0.35">
      <c r="A2852"/>
      <c r="B2852"/>
      <c r="C2852"/>
      <c r="D2852"/>
      <c r="E2852"/>
      <c r="F2852"/>
      <c r="G2852"/>
    </row>
    <row r="2853" spans="1:7" x14ac:dyDescent="0.35">
      <c r="A2853"/>
      <c r="B2853"/>
      <c r="C2853"/>
      <c r="D2853"/>
      <c r="E2853"/>
      <c r="F2853"/>
      <c r="G2853"/>
    </row>
    <row r="2854" spans="1:7" x14ac:dyDescent="0.35">
      <c r="A2854"/>
      <c r="B2854"/>
      <c r="C2854"/>
      <c r="D2854"/>
      <c r="E2854"/>
      <c r="F2854"/>
      <c r="G2854"/>
    </row>
    <row r="2855" spans="1:7" x14ac:dyDescent="0.35">
      <c r="A2855"/>
      <c r="B2855"/>
      <c r="C2855"/>
      <c r="D2855"/>
      <c r="E2855"/>
      <c r="F2855"/>
      <c r="G2855"/>
    </row>
    <row r="2856" spans="1:7" x14ac:dyDescent="0.35">
      <c r="A2856"/>
      <c r="B2856"/>
      <c r="C2856"/>
      <c r="D2856"/>
      <c r="E2856"/>
      <c r="F2856"/>
      <c r="G2856"/>
    </row>
    <row r="2857" spans="1:7" x14ac:dyDescent="0.35">
      <c r="A2857"/>
      <c r="B2857"/>
      <c r="C2857"/>
      <c r="D2857"/>
      <c r="E2857"/>
      <c r="F2857"/>
      <c r="G2857"/>
    </row>
    <row r="2858" spans="1:7" x14ac:dyDescent="0.35">
      <c r="A2858"/>
      <c r="B2858"/>
      <c r="C2858"/>
      <c r="D2858"/>
      <c r="E2858"/>
      <c r="F2858"/>
      <c r="G2858"/>
    </row>
    <row r="2859" spans="1:7" x14ac:dyDescent="0.35">
      <c r="A2859"/>
      <c r="B2859"/>
      <c r="C2859"/>
      <c r="D2859"/>
      <c r="E2859"/>
      <c r="F2859"/>
      <c r="G2859"/>
    </row>
    <row r="2860" spans="1:7" x14ac:dyDescent="0.35">
      <c r="A2860"/>
      <c r="B2860"/>
      <c r="C2860"/>
      <c r="D2860"/>
      <c r="E2860"/>
      <c r="F2860"/>
      <c r="G2860"/>
    </row>
    <row r="2861" spans="1:7" x14ac:dyDescent="0.35">
      <c r="A2861"/>
      <c r="B2861"/>
      <c r="C2861"/>
      <c r="D2861"/>
      <c r="E2861"/>
      <c r="F2861"/>
      <c r="G2861"/>
    </row>
    <row r="2862" spans="1:7" x14ac:dyDescent="0.35">
      <c r="A2862"/>
      <c r="B2862"/>
      <c r="C2862"/>
      <c r="D2862"/>
      <c r="E2862"/>
      <c r="F2862"/>
      <c r="G2862"/>
    </row>
    <row r="2863" spans="1:7" x14ac:dyDescent="0.35">
      <c r="A2863"/>
      <c r="B2863"/>
      <c r="C2863"/>
      <c r="D2863"/>
      <c r="E2863"/>
      <c r="F2863"/>
      <c r="G2863"/>
    </row>
    <row r="2864" spans="1:7" x14ac:dyDescent="0.35">
      <c r="A2864"/>
      <c r="B2864"/>
      <c r="C2864"/>
      <c r="D2864"/>
      <c r="E2864"/>
      <c r="F2864"/>
      <c r="G2864"/>
    </row>
    <row r="2865" spans="1:7" x14ac:dyDescent="0.35">
      <c r="A2865"/>
      <c r="B2865"/>
      <c r="C2865"/>
      <c r="D2865"/>
      <c r="E2865"/>
      <c r="F2865"/>
      <c r="G2865"/>
    </row>
    <row r="2866" spans="1:7" x14ac:dyDescent="0.35">
      <c r="A2866"/>
      <c r="B2866"/>
      <c r="C2866"/>
      <c r="D2866"/>
      <c r="E2866"/>
      <c r="F2866"/>
      <c r="G2866"/>
    </row>
    <row r="2867" spans="1:7" x14ac:dyDescent="0.35">
      <c r="A2867"/>
      <c r="B2867"/>
      <c r="C2867"/>
      <c r="D2867"/>
      <c r="E2867"/>
      <c r="F2867"/>
      <c r="G2867"/>
    </row>
    <row r="2868" spans="1:7" x14ac:dyDescent="0.35">
      <c r="A2868"/>
      <c r="B2868"/>
      <c r="C2868"/>
      <c r="D2868"/>
      <c r="E2868"/>
      <c r="F2868"/>
      <c r="G2868"/>
    </row>
    <row r="2869" spans="1:7" x14ac:dyDescent="0.35">
      <c r="A2869"/>
      <c r="B2869"/>
      <c r="C2869"/>
      <c r="D2869"/>
      <c r="E2869"/>
      <c r="F2869"/>
      <c r="G2869"/>
    </row>
    <row r="2870" spans="1:7" x14ac:dyDescent="0.35">
      <c r="A2870"/>
      <c r="B2870"/>
      <c r="C2870"/>
      <c r="D2870"/>
      <c r="E2870"/>
      <c r="F2870"/>
      <c r="G2870"/>
    </row>
    <row r="2871" spans="1:7" x14ac:dyDescent="0.35">
      <c r="A2871"/>
      <c r="B2871"/>
      <c r="C2871"/>
      <c r="D2871"/>
      <c r="E2871"/>
      <c r="F2871"/>
      <c r="G2871"/>
    </row>
    <row r="2872" spans="1:7" x14ac:dyDescent="0.35">
      <c r="A2872"/>
      <c r="B2872"/>
      <c r="C2872"/>
      <c r="D2872"/>
      <c r="E2872"/>
      <c r="F2872"/>
      <c r="G2872"/>
    </row>
    <row r="2873" spans="1:7" x14ac:dyDescent="0.35">
      <c r="A2873"/>
      <c r="B2873"/>
      <c r="C2873"/>
      <c r="D2873"/>
      <c r="E2873"/>
      <c r="F2873"/>
      <c r="G2873"/>
    </row>
    <row r="2874" spans="1:7" x14ac:dyDescent="0.35">
      <c r="A2874"/>
      <c r="B2874"/>
      <c r="C2874"/>
      <c r="D2874"/>
      <c r="E2874"/>
      <c r="F2874"/>
      <c r="G2874"/>
    </row>
    <row r="2875" spans="1:7" x14ac:dyDescent="0.35">
      <c r="A2875"/>
      <c r="B2875"/>
      <c r="C2875"/>
      <c r="D2875"/>
      <c r="E2875"/>
      <c r="F2875"/>
      <c r="G2875"/>
    </row>
    <row r="2876" spans="1:7" x14ac:dyDescent="0.35">
      <c r="A2876"/>
      <c r="B2876"/>
      <c r="C2876"/>
      <c r="D2876"/>
      <c r="E2876"/>
      <c r="F2876"/>
      <c r="G2876"/>
    </row>
    <row r="2877" spans="1:7" x14ac:dyDescent="0.35">
      <c r="A2877"/>
      <c r="B2877"/>
      <c r="C2877"/>
      <c r="D2877"/>
      <c r="E2877"/>
      <c r="F2877"/>
      <c r="G2877"/>
    </row>
    <row r="2878" spans="1:7" x14ac:dyDescent="0.35">
      <c r="A2878"/>
      <c r="B2878"/>
      <c r="C2878"/>
      <c r="D2878"/>
      <c r="E2878"/>
      <c r="F2878"/>
      <c r="G2878"/>
    </row>
    <row r="2879" spans="1:7" x14ac:dyDescent="0.35">
      <c r="A2879"/>
      <c r="B2879"/>
      <c r="C2879"/>
      <c r="D2879"/>
      <c r="E2879"/>
      <c r="F2879"/>
      <c r="G2879"/>
    </row>
    <row r="2880" spans="1:7" x14ac:dyDescent="0.35">
      <c r="A2880"/>
      <c r="B2880"/>
      <c r="C2880"/>
      <c r="D2880"/>
      <c r="E2880"/>
      <c r="F2880"/>
      <c r="G2880"/>
    </row>
    <row r="2881" spans="1:7" x14ac:dyDescent="0.35">
      <c r="A2881"/>
      <c r="B2881"/>
      <c r="C2881"/>
      <c r="D2881"/>
      <c r="E2881"/>
      <c r="F2881"/>
      <c r="G2881"/>
    </row>
    <row r="2882" spans="1:7" x14ac:dyDescent="0.35">
      <c r="A2882"/>
      <c r="B2882"/>
      <c r="C2882"/>
      <c r="D2882"/>
      <c r="E2882"/>
      <c r="F2882"/>
      <c r="G2882"/>
    </row>
    <row r="2883" spans="1:7" x14ac:dyDescent="0.35">
      <c r="A2883"/>
      <c r="B2883"/>
      <c r="C2883"/>
      <c r="D2883"/>
      <c r="E2883"/>
      <c r="F2883"/>
      <c r="G2883"/>
    </row>
    <row r="2884" spans="1:7" x14ac:dyDescent="0.35">
      <c r="A2884"/>
      <c r="B2884"/>
      <c r="C2884"/>
      <c r="D2884"/>
      <c r="E2884"/>
      <c r="F2884"/>
      <c r="G2884"/>
    </row>
    <row r="2885" spans="1:7" x14ac:dyDescent="0.35">
      <c r="A2885"/>
      <c r="B2885"/>
      <c r="C2885"/>
      <c r="D2885"/>
      <c r="E2885"/>
      <c r="F2885"/>
      <c r="G2885"/>
    </row>
    <row r="2886" spans="1:7" x14ac:dyDescent="0.35">
      <c r="A2886"/>
      <c r="B2886"/>
      <c r="C2886"/>
      <c r="D2886"/>
      <c r="E2886"/>
      <c r="F2886"/>
      <c r="G2886"/>
    </row>
    <row r="2887" spans="1:7" x14ac:dyDescent="0.35">
      <c r="A2887"/>
      <c r="B2887"/>
      <c r="C2887"/>
      <c r="D2887"/>
      <c r="E2887"/>
      <c r="F2887"/>
      <c r="G2887"/>
    </row>
    <row r="2888" spans="1:7" x14ac:dyDescent="0.35">
      <c r="A2888"/>
      <c r="B2888"/>
      <c r="C2888"/>
      <c r="D2888"/>
      <c r="E2888"/>
      <c r="F2888"/>
      <c r="G2888"/>
    </row>
    <row r="2889" spans="1:7" x14ac:dyDescent="0.35">
      <c r="A2889"/>
      <c r="B2889"/>
      <c r="C2889"/>
      <c r="D2889"/>
      <c r="E2889"/>
      <c r="F2889"/>
      <c r="G2889"/>
    </row>
    <row r="2890" spans="1:7" x14ac:dyDescent="0.35">
      <c r="A2890"/>
      <c r="B2890"/>
      <c r="C2890"/>
      <c r="D2890"/>
      <c r="E2890"/>
      <c r="F2890"/>
      <c r="G2890"/>
    </row>
    <row r="2891" spans="1:7" x14ac:dyDescent="0.35">
      <c r="A2891"/>
      <c r="B2891"/>
      <c r="C2891"/>
      <c r="D2891"/>
      <c r="E2891"/>
      <c r="F2891"/>
      <c r="G2891"/>
    </row>
    <row r="2892" spans="1:7" x14ac:dyDescent="0.35">
      <c r="A2892"/>
      <c r="B2892"/>
      <c r="C2892"/>
      <c r="D2892"/>
      <c r="E2892"/>
      <c r="F2892"/>
      <c r="G2892"/>
    </row>
    <row r="2893" spans="1:7" x14ac:dyDescent="0.35">
      <c r="A2893"/>
      <c r="B2893"/>
      <c r="C2893"/>
      <c r="D2893"/>
      <c r="E2893"/>
      <c r="F2893"/>
      <c r="G2893"/>
    </row>
    <row r="2894" spans="1:7" x14ac:dyDescent="0.35">
      <c r="A2894"/>
      <c r="B2894"/>
      <c r="C2894"/>
      <c r="D2894"/>
      <c r="E2894"/>
      <c r="F2894"/>
      <c r="G2894"/>
    </row>
    <row r="2895" spans="1:7" x14ac:dyDescent="0.35">
      <c r="A2895"/>
      <c r="B2895"/>
      <c r="C2895"/>
      <c r="D2895"/>
      <c r="E2895"/>
      <c r="F2895"/>
      <c r="G2895"/>
    </row>
    <row r="2896" spans="1:7" x14ac:dyDescent="0.35">
      <c r="A2896"/>
      <c r="B2896"/>
      <c r="C2896"/>
      <c r="D2896"/>
      <c r="E2896"/>
      <c r="F2896"/>
      <c r="G2896"/>
    </row>
    <row r="2897" spans="1:7" x14ac:dyDescent="0.35">
      <c r="A2897"/>
      <c r="B2897"/>
      <c r="C2897"/>
      <c r="D2897"/>
      <c r="E2897"/>
      <c r="F2897"/>
      <c r="G2897"/>
    </row>
    <row r="2898" spans="1:7" x14ac:dyDescent="0.35">
      <c r="A2898"/>
      <c r="B2898"/>
      <c r="C2898"/>
      <c r="D2898"/>
      <c r="E2898"/>
      <c r="F2898"/>
      <c r="G2898"/>
    </row>
    <row r="2899" spans="1:7" x14ac:dyDescent="0.35">
      <c r="A2899"/>
      <c r="B2899"/>
      <c r="C2899"/>
      <c r="D2899"/>
      <c r="E2899"/>
      <c r="F2899"/>
      <c r="G2899"/>
    </row>
    <row r="2900" spans="1:7" x14ac:dyDescent="0.35">
      <c r="A2900"/>
      <c r="B2900"/>
      <c r="C2900"/>
      <c r="D2900"/>
      <c r="E2900"/>
      <c r="F2900"/>
      <c r="G2900"/>
    </row>
    <row r="2901" spans="1:7" x14ac:dyDescent="0.35">
      <c r="A2901"/>
      <c r="B2901"/>
      <c r="C2901"/>
      <c r="D2901"/>
      <c r="E2901"/>
      <c r="F2901"/>
      <c r="G2901"/>
    </row>
    <row r="2902" spans="1:7" x14ac:dyDescent="0.35">
      <c r="A2902"/>
      <c r="B2902"/>
      <c r="C2902"/>
      <c r="D2902"/>
      <c r="E2902"/>
      <c r="F2902"/>
      <c r="G2902"/>
    </row>
    <row r="2903" spans="1:7" x14ac:dyDescent="0.35">
      <c r="A2903"/>
      <c r="B2903"/>
      <c r="C2903"/>
      <c r="D2903"/>
      <c r="E2903"/>
      <c r="F2903"/>
      <c r="G2903"/>
    </row>
    <row r="2904" spans="1:7" x14ac:dyDescent="0.35">
      <c r="A2904"/>
      <c r="B2904"/>
      <c r="C2904"/>
      <c r="D2904"/>
      <c r="E2904"/>
      <c r="F2904"/>
      <c r="G2904"/>
    </row>
    <row r="2905" spans="1:7" x14ac:dyDescent="0.35">
      <c r="A2905"/>
      <c r="B2905"/>
      <c r="C2905"/>
      <c r="D2905"/>
      <c r="E2905"/>
      <c r="F2905"/>
      <c r="G2905"/>
    </row>
    <row r="2906" spans="1:7" x14ac:dyDescent="0.35">
      <c r="A2906"/>
      <c r="B2906"/>
      <c r="C2906"/>
      <c r="D2906"/>
      <c r="E2906"/>
      <c r="F2906"/>
      <c r="G2906"/>
    </row>
    <row r="2907" spans="1:7" x14ac:dyDescent="0.35">
      <c r="A2907"/>
      <c r="B2907"/>
      <c r="C2907"/>
      <c r="D2907"/>
      <c r="E2907"/>
      <c r="F2907"/>
      <c r="G2907"/>
    </row>
    <row r="2908" spans="1:7" x14ac:dyDescent="0.35">
      <c r="A2908"/>
      <c r="B2908"/>
      <c r="C2908"/>
      <c r="D2908"/>
      <c r="E2908"/>
      <c r="F2908"/>
      <c r="G2908"/>
    </row>
    <row r="2909" spans="1:7" x14ac:dyDescent="0.35">
      <c r="A2909"/>
      <c r="B2909"/>
      <c r="C2909"/>
      <c r="D2909"/>
      <c r="E2909"/>
      <c r="F2909"/>
      <c r="G2909"/>
    </row>
    <row r="2910" spans="1:7" x14ac:dyDescent="0.35">
      <c r="A2910"/>
      <c r="B2910"/>
      <c r="C2910"/>
      <c r="D2910"/>
      <c r="E2910"/>
      <c r="F2910"/>
      <c r="G2910"/>
    </row>
    <row r="2911" spans="1:7" x14ac:dyDescent="0.35">
      <c r="A2911"/>
      <c r="B2911"/>
      <c r="C2911"/>
      <c r="D2911"/>
      <c r="E2911"/>
      <c r="F2911"/>
      <c r="G2911"/>
    </row>
    <row r="2912" spans="1:7" x14ac:dyDescent="0.35">
      <c r="A2912"/>
      <c r="B2912"/>
      <c r="C2912"/>
      <c r="D2912"/>
      <c r="E2912"/>
      <c r="F2912"/>
      <c r="G2912"/>
    </row>
    <row r="2913" spans="1:7" x14ac:dyDescent="0.35">
      <c r="A2913"/>
      <c r="B2913"/>
      <c r="C2913"/>
      <c r="D2913"/>
      <c r="E2913"/>
      <c r="F2913"/>
      <c r="G2913"/>
    </row>
    <row r="2914" spans="1:7" x14ac:dyDescent="0.35">
      <c r="A2914"/>
      <c r="B2914"/>
      <c r="C2914"/>
      <c r="D2914"/>
      <c r="E2914"/>
      <c r="F2914"/>
      <c r="G2914"/>
    </row>
    <row r="2915" spans="1:7" x14ac:dyDescent="0.35">
      <c r="A2915"/>
      <c r="B2915"/>
      <c r="C2915"/>
      <c r="D2915"/>
      <c r="E2915"/>
      <c r="F2915"/>
      <c r="G2915"/>
    </row>
    <row r="2916" spans="1:7" x14ac:dyDescent="0.35">
      <c r="A2916"/>
      <c r="B2916"/>
      <c r="C2916"/>
      <c r="D2916"/>
      <c r="E2916"/>
      <c r="F2916"/>
      <c r="G2916"/>
    </row>
    <row r="2917" spans="1:7" x14ac:dyDescent="0.35">
      <c r="A2917"/>
      <c r="B2917"/>
      <c r="C2917"/>
      <c r="D2917"/>
      <c r="E2917"/>
      <c r="F2917"/>
      <c r="G2917"/>
    </row>
    <row r="2918" spans="1:7" x14ac:dyDescent="0.35">
      <c r="A2918"/>
      <c r="B2918"/>
      <c r="C2918"/>
      <c r="D2918"/>
      <c r="E2918"/>
      <c r="F2918"/>
      <c r="G2918"/>
    </row>
    <row r="2919" spans="1:7" x14ac:dyDescent="0.35">
      <c r="A2919"/>
      <c r="B2919"/>
      <c r="C2919"/>
      <c r="D2919"/>
      <c r="E2919"/>
      <c r="F2919"/>
      <c r="G2919"/>
    </row>
    <row r="2920" spans="1:7" x14ac:dyDescent="0.35">
      <c r="A2920"/>
      <c r="B2920"/>
      <c r="C2920"/>
      <c r="D2920"/>
      <c r="E2920"/>
      <c r="F2920"/>
      <c r="G2920"/>
    </row>
    <row r="2921" spans="1:7" x14ac:dyDescent="0.35">
      <c r="A2921"/>
      <c r="B2921"/>
      <c r="C2921"/>
      <c r="D2921"/>
      <c r="E2921"/>
      <c r="F2921"/>
      <c r="G2921"/>
    </row>
    <row r="2922" spans="1:7" x14ac:dyDescent="0.35">
      <c r="A2922"/>
      <c r="B2922"/>
      <c r="C2922"/>
      <c r="D2922"/>
      <c r="E2922"/>
      <c r="F2922"/>
      <c r="G2922"/>
    </row>
    <row r="2923" spans="1:7" x14ac:dyDescent="0.35">
      <c r="A2923"/>
      <c r="B2923"/>
      <c r="C2923"/>
      <c r="D2923"/>
      <c r="E2923"/>
      <c r="F2923"/>
      <c r="G2923"/>
    </row>
    <row r="2924" spans="1:7" x14ac:dyDescent="0.35">
      <c r="A2924"/>
      <c r="B2924"/>
      <c r="C2924"/>
      <c r="D2924"/>
      <c r="E2924"/>
      <c r="F2924"/>
      <c r="G2924"/>
    </row>
    <row r="2925" spans="1:7" x14ac:dyDescent="0.35">
      <c r="A2925"/>
      <c r="B2925"/>
      <c r="C2925"/>
      <c r="D2925"/>
      <c r="E2925"/>
      <c r="F2925"/>
      <c r="G2925"/>
    </row>
    <row r="2926" spans="1:7" x14ac:dyDescent="0.35">
      <c r="A2926"/>
      <c r="B2926"/>
      <c r="C2926"/>
      <c r="D2926"/>
      <c r="E2926"/>
      <c r="F2926"/>
      <c r="G2926"/>
    </row>
    <row r="2927" spans="1:7" x14ac:dyDescent="0.35">
      <c r="A2927"/>
      <c r="B2927"/>
      <c r="C2927"/>
      <c r="D2927"/>
      <c r="E2927"/>
      <c r="F2927"/>
      <c r="G2927"/>
    </row>
    <row r="2928" spans="1:7" x14ac:dyDescent="0.35">
      <c r="A2928"/>
      <c r="B2928"/>
      <c r="C2928"/>
      <c r="D2928"/>
      <c r="E2928"/>
      <c r="F2928"/>
      <c r="G2928"/>
    </row>
    <row r="2929" spans="1:7" x14ac:dyDescent="0.35">
      <c r="A2929"/>
      <c r="B2929"/>
      <c r="C2929"/>
      <c r="D2929"/>
      <c r="E2929"/>
      <c r="F2929"/>
      <c r="G2929"/>
    </row>
    <row r="2930" spans="1:7" x14ac:dyDescent="0.35">
      <c r="A2930"/>
      <c r="B2930"/>
      <c r="C2930"/>
      <c r="D2930"/>
      <c r="E2930"/>
      <c r="F2930"/>
      <c r="G2930"/>
    </row>
    <row r="2931" spans="1:7" x14ac:dyDescent="0.35">
      <c r="A2931"/>
      <c r="B2931"/>
      <c r="C2931"/>
      <c r="D2931"/>
      <c r="E2931"/>
      <c r="F2931"/>
      <c r="G2931"/>
    </row>
    <row r="2932" spans="1:7" x14ac:dyDescent="0.35">
      <c r="A2932"/>
      <c r="B2932"/>
      <c r="C2932"/>
      <c r="D2932"/>
      <c r="E2932"/>
      <c r="F2932"/>
      <c r="G2932"/>
    </row>
    <row r="2933" spans="1:7" x14ac:dyDescent="0.35">
      <c r="A2933"/>
      <c r="B2933"/>
      <c r="C2933"/>
      <c r="D2933"/>
      <c r="E2933"/>
      <c r="F2933"/>
      <c r="G2933"/>
    </row>
    <row r="2934" spans="1:7" x14ac:dyDescent="0.35">
      <c r="A2934"/>
      <c r="B2934"/>
      <c r="C2934"/>
      <c r="D2934"/>
      <c r="E2934"/>
      <c r="F2934"/>
      <c r="G2934"/>
    </row>
    <row r="2935" spans="1:7" x14ac:dyDescent="0.35">
      <c r="A2935"/>
      <c r="B2935"/>
      <c r="C2935"/>
      <c r="D2935"/>
      <c r="E2935"/>
      <c r="F2935"/>
      <c r="G2935"/>
    </row>
    <row r="2936" spans="1:7" x14ac:dyDescent="0.35">
      <c r="A2936"/>
      <c r="B2936"/>
      <c r="C2936"/>
      <c r="D2936"/>
      <c r="E2936"/>
      <c r="F2936"/>
      <c r="G2936"/>
    </row>
    <row r="2937" spans="1:7" x14ac:dyDescent="0.35">
      <c r="A2937"/>
      <c r="B2937"/>
      <c r="C2937"/>
      <c r="D2937"/>
      <c r="E2937"/>
      <c r="F2937"/>
      <c r="G2937"/>
    </row>
    <row r="2938" spans="1:7" x14ac:dyDescent="0.35">
      <c r="A2938"/>
      <c r="B2938"/>
      <c r="C2938"/>
      <c r="D2938"/>
      <c r="E2938"/>
      <c r="F2938"/>
      <c r="G2938"/>
    </row>
    <row r="2939" spans="1:7" x14ac:dyDescent="0.35">
      <c r="A2939"/>
      <c r="B2939"/>
      <c r="C2939"/>
      <c r="D2939"/>
      <c r="E2939"/>
      <c r="F2939"/>
      <c r="G2939"/>
    </row>
    <row r="2940" spans="1:7" x14ac:dyDescent="0.35">
      <c r="A2940"/>
      <c r="B2940"/>
      <c r="C2940"/>
      <c r="D2940"/>
      <c r="E2940"/>
      <c r="F2940"/>
      <c r="G2940"/>
    </row>
    <row r="2941" spans="1:7" x14ac:dyDescent="0.35">
      <c r="A2941"/>
      <c r="B2941"/>
      <c r="C2941"/>
      <c r="D2941"/>
      <c r="E2941"/>
      <c r="F2941"/>
      <c r="G2941"/>
    </row>
    <row r="2942" spans="1:7" x14ac:dyDescent="0.35">
      <c r="A2942"/>
      <c r="B2942"/>
      <c r="C2942"/>
      <c r="D2942"/>
      <c r="E2942"/>
      <c r="F2942"/>
      <c r="G2942"/>
    </row>
    <row r="2943" spans="1:7" x14ac:dyDescent="0.35">
      <c r="A2943"/>
      <c r="B2943"/>
      <c r="C2943"/>
      <c r="D2943"/>
      <c r="E2943"/>
      <c r="F2943"/>
      <c r="G2943"/>
    </row>
    <row r="2944" spans="1:7" x14ac:dyDescent="0.35">
      <c r="A2944"/>
      <c r="B2944"/>
      <c r="C2944"/>
      <c r="D2944"/>
      <c r="E2944"/>
      <c r="F2944"/>
      <c r="G2944"/>
    </row>
    <row r="2945" spans="1:7" x14ac:dyDescent="0.35">
      <c r="A2945"/>
      <c r="B2945"/>
      <c r="C2945"/>
      <c r="D2945"/>
      <c r="E2945"/>
      <c r="F2945"/>
      <c r="G2945"/>
    </row>
    <row r="2946" spans="1:7" x14ac:dyDescent="0.35">
      <c r="A2946"/>
      <c r="B2946"/>
      <c r="C2946"/>
      <c r="D2946"/>
      <c r="E2946"/>
      <c r="F2946"/>
      <c r="G2946"/>
    </row>
    <row r="2947" spans="1:7" x14ac:dyDescent="0.35">
      <c r="A2947"/>
      <c r="B2947"/>
      <c r="C2947"/>
      <c r="D2947"/>
      <c r="E2947"/>
      <c r="F2947"/>
      <c r="G2947"/>
    </row>
    <row r="2948" spans="1:7" x14ac:dyDescent="0.35">
      <c r="A2948"/>
      <c r="B2948"/>
      <c r="C2948"/>
      <c r="D2948"/>
      <c r="E2948"/>
      <c r="F2948"/>
      <c r="G2948"/>
    </row>
    <row r="2949" spans="1:7" x14ac:dyDescent="0.35">
      <c r="A2949"/>
      <c r="B2949"/>
      <c r="C2949"/>
      <c r="D2949"/>
      <c r="E2949"/>
      <c r="F2949"/>
      <c r="G2949"/>
    </row>
    <row r="2950" spans="1:7" x14ac:dyDescent="0.35">
      <c r="A2950"/>
      <c r="B2950"/>
      <c r="C2950"/>
      <c r="D2950"/>
      <c r="E2950"/>
      <c r="F2950"/>
      <c r="G2950"/>
    </row>
    <row r="2951" spans="1:7" x14ac:dyDescent="0.35">
      <c r="A2951"/>
      <c r="B2951"/>
      <c r="C2951"/>
      <c r="D2951"/>
      <c r="E2951"/>
      <c r="F2951"/>
      <c r="G2951"/>
    </row>
    <row r="2952" spans="1:7" x14ac:dyDescent="0.35">
      <c r="A2952"/>
      <c r="B2952"/>
      <c r="C2952"/>
      <c r="D2952"/>
      <c r="E2952"/>
      <c r="F2952"/>
      <c r="G2952"/>
    </row>
    <row r="2953" spans="1:7" x14ac:dyDescent="0.35">
      <c r="A2953"/>
      <c r="B2953"/>
      <c r="C2953"/>
      <c r="D2953"/>
      <c r="E2953"/>
      <c r="F2953"/>
      <c r="G2953"/>
    </row>
    <row r="2954" spans="1:7" x14ac:dyDescent="0.35">
      <c r="A2954"/>
      <c r="B2954"/>
      <c r="C2954"/>
      <c r="D2954"/>
      <c r="E2954"/>
      <c r="F2954"/>
      <c r="G2954"/>
    </row>
    <row r="2955" spans="1:7" x14ac:dyDescent="0.35">
      <c r="A2955"/>
      <c r="B2955"/>
      <c r="C2955"/>
      <c r="D2955"/>
      <c r="E2955"/>
      <c r="F2955"/>
      <c r="G2955"/>
    </row>
    <row r="2956" spans="1:7" x14ac:dyDescent="0.35">
      <c r="A2956"/>
      <c r="B2956"/>
      <c r="C2956"/>
      <c r="D2956"/>
      <c r="E2956"/>
      <c r="F2956"/>
      <c r="G2956"/>
    </row>
    <row r="2957" spans="1:7" x14ac:dyDescent="0.35">
      <c r="A2957"/>
      <c r="B2957"/>
      <c r="C2957"/>
      <c r="D2957"/>
      <c r="E2957"/>
      <c r="F2957"/>
      <c r="G2957"/>
    </row>
    <row r="2958" spans="1:7" x14ac:dyDescent="0.35">
      <c r="A2958"/>
      <c r="B2958"/>
      <c r="C2958"/>
      <c r="D2958"/>
      <c r="E2958"/>
      <c r="F2958"/>
      <c r="G2958"/>
    </row>
    <row r="2959" spans="1:7" x14ac:dyDescent="0.35">
      <c r="A2959"/>
      <c r="B2959"/>
      <c r="C2959"/>
      <c r="D2959"/>
      <c r="E2959"/>
      <c r="F2959"/>
      <c r="G2959"/>
    </row>
    <row r="2960" spans="1:7" x14ac:dyDescent="0.35">
      <c r="A2960"/>
      <c r="B2960"/>
      <c r="C2960"/>
      <c r="D2960"/>
      <c r="E2960"/>
      <c r="F2960"/>
      <c r="G2960"/>
    </row>
    <row r="2961" spans="1:7" x14ac:dyDescent="0.35">
      <c r="A2961"/>
      <c r="B2961"/>
      <c r="C2961"/>
      <c r="D2961"/>
      <c r="E2961"/>
      <c r="F2961"/>
      <c r="G2961"/>
    </row>
    <row r="2962" spans="1:7" x14ac:dyDescent="0.35">
      <c r="A2962"/>
      <c r="B2962"/>
      <c r="C2962"/>
      <c r="D2962"/>
      <c r="E2962"/>
      <c r="F2962"/>
      <c r="G2962"/>
    </row>
    <row r="2963" spans="1:7" x14ac:dyDescent="0.35">
      <c r="A2963"/>
      <c r="B2963"/>
      <c r="C2963"/>
      <c r="D2963"/>
      <c r="E2963"/>
      <c r="F2963"/>
      <c r="G2963"/>
    </row>
    <row r="2964" spans="1:7" x14ac:dyDescent="0.35">
      <c r="A2964"/>
      <c r="B2964"/>
      <c r="C2964"/>
      <c r="D2964"/>
      <c r="E2964"/>
      <c r="F2964"/>
      <c r="G2964"/>
    </row>
    <row r="2965" spans="1:7" x14ac:dyDescent="0.35">
      <c r="A2965"/>
      <c r="B2965"/>
      <c r="C2965"/>
      <c r="D2965"/>
      <c r="E2965"/>
      <c r="F2965"/>
      <c r="G2965"/>
    </row>
    <row r="2966" spans="1:7" x14ac:dyDescent="0.35">
      <c r="A2966"/>
      <c r="B2966"/>
      <c r="C2966"/>
      <c r="D2966"/>
      <c r="E2966"/>
      <c r="F2966"/>
      <c r="G2966"/>
    </row>
    <row r="2967" spans="1:7" x14ac:dyDescent="0.35">
      <c r="A2967"/>
      <c r="B2967"/>
      <c r="C2967"/>
      <c r="D2967"/>
      <c r="E2967"/>
      <c r="F2967"/>
      <c r="G2967"/>
    </row>
    <row r="2968" spans="1:7" x14ac:dyDescent="0.35">
      <c r="A2968"/>
      <c r="B2968"/>
      <c r="C2968"/>
      <c r="D2968"/>
      <c r="E2968"/>
      <c r="F2968"/>
      <c r="G2968"/>
    </row>
    <row r="2969" spans="1:7" x14ac:dyDescent="0.35">
      <c r="A2969"/>
      <c r="B2969"/>
      <c r="C2969"/>
      <c r="D2969"/>
      <c r="E2969"/>
      <c r="F2969"/>
      <c r="G2969"/>
    </row>
    <row r="2970" spans="1:7" x14ac:dyDescent="0.35">
      <c r="A2970"/>
      <c r="B2970"/>
      <c r="C2970"/>
      <c r="D2970"/>
      <c r="E2970"/>
      <c r="F2970"/>
      <c r="G2970"/>
    </row>
    <row r="2971" spans="1:7" x14ac:dyDescent="0.35">
      <c r="A2971"/>
      <c r="B2971"/>
      <c r="C2971"/>
      <c r="D2971"/>
      <c r="E2971"/>
      <c r="F2971"/>
      <c r="G2971"/>
    </row>
    <row r="2972" spans="1:7" x14ac:dyDescent="0.35">
      <c r="A2972"/>
      <c r="B2972"/>
      <c r="C2972"/>
      <c r="D2972"/>
      <c r="E2972"/>
      <c r="F2972"/>
      <c r="G2972"/>
    </row>
    <row r="2973" spans="1:7" x14ac:dyDescent="0.35">
      <c r="A2973"/>
      <c r="B2973"/>
      <c r="C2973"/>
      <c r="D2973"/>
      <c r="E2973"/>
      <c r="F2973"/>
      <c r="G2973"/>
    </row>
    <row r="2974" spans="1:7" x14ac:dyDescent="0.35">
      <c r="A2974"/>
      <c r="B2974"/>
      <c r="C2974"/>
      <c r="D2974"/>
      <c r="E2974"/>
      <c r="F2974"/>
      <c r="G2974"/>
    </row>
    <row r="2975" spans="1:7" x14ac:dyDescent="0.35">
      <c r="A2975"/>
      <c r="B2975"/>
      <c r="C2975"/>
      <c r="D2975"/>
      <c r="E2975"/>
      <c r="F2975"/>
      <c r="G2975"/>
    </row>
    <row r="2976" spans="1:7" x14ac:dyDescent="0.35">
      <c r="A2976"/>
      <c r="B2976"/>
      <c r="C2976"/>
      <c r="D2976"/>
      <c r="E2976"/>
      <c r="F2976"/>
      <c r="G2976"/>
    </row>
    <row r="2977" spans="1:7" x14ac:dyDescent="0.35">
      <c r="A2977"/>
      <c r="B2977"/>
      <c r="C2977"/>
      <c r="D2977"/>
      <c r="E2977"/>
      <c r="F2977"/>
      <c r="G2977"/>
    </row>
    <row r="2978" spans="1:7" x14ac:dyDescent="0.35">
      <c r="A2978"/>
      <c r="B2978"/>
      <c r="C2978"/>
      <c r="D2978"/>
      <c r="E2978"/>
      <c r="F2978"/>
      <c r="G2978"/>
    </row>
    <row r="2979" spans="1:7" x14ac:dyDescent="0.35">
      <c r="A2979"/>
      <c r="B2979"/>
      <c r="C2979"/>
      <c r="D2979"/>
      <c r="E2979"/>
      <c r="F2979"/>
      <c r="G2979"/>
    </row>
    <row r="2980" spans="1:7" x14ac:dyDescent="0.35">
      <c r="A2980"/>
      <c r="B2980"/>
      <c r="C2980"/>
      <c r="D2980"/>
      <c r="E2980"/>
      <c r="F2980"/>
      <c r="G2980"/>
    </row>
    <row r="2981" spans="1:7" x14ac:dyDescent="0.35">
      <c r="A2981"/>
      <c r="B2981"/>
      <c r="C2981"/>
      <c r="D2981"/>
      <c r="E2981"/>
      <c r="F2981"/>
      <c r="G2981"/>
    </row>
    <row r="2982" spans="1:7" x14ac:dyDescent="0.35">
      <c r="A2982"/>
      <c r="B2982"/>
      <c r="C2982"/>
      <c r="D2982"/>
      <c r="E2982"/>
      <c r="F2982"/>
      <c r="G2982"/>
    </row>
    <row r="2983" spans="1:7" x14ac:dyDescent="0.35">
      <c r="A2983"/>
      <c r="B2983"/>
      <c r="C2983"/>
      <c r="D2983"/>
      <c r="E2983"/>
      <c r="F2983"/>
      <c r="G2983"/>
    </row>
    <row r="2984" spans="1:7" x14ac:dyDescent="0.35">
      <c r="A2984"/>
      <c r="B2984"/>
      <c r="C2984"/>
      <c r="D2984"/>
      <c r="E2984"/>
      <c r="F2984"/>
      <c r="G2984"/>
    </row>
    <row r="2985" spans="1:7" x14ac:dyDescent="0.35">
      <c r="A2985"/>
      <c r="B2985"/>
      <c r="C2985"/>
      <c r="D2985"/>
      <c r="E2985"/>
      <c r="F2985"/>
      <c r="G2985"/>
    </row>
    <row r="2986" spans="1:7" x14ac:dyDescent="0.35">
      <c r="A2986"/>
      <c r="B2986"/>
      <c r="C2986"/>
      <c r="D2986"/>
      <c r="E2986"/>
      <c r="F2986"/>
      <c r="G2986"/>
    </row>
    <row r="2987" spans="1:7" x14ac:dyDescent="0.35">
      <c r="A2987"/>
      <c r="B2987"/>
      <c r="C2987"/>
      <c r="D2987"/>
      <c r="E2987"/>
      <c r="F2987"/>
      <c r="G2987"/>
    </row>
    <row r="2988" spans="1:7" x14ac:dyDescent="0.35">
      <c r="A2988"/>
      <c r="B2988"/>
      <c r="C2988"/>
      <c r="D2988"/>
      <c r="E2988"/>
      <c r="F2988"/>
      <c r="G2988"/>
    </row>
    <row r="2989" spans="1:7" x14ac:dyDescent="0.35">
      <c r="A2989"/>
      <c r="B2989"/>
      <c r="C2989"/>
      <c r="D2989"/>
      <c r="E2989"/>
      <c r="F2989"/>
      <c r="G2989"/>
    </row>
    <row r="2990" spans="1:7" x14ac:dyDescent="0.35">
      <c r="A2990"/>
      <c r="B2990"/>
      <c r="C2990"/>
      <c r="D2990"/>
      <c r="E2990"/>
      <c r="F2990"/>
      <c r="G2990"/>
    </row>
    <row r="2991" spans="1:7" x14ac:dyDescent="0.35">
      <c r="A2991"/>
      <c r="B2991"/>
      <c r="C2991"/>
      <c r="D2991"/>
      <c r="E2991"/>
      <c r="F2991"/>
      <c r="G2991"/>
    </row>
    <row r="2992" spans="1:7" x14ac:dyDescent="0.35">
      <c r="A2992"/>
      <c r="B2992"/>
      <c r="C2992"/>
      <c r="D2992"/>
      <c r="E2992"/>
      <c r="F2992"/>
      <c r="G2992"/>
    </row>
    <row r="2993" spans="1:7" x14ac:dyDescent="0.35">
      <c r="A2993"/>
      <c r="B2993"/>
      <c r="C2993"/>
      <c r="D2993"/>
      <c r="E2993"/>
      <c r="F2993"/>
      <c r="G2993"/>
    </row>
    <row r="2994" spans="1:7" x14ac:dyDescent="0.35">
      <c r="A2994"/>
      <c r="B2994"/>
      <c r="C2994"/>
      <c r="D2994"/>
      <c r="E2994"/>
      <c r="F2994"/>
      <c r="G2994"/>
    </row>
    <row r="2995" spans="1:7" x14ac:dyDescent="0.35">
      <c r="A2995"/>
      <c r="B2995"/>
      <c r="C2995"/>
      <c r="D2995"/>
      <c r="E2995"/>
      <c r="F2995"/>
      <c r="G2995"/>
    </row>
    <row r="2996" spans="1:7" x14ac:dyDescent="0.35">
      <c r="A2996"/>
      <c r="B2996"/>
      <c r="C2996"/>
      <c r="D2996"/>
      <c r="E2996"/>
      <c r="F2996"/>
      <c r="G2996"/>
    </row>
    <row r="2997" spans="1:7" x14ac:dyDescent="0.35">
      <c r="A2997"/>
      <c r="B2997"/>
      <c r="C2997"/>
      <c r="D2997"/>
      <c r="E2997"/>
      <c r="F2997"/>
      <c r="G2997"/>
    </row>
    <row r="2998" spans="1:7" x14ac:dyDescent="0.35">
      <c r="A2998"/>
      <c r="B2998"/>
      <c r="C2998"/>
      <c r="D2998"/>
      <c r="E2998"/>
      <c r="F2998"/>
      <c r="G2998"/>
    </row>
    <row r="2999" spans="1:7" x14ac:dyDescent="0.35">
      <c r="A2999"/>
      <c r="B2999"/>
      <c r="C2999"/>
      <c r="D2999"/>
      <c r="E2999"/>
      <c r="F2999"/>
      <c r="G2999"/>
    </row>
    <row r="3000" spans="1:7" x14ac:dyDescent="0.35">
      <c r="A3000"/>
      <c r="B3000"/>
      <c r="C3000"/>
      <c r="D3000"/>
      <c r="E3000"/>
      <c r="F3000"/>
      <c r="G3000"/>
    </row>
    <row r="3001" spans="1:7" x14ac:dyDescent="0.35">
      <c r="A3001"/>
      <c r="B3001"/>
      <c r="C3001"/>
      <c r="D3001"/>
      <c r="E3001"/>
      <c r="F3001"/>
      <c r="G3001"/>
    </row>
    <row r="3002" spans="1:7" x14ac:dyDescent="0.35">
      <c r="A3002"/>
      <c r="B3002"/>
      <c r="C3002"/>
      <c r="D3002"/>
      <c r="E3002"/>
      <c r="F3002"/>
      <c r="G3002"/>
    </row>
    <row r="3003" spans="1:7" x14ac:dyDescent="0.35">
      <c r="A3003"/>
      <c r="B3003"/>
      <c r="C3003"/>
      <c r="D3003"/>
      <c r="E3003"/>
      <c r="F3003"/>
      <c r="G3003"/>
    </row>
    <row r="3004" spans="1:7" x14ac:dyDescent="0.35">
      <c r="A3004"/>
      <c r="B3004"/>
      <c r="C3004"/>
      <c r="D3004"/>
      <c r="E3004"/>
      <c r="F3004"/>
      <c r="G3004"/>
    </row>
    <row r="3005" spans="1:7" x14ac:dyDescent="0.35">
      <c r="A3005"/>
      <c r="B3005"/>
      <c r="C3005"/>
      <c r="D3005"/>
      <c r="E3005"/>
      <c r="F3005"/>
      <c r="G3005"/>
    </row>
    <row r="3006" spans="1:7" x14ac:dyDescent="0.35">
      <c r="A3006"/>
      <c r="B3006"/>
      <c r="C3006"/>
      <c r="D3006"/>
      <c r="E3006"/>
      <c r="F3006"/>
      <c r="G3006"/>
    </row>
    <row r="3007" spans="1:7" x14ac:dyDescent="0.35">
      <c r="A3007"/>
      <c r="B3007"/>
      <c r="C3007"/>
      <c r="D3007"/>
      <c r="E3007"/>
      <c r="F3007"/>
      <c r="G3007"/>
    </row>
    <row r="3008" spans="1:7" x14ac:dyDescent="0.35">
      <c r="A3008"/>
      <c r="B3008"/>
      <c r="C3008"/>
      <c r="D3008"/>
      <c r="E3008"/>
      <c r="F3008"/>
      <c r="G3008"/>
    </row>
    <row r="3009" spans="1:7" x14ac:dyDescent="0.35">
      <c r="A3009"/>
      <c r="B3009"/>
      <c r="C3009"/>
      <c r="D3009"/>
      <c r="E3009"/>
      <c r="F3009"/>
      <c r="G3009"/>
    </row>
    <row r="3010" spans="1:7" x14ac:dyDescent="0.35">
      <c r="A3010"/>
      <c r="B3010"/>
      <c r="C3010"/>
      <c r="D3010"/>
      <c r="E3010"/>
      <c r="F3010"/>
      <c r="G3010"/>
    </row>
    <row r="3011" spans="1:7" x14ac:dyDescent="0.35">
      <c r="A3011"/>
      <c r="B3011"/>
      <c r="C3011"/>
      <c r="D3011"/>
      <c r="E3011"/>
      <c r="F3011"/>
      <c r="G3011"/>
    </row>
    <row r="3012" spans="1:7" x14ac:dyDescent="0.35">
      <c r="A3012"/>
      <c r="B3012"/>
      <c r="C3012"/>
      <c r="D3012"/>
      <c r="E3012"/>
      <c r="F3012"/>
      <c r="G3012"/>
    </row>
    <row r="3013" spans="1:7" x14ac:dyDescent="0.35">
      <c r="A3013"/>
      <c r="B3013"/>
      <c r="C3013"/>
      <c r="D3013"/>
      <c r="E3013"/>
      <c r="F3013"/>
      <c r="G3013"/>
    </row>
    <row r="3014" spans="1:7" x14ac:dyDescent="0.35">
      <c r="A3014"/>
      <c r="B3014"/>
      <c r="C3014"/>
      <c r="D3014"/>
      <c r="E3014"/>
      <c r="F3014"/>
      <c r="G3014"/>
    </row>
    <row r="3015" spans="1:7" x14ac:dyDescent="0.35">
      <c r="A3015"/>
      <c r="B3015"/>
      <c r="C3015"/>
      <c r="D3015"/>
      <c r="E3015"/>
      <c r="F3015"/>
      <c r="G3015"/>
    </row>
    <row r="3016" spans="1:7" x14ac:dyDescent="0.35">
      <c r="A3016"/>
      <c r="B3016"/>
      <c r="C3016"/>
      <c r="D3016"/>
      <c r="E3016"/>
      <c r="F3016"/>
      <c r="G3016"/>
    </row>
    <row r="3017" spans="1:7" x14ac:dyDescent="0.35">
      <c r="A3017"/>
      <c r="B3017"/>
      <c r="C3017"/>
      <c r="D3017"/>
      <c r="E3017"/>
      <c r="F3017"/>
      <c r="G3017"/>
    </row>
    <row r="3018" spans="1:7" x14ac:dyDescent="0.35">
      <c r="A3018"/>
      <c r="B3018"/>
      <c r="C3018"/>
      <c r="D3018"/>
      <c r="E3018"/>
      <c r="F3018"/>
      <c r="G3018"/>
    </row>
    <row r="3019" spans="1:7" x14ac:dyDescent="0.35">
      <c r="A3019"/>
      <c r="B3019"/>
      <c r="C3019"/>
      <c r="D3019"/>
      <c r="E3019"/>
      <c r="F3019"/>
      <c r="G3019"/>
    </row>
    <row r="3020" spans="1:7" x14ac:dyDescent="0.35">
      <c r="A3020"/>
      <c r="B3020"/>
      <c r="C3020"/>
      <c r="D3020"/>
      <c r="E3020"/>
      <c r="F3020"/>
      <c r="G3020"/>
    </row>
    <row r="3021" spans="1:7" x14ac:dyDescent="0.35">
      <c r="A3021"/>
      <c r="B3021"/>
      <c r="C3021"/>
      <c r="D3021"/>
      <c r="E3021"/>
      <c r="F3021"/>
      <c r="G3021"/>
    </row>
    <row r="3022" spans="1:7" x14ac:dyDescent="0.35">
      <c r="A3022"/>
      <c r="B3022"/>
      <c r="C3022"/>
      <c r="D3022"/>
      <c r="E3022"/>
      <c r="F3022"/>
      <c r="G3022"/>
    </row>
    <row r="3023" spans="1:7" x14ac:dyDescent="0.35">
      <c r="A3023"/>
      <c r="B3023"/>
      <c r="C3023"/>
      <c r="D3023"/>
      <c r="E3023"/>
      <c r="F3023"/>
      <c r="G3023"/>
    </row>
    <row r="3024" spans="1:7" x14ac:dyDescent="0.35">
      <c r="A3024"/>
      <c r="B3024"/>
      <c r="C3024"/>
      <c r="D3024"/>
      <c r="E3024"/>
      <c r="F3024"/>
      <c r="G3024"/>
    </row>
    <row r="3025" spans="1:7" x14ac:dyDescent="0.35">
      <c r="A3025"/>
      <c r="B3025"/>
      <c r="C3025"/>
      <c r="D3025"/>
      <c r="E3025"/>
      <c r="F3025"/>
      <c r="G3025"/>
    </row>
    <row r="3026" spans="1:7" x14ac:dyDescent="0.35">
      <c r="A3026"/>
      <c r="B3026"/>
      <c r="C3026"/>
      <c r="D3026"/>
      <c r="E3026"/>
      <c r="F3026"/>
      <c r="G3026"/>
    </row>
    <row r="3027" spans="1:7" x14ac:dyDescent="0.35">
      <c r="A3027"/>
      <c r="B3027"/>
      <c r="C3027"/>
      <c r="D3027"/>
      <c r="E3027"/>
      <c r="F3027"/>
      <c r="G3027"/>
    </row>
    <row r="3028" spans="1:7" x14ac:dyDescent="0.35">
      <c r="A3028"/>
      <c r="B3028"/>
      <c r="C3028"/>
      <c r="D3028"/>
      <c r="E3028"/>
      <c r="F3028"/>
      <c r="G3028"/>
    </row>
    <row r="3029" spans="1:7" x14ac:dyDescent="0.35">
      <c r="A3029"/>
      <c r="B3029"/>
      <c r="C3029"/>
      <c r="D3029"/>
      <c r="E3029"/>
      <c r="F3029"/>
      <c r="G3029"/>
    </row>
    <row r="3030" spans="1:7" x14ac:dyDescent="0.35">
      <c r="A3030"/>
      <c r="B3030"/>
      <c r="C3030"/>
      <c r="D3030"/>
      <c r="E3030"/>
      <c r="F3030"/>
      <c r="G3030"/>
    </row>
    <row r="3031" spans="1:7" x14ac:dyDescent="0.35">
      <c r="A3031"/>
      <c r="B3031"/>
      <c r="C3031"/>
      <c r="D3031"/>
      <c r="E3031"/>
      <c r="F3031"/>
      <c r="G3031"/>
    </row>
    <row r="3032" spans="1:7" x14ac:dyDescent="0.35">
      <c r="A3032"/>
      <c r="B3032"/>
      <c r="C3032"/>
      <c r="D3032"/>
      <c r="E3032"/>
      <c r="F3032"/>
      <c r="G3032"/>
    </row>
    <row r="3033" spans="1:7" x14ac:dyDescent="0.35">
      <c r="A3033"/>
      <c r="B3033"/>
      <c r="C3033"/>
      <c r="D3033"/>
      <c r="E3033"/>
      <c r="F3033"/>
      <c r="G3033"/>
    </row>
    <row r="3034" spans="1:7" x14ac:dyDescent="0.35">
      <c r="A3034"/>
      <c r="B3034"/>
      <c r="C3034"/>
      <c r="D3034"/>
      <c r="E3034"/>
      <c r="F3034"/>
      <c r="G3034"/>
    </row>
    <row r="3035" spans="1:7" x14ac:dyDescent="0.35">
      <c r="A3035"/>
      <c r="B3035"/>
      <c r="C3035"/>
      <c r="D3035"/>
      <c r="E3035"/>
      <c r="F3035"/>
      <c r="G3035"/>
    </row>
    <row r="3036" spans="1:7" x14ac:dyDescent="0.35">
      <c r="A3036"/>
      <c r="B3036"/>
      <c r="C3036"/>
      <c r="D3036"/>
      <c r="E3036"/>
      <c r="F3036"/>
      <c r="G3036"/>
    </row>
    <row r="3037" spans="1:7" x14ac:dyDescent="0.35">
      <c r="A3037"/>
      <c r="B3037"/>
      <c r="C3037"/>
      <c r="D3037"/>
      <c r="E3037"/>
      <c r="F3037"/>
      <c r="G3037"/>
    </row>
    <row r="3038" spans="1:7" x14ac:dyDescent="0.35">
      <c r="A3038"/>
      <c r="B3038"/>
      <c r="C3038"/>
      <c r="D3038"/>
      <c r="E3038"/>
      <c r="F3038"/>
      <c r="G3038"/>
    </row>
    <row r="3039" spans="1:7" x14ac:dyDescent="0.35">
      <c r="A3039"/>
      <c r="B3039"/>
      <c r="C3039"/>
      <c r="D3039"/>
      <c r="E3039"/>
      <c r="F3039"/>
      <c r="G3039"/>
    </row>
    <row r="3040" spans="1:7" x14ac:dyDescent="0.35">
      <c r="A3040"/>
      <c r="B3040"/>
      <c r="C3040"/>
      <c r="D3040"/>
      <c r="E3040"/>
      <c r="F3040"/>
      <c r="G3040"/>
    </row>
    <row r="3041" spans="1:7" x14ac:dyDescent="0.35">
      <c r="A3041"/>
      <c r="B3041"/>
      <c r="C3041"/>
      <c r="D3041"/>
      <c r="E3041"/>
      <c r="F3041"/>
      <c r="G3041"/>
    </row>
    <row r="3042" spans="1:7" x14ac:dyDescent="0.35">
      <c r="A3042"/>
      <c r="B3042"/>
      <c r="C3042"/>
      <c r="D3042"/>
      <c r="E3042"/>
      <c r="F3042"/>
      <c r="G3042"/>
    </row>
    <row r="3043" spans="1:7" x14ac:dyDescent="0.35">
      <c r="A3043"/>
      <c r="B3043"/>
      <c r="C3043"/>
      <c r="D3043"/>
      <c r="E3043"/>
      <c r="F3043"/>
      <c r="G3043"/>
    </row>
    <row r="3044" spans="1:7" x14ac:dyDescent="0.35">
      <c r="A3044"/>
      <c r="B3044"/>
      <c r="C3044"/>
      <c r="D3044"/>
      <c r="E3044"/>
      <c r="F3044"/>
      <c r="G3044"/>
    </row>
    <row r="3045" spans="1:7" x14ac:dyDescent="0.35">
      <c r="A3045"/>
      <c r="B3045"/>
      <c r="C3045"/>
      <c r="D3045"/>
      <c r="E3045"/>
      <c r="F3045"/>
      <c r="G3045"/>
    </row>
    <row r="3046" spans="1:7" x14ac:dyDescent="0.35">
      <c r="A3046"/>
      <c r="B3046"/>
      <c r="C3046"/>
      <c r="D3046"/>
      <c r="E3046"/>
      <c r="F3046"/>
      <c r="G3046"/>
    </row>
    <row r="3047" spans="1:7" x14ac:dyDescent="0.35">
      <c r="A3047"/>
      <c r="B3047"/>
      <c r="C3047"/>
      <c r="D3047"/>
      <c r="E3047"/>
      <c r="F3047"/>
      <c r="G3047"/>
    </row>
    <row r="3048" spans="1:7" x14ac:dyDescent="0.35">
      <c r="A3048"/>
      <c r="B3048"/>
      <c r="C3048"/>
      <c r="D3048"/>
      <c r="E3048"/>
      <c r="F3048"/>
      <c r="G3048"/>
    </row>
    <row r="3049" spans="1:7" x14ac:dyDescent="0.35">
      <c r="A3049"/>
      <c r="B3049"/>
      <c r="C3049"/>
      <c r="D3049"/>
      <c r="E3049"/>
      <c r="F3049"/>
      <c r="G3049"/>
    </row>
    <row r="3050" spans="1:7" x14ac:dyDescent="0.35">
      <c r="A3050"/>
      <c r="B3050"/>
      <c r="C3050"/>
      <c r="D3050"/>
      <c r="E3050"/>
      <c r="F3050"/>
      <c r="G3050"/>
    </row>
    <row r="3051" spans="1:7" x14ac:dyDescent="0.35">
      <c r="A3051"/>
      <c r="B3051"/>
      <c r="C3051"/>
      <c r="D3051"/>
      <c r="E3051"/>
      <c r="F3051"/>
      <c r="G3051"/>
    </row>
    <row r="3052" spans="1:7" x14ac:dyDescent="0.35">
      <c r="A3052"/>
      <c r="B3052"/>
      <c r="C3052"/>
      <c r="D3052"/>
      <c r="E3052"/>
      <c r="F3052"/>
      <c r="G3052"/>
    </row>
    <row r="3053" spans="1:7" x14ac:dyDescent="0.35">
      <c r="A3053"/>
      <c r="B3053"/>
      <c r="C3053"/>
      <c r="D3053"/>
      <c r="E3053"/>
      <c r="F3053"/>
      <c r="G3053"/>
    </row>
    <row r="3054" spans="1:7" x14ac:dyDescent="0.35">
      <c r="A3054"/>
      <c r="B3054"/>
      <c r="C3054"/>
      <c r="D3054"/>
      <c r="E3054"/>
      <c r="F3054"/>
      <c r="G3054"/>
    </row>
    <row r="3055" spans="1:7" x14ac:dyDescent="0.35">
      <c r="A3055"/>
      <c r="B3055"/>
      <c r="C3055"/>
      <c r="D3055"/>
      <c r="E3055"/>
      <c r="F3055"/>
      <c r="G3055"/>
    </row>
    <row r="3056" spans="1:7" x14ac:dyDescent="0.35">
      <c r="A3056"/>
      <c r="B3056"/>
      <c r="C3056"/>
      <c r="D3056"/>
      <c r="E3056"/>
      <c r="F3056"/>
      <c r="G3056"/>
    </row>
    <row r="3057" spans="1:7" x14ac:dyDescent="0.35">
      <c r="A3057"/>
      <c r="B3057"/>
      <c r="C3057"/>
      <c r="D3057"/>
      <c r="E3057"/>
      <c r="F3057"/>
      <c r="G3057"/>
    </row>
    <row r="3058" spans="1:7" x14ac:dyDescent="0.35">
      <c r="A3058"/>
      <c r="B3058"/>
      <c r="C3058"/>
      <c r="D3058"/>
      <c r="E3058"/>
      <c r="F3058"/>
      <c r="G3058"/>
    </row>
    <row r="3059" spans="1:7" x14ac:dyDescent="0.35">
      <c r="A3059"/>
      <c r="B3059"/>
      <c r="C3059"/>
      <c r="D3059"/>
      <c r="E3059"/>
      <c r="F3059"/>
      <c r="G3059"/>
    </row>
    <row r="3060" spans="1:7" x14ac:dyDescent="0.35">
      <c r="A3060"/>
      <c r="B3060"/>
      <c r="C3060"/>
      <c r="D3060"/>
      <c r="E3060"/>
      <c r="F3060"/>
      <c r="G3060"/>
    </row>
    <row r="3061" spans="1:7" x14ac:dyDescent="0.35">
      <c r="A3061"/>
      <c r="B3061"/>
      <c r="C3061"/>
      <c r="D3061"/>
      <c r="E3061"/>
      <c r="F3061"/>
      <c r="G3061"/>
    </row>
    <row r="3062" spans="1:7" x14ac:dyDescent="0.35">
      <c r="A3062"/>
      <c r="B3062"/>
      <c r="C3062"/>
      <c r="D3062"/>
      <c r="E3062"/>
      <c r="F3062"/>
      <c r="G3062"/>
    </row>
    <row r="3063" spans="1:7" x14ac:dyDescent="0.35">
      <c r="A3063"/>
      <c r="B3063"/>
      <c r="C3063"/>
      <c r="D3063"/>
      <c r="E3063"/>
      <c r="F3063"/>
      <c r="G3063"/>
    </row>
    <row r="3064" spans="1:7" x14ac:dyDescent="0.35">
      <c r="A3064"/>
      <c r="B3064"/>
      <c r="C3064"/>
      <c r="D3064"/>
      <c r="E3064"/>
      <c r="F3064"/>
      <c r="G3064"/>
    </row>
    <row r="3065" spans="1:7" x14ac:dyDescent="0.35">
      <c r="A3065"/>
      <c r="B3065"/>
      <c r="C3065"/>
      <c r="D3065"/>
      <c r="E3065"/>
      <c r="F3065"/>
      <c r="G3065"/>
    </row>
    <row r="3066" spans="1:7" x14ac:dyDescent="0.35">
      <c r="A3066"/>
      <c r="B3066"/>
      <c r="C3066"/>
      <c r="D3066"/>
      <c r="E3066"/>
      <c r="F3066"/>
      <c r="G3066"/>
    </row>
    <row r="3067" spans="1:7" x14ac:dyDescent="0.35">
      <c r="A3067"/>
      <c r="B3067"/>
      <c r="C3067"/>
      <c r="D3067"/>
      <c r="E3067"/>
      <c r="F3067"/>
      <c r="G3067"/>
    </row>
    <row r="3068" spans="1:7" x14ac:dyDescent="0.35">
      <c r="A3068"/>
      <c r="B3068"/>
      <c r="C3068"/>
      <c r="D3068"/>
      <c r="E3068"/>
      <c r="F3068"/>
      <c r="G3068"/>
    </row>
    <row r="3069" spans="1:7" x14ac:dyDescent="0.35">
      <c r="A3069"/>
      <c r="B3069"/>
      <c r="C3069"/>
      <c r="D3069"/>
      <c r="E3069"/>
      <c r="F3069"/>
      <c r="G3069"/>
    </row>
    <row r="3070" spans="1:7" x14ac:dyDescent="0.35">
      <c r="A3070"/>
      <c r="B3070"/>
      <c r="C3070"/>
      <c r="D3070"/>
      <c r="E3070"/>
      <c r="F3070"/>
      <c r="G3070"/>
    </row>
    <row r="3071" spans="1:7" x14ac:dyDescent="0.35">
      <c r="A3071"/>
      <c r="B3071"/>
      <c r="C3071"/>
      <c r="D3071"/>
      <c r="E3071"/>
      <c r="F3071"/>
      <c r="G3071"/>
    </row>
    <row r="3072" spans="1:7" x14ac:dyDescent="0.35">
      <c r="A3072"/>
      <c r="B3072"/>
      <c r="C3072"/>
      <c r="D3072"/>
      <c r="E3072"/>
      <c r="F3072"/>
      <c r="G3072"/>
    </row>
    <row r="3073" spans="1:7" x14ac:dyDescent="0.35">
      <c r="A3073"/>
      <c r="B3073"/>
      <c r="C3073"/>
      <c r="D3073"/>
      <c r="E3073"/>
      <c r="F3073"/>
      <c r="G3073"/>
    </row>
    <row r="3074" spans="1:7" x14ac:dyDescent="0.35">
      <c r="A3074"/>
      <c r="B3074"/>
      <c r="C3074"/>
      <c r="D3074"/>
      <c r="E3074"/>
      <c r="F3074"/>
      <c r="G3074"/>
    </row>
    <row r="3075" spans="1:7" x14ac:dyDescent="0.35">
      <c r="A3075"/>
      <c r="B3075"/>
      <c r="C3075"/>
      <c r="D3075"/>
      <c r="E3075"/>
      <c r="F3075"/>
      <c r="G3075"/>
    </row>
    <row r="3076" spans="1:7" x14ac:dyDescent="0.35">
      <c r="A3076"/>
      <c r="B3076"/>
      <c r="C3076"/>
      <c r="D3076"/>
      <c r="E3076"/>
      <c r="F3076"/>
      <c r="G3076"/>
    </row>
    <row r="3077" spans="1:7" x14ac:dyDescent="0.35">
      <c r="A3077"/>
      <c r="B3077"/>
      <c r="C3077"/>
      <c r="D3077"/>
      <c r="E3077"/>
      <c r="F3077"/>
      <c r="G3077"/>
    </row>
    <row r="3078" spans="1:7" x14ac:dyDescent="0.35">
      <c r="A3078"/>
      <c r="B3078"/>
      <c r="C3078"/>
      <c r="D3078"/>
      <c r="E3078"/>
      <c r="F3078"/>
      <c r="G3078"/>
    </row>
    <row r="3079" spans="1:7" x14ac:dyDescent="0.35">
      <c r="A3079"/>
      <c r="B3079"/>
      <c r="C3079"/>
      <c r="D3079"/>
      <c r="E3079"/>
      <c r="F3079"/>
      <c r="G3079"/>
    </row>
    <row r="3080" spans="1:7" x14ac:dyDescent="0.35">
      <c r="A3080"/>
      <c r="B3080"/>
      <c r="C3080"/>
      <c r="D3080"/>
      <c r="E3080"/>
      <c r="F3080"/>
      <c r="G3080"/>
    </row>
    <row r="3081" spans="1:7" x14ac:dyDescent="0.35">
      <c r="A3081"/>
      <c r="B3081"/>
      <c r="C3081"/>
      <c r="D3081"/>
      <c r="E3081"/>
      <c r="F3081"/>
      <c r="G3081"/>
    </row>
    <row r="3082" spans="1:7" x14ac:dyDescent="0.35">
      <c r="A3082"/>
      <c r="B3082"/>
      <c r="C3082"/>
      <c r="D3082"/>
      <c r="E3082"/>
      <c r="F3082"/>
      <c r="G3082"/>
    </row>
    <row r="3083" spans="1:7" x14ac:dyDescent="0.35">
      <c r="A3083"/>
      <c r="B3083"/>
      <c r="C3083"/>
      <c r="D3083"/>
      <c r="E3083"/>
      <c r="F3083"/>
      <c r="G3083"/>
    </row>
    <row r="3084" spans="1:7" x14ac:dyDescent="0.35">
      <c r="A3084"/>
      <c r="B3084"/>
      <c r="C3084"/>
      <c r="D3084"/>
      <c r="E3084"/>
      <c r="F3084"/>
      <c r="G3084"/>
    </row>
    <row r="3085" spans="1:7" x14ac:dyDescent="0.35">
      <c r="A3085"/>
      <c r="B3085"/>
      <c r="C3085"/>
      <c r="D3085"/>
      <c r="E3085"/>
      <c r="F3085"/>
      <c r="G3085"/>
    </row>
    <row r="3086" spans="1:7" x14ac:dyDescent="0.35">
      <c r="A3086"/>
      <c r="B3086"/>
      <c r="C3086"/>
      <c r="D3086"/>
      <c r="E3086"/>
      <c r="F3086"/>
      <c r="G3086"/>
    </row>
    <row r="3087" spans="1:7" x14ac:dyDescent="0.35">
      <c r="A3087"/>
      <c r="B3087"/>
      <c r="C3087"/>
      <c r="D3087"/>
      <c r="E3087"/>
      <c r="F3087"/>
      <c r="G3087"/>
    </row>
    <row r="3088" spans="1:7" x14ac:dyDescent="0.35">
      <c r="A3088"/>
      <c r="B3088"/>
      <c r="C3088"/>
      <c r="D3088"/>
      <c r="E3088"/>
      <c r="F3088"/>
      <c r="G3088"/>
    </row>
    <row r="3089" spans="1:7" x14ac:dyDescent="0.35">
      <c r="A3089"/>
      <c r="B3089"/>
      <c r="C3089"/>
      <c r="D3089"/>
      <c r="E3089"/>
      <c r="F3089"/>
      <c r="G3089"/>
    </row>
    <row r="3090" spans="1:7" x14ac:dyDescent="0.35">
      <c r="A3090"/>
      <c r="B3090"/>
      <c r="C3090"/>
      <c r="D3090"/>
      <c r="E3090"/>
      <c r="F3090"/>
      <c r="G3090"/>
    </row>
    <row r="3091" spans="1:7" x14ac:dyDescent="0.35">
      <c r="A3091"/>
      <c r="B3091"/>
      <c r="C3091"/>
      <c r="D3091"/>
      <c r="E3091"/>
      <c r="F3091"/>
      <c r="G3091"/>
    </row>
    <row r="3092" spans="1:7" x14ac:dyDescent="0.35">
      <c r="A3092"/>
      <c r="B3092"/>
      <c r="C3092"/>
      <c r="D3092"/>
      <c r="E3092"/>
      <c r="F3092"/>
      <c r="G3092"/>
    </row>
    <row r="3093" spans="1:7" x14ac:dyDescent="0.35">
      <c r="A3093"/>
      <c r="B3093"/>
      <c r="C3093"/>
      <c r="D3093"/>
      <c r="E3093"/>
      <c r="F3093"/>
      <c r="G3093"/>
    </row>
    <row r="3094" spans="1:7" x14ac:dyDescent="0.35">
      <c r="A3094"/>
      <c r="B3094"/>
      <c r="C3094"/>
      <c r="D3094"/>
      <c r="E3094"/>
      <c r="F3094"/>
      <c r="G3094"/>
    </row>
    <row r="3095" spans="1:7" x14ac:dyDescent="0.35">
      <c r="A3095"/>
      <c r="B3095"/>
      <c r="C3095"/>
      <c r="D3095"/>
      <c r="E3095"/>
      <c r="F3095"/>
      <c r="G3095"/>
    </row>
    <row r="3096" spans="1:7" x14ac:dyDescent="0.35">
      <c r="A3096"/>
      <c r="B3096"/>
      <c r="C3096"/>
      <c r="D3096"/>
      <c r="E3096"/>
      <c r="F3096"/>
      <c r="G3096"/>
    </row>
    <row r="3097" spans="1:7" x14ac:dyDescent="0.35">
      <c r="A3097"/>
      <c r="B3097"/>
      <c r="C3097"/>
      <c r="D3097"/>
      <c r="E3097"/>
      <c r="F3097"/>
      <c r="G3097"/>
    </row>
    <row r="3098" spans="1:7" x14ac:dyDescent="0.35">
      <c r="A3098"/>
      <c r="B3098"/>
      <c r="C3098"/>
      <c r="D3098"/>
      <c r="E3098"/>
      <c r="F3098"/>
      <c r="G3098"/>
    </row>
    <row r="3099" spans="1:7" x14ac:dyDescent="0.35">
      <c r="A3099"/>
      <c r="B3099"/>
      <c r="C3099"/>
      <c r="D3099"/>
      <c r="E3099"/>
      <c r="F3099"/>
      <c r="G3099"/>
    </row>
    <row r="3100" spans="1:7" x14ac:dyDescent="0.35">
      <c r="A3100"/>
      <c r="B3100"/>
      <c r="C3100"/>
      <c r="D3100"/>
      <c r="E3100"/>
      <c r="F3100"/>
      <c r="G3100"/>
    </row>
    <row r="3101" spans="1:7" x14ac:dyDescent="0.35">
      <c r="A3101"/>
      <c r="B3101"/>
      <c r="C3101"/>
      <c r="D3101"/>
      <c r="E3101"/>
      <c r="F3101"/>
      <c r="G3101"/>
    </row>
    <row r="3102" spans="1:7" x14ac:dyDescent="0.35">
      <c r="A3102"/>
      <c r="B3102"/>
      <c r="C3102"/>
      <c r="D3102"/>
      <c r="E3102"/>
      <c r="F3102"/>
      <c r="G3102"/>
    </row>
    <row r="3103" spans="1:7" x14ac:dyDescent="0.35">
      <c r="A3103"/>
      <c r="B3103"/>
      <c r="C3103"/>
      <c r="D3103"/>
      <c r="E3103"/>
      <c r="F3103"/>
      <c r="G3103"/>
    </row>
    <row r="3104" spans="1:7" x14ac:dyDescent="0.35">
      <c r="A3104"/>
      <c r="B3104"/>
      <c r="C3104"/>
      <c r="D3104"/>
      <c r="E3104"/>
      <c r="F3104"/>
      <c r="G3104"/>
    </row>
    <row r="3105" spans="1:7" x14ac:dyDescent="0.35">
      <c r="A3105"/>
      <c r="B3105"/>
      <c r="C3105"/>
      <c r="D3105"/>
      <c r="E3105"/>
      <c r="F3105"/>
      <c r="G3105"/>
    </row>
    <row r="3106" spans="1:7" x14ac:dyDescent="0.35">
      <c r="A3106"/>
      <c r="B3106"/>
      <c r="C3106"/>
      <c r="D3106"/>
      <c r="E3106"/>
      <c r="F3106"/>
      <c r="G3106"/>
    </row>
    <row r="3107" spans="1:7" x14ac:dyDescent="0.35">
      <c r="A3107"/>
      <c r="B3107"/>
      <c r="C3107"/>
      <c r="D3107"/>
      <c r="E3107"/>
      <c r="F3107"/>
      <c r="G3107"/>
    </row>
    <row r="3108" spans="1:7" x14ac:dyDescent="0.35">
      <c r="A3108"/>
      <c r="B3108"/>
      <c r="C3108"/>
      <c r="D3108"/>
      <c r="E3108"/>
      <c r="F3108"/>
      <c r="G3108"/>
    </row>
    <row r="3109" spans="1:7" x14ac:dyDescent="0.35">
      <c r="A3109"/>
      <c r="B3109"/>
      <c r="C3109"/>
      <c r="D3109"/>
      <c r="E3109"/>
      <c r="F3109"/>
      <c r="G3109"/>
    </row>
    <row r="3110" spans="1:7" x14ac:dyDescent="0.35">
      <c r="A3110"/>
      <c r="B3110"/>
      <c r="C3110"/>
      <c r="D3110"/>
      <c r="E3110"/>
      <c r="F3110"/>
      <c r="G3110"/>
    </row>
    <row r="3111" spans="1:7" x14ac:dyDescent="0.35">
      <c r="A3111"/>
      <c r="B3111"/>
      <c r="C3111"/>
      <c r="D3111"/>
      <c r="E3111"/>
      <c r="F3111"/>
      <c r="G3111"/>
    </row>
    <row r="3112" spans="1:7" x14ac:dyDescent="0.35">
      <c r="A3112"/>
      <c r="B3112"/>
      <c r="C3112"/>
      <c r="D3112"/>
      <c r="E3112"/>
      <c r="F3112"/>
      <c r="G3112"/>
    </row>
    <row r="3113" spans="1:7" x14ac:dyDescent="0.35">
      <c r="A3113"/>
      <c r="B3113"/>
      <c r="C3113"/>
      <c r="D3113"/>
      <c r="E3113"/>
      <c r="F3113"/>
      <c r="G3113"/>
    </row>
    <row r="3114" spans="1:7" x14ac:dyDescent="0.35">
      <c r="A3114"/>
      <c r="B3114"/>
      <c r="C3114"/>
      <c r="D3114"/>
      <c r="E3114"/>
      <c r="F3114"/>
      <c r="G3114"/>
    </row>
    <row r="3115" spans="1:7" x14ac:dyDescent="0.35">
      <c r="A3115"/>
      <c r="B3115"/>
      <c r="C3115"/>
      <c r="D3115"/>
      <c r="E3115"/>
      <c r="F3115"/>
      <c r="G3115"/>
    </row>
    <row r="3116" spans="1:7" x14ac:dyDescent="0.35">
      <c r="A3116"/>
      <c r="B3116"/>
      <c r="C3116"/>
      <c r="D3116"/>
      <c r="E3116"/>
      <c r="F3116"/>
      <c r="G3116"/>
    </row>
    <row r="3117" spans="1:7" x14ac:dyDescent="0.35">
      <c r="A3117"/>
      <c r="B3117"/>
      <c r="C3117"/>
      <c r="D3117"/>
      <c r="E3117"/>
      <c r="F3117"/>
      <c r="G3117"/>
    </row>
    <row r="3118" spans="1:7" x14ac:dyDescent="0.35">
      <c r="A3118"/>
      <c r="B3118"/>
      <c r="C3118"/>
      <c r="D3118"/>
      <c r="E3118"/>
      <c r="F3118"/>
      <c r="G3118"/>
    </row>
    <row r="3119" spans="1:7" x14ac:dyDescent="0.35">
      <c r="A3119"/>
      <c r="B3119"/>
      <c r="C3119"/>
      <c r="D3119"/>
      <c r="E3119"/>
      <c r="F3119"/>
      <c r="G3119"/>
    </row>
    <row r="3120" spans="1:7" x14ac:dyDescent="0.35">
      <c r="A3120"/>
      <c r="B3120"/>
      <c r="C3120"/>
      <c r="D3120"/>
      <c r="E3120"/>
      <c r="F3120"/>
      <c r="G3120"/>
    </row>
    <row r="3121" spans="1:7" x14ac:dyDescent="0.35">
      <c r="A3121"/>
      <c r="B3121"/>
      <c r="C3121"/>
      <c r="D3121"/>
      <c r="E3121"/>
      <c r="F3121"/>
      <c r="G3121"/>
    </row>
    <row r="3122" spans="1:7" x14ac:dyDescent="0.35">
      <c r="A3122"/>
      <c r="B3122"/>
      <c r="C3122"/>
      <c r="D3122"/>
      <c r="E3122"/>
      <c r="F3122"/>
      <c r="G3122"/>
    </row>
    <row r="3123" spans="1:7" x14ac:dyDescent="0.35">
      <c r="A3123"/>
      <c r="B3123"/>
      <c r="C3123"/>
      <c r="D3123"/>
      <c r="E3123"/>
      <c r="F3123"/>
      <c r="G3123"/>
    </row>
    <row r="3124" spans="1:7" x14ac:dyDescent="0.35">
      <c r="A3124"/>
      <c r="B3124"/>
      <c r="C3124"/>
      <c r="D3124"/>
      <c r="E3124"/>
      <c r="F3124"/>
      <c r="G3124"/>
    </row>
    <row r="3125" spans="1:7" x14ac:dyDescent="0.35">
      <c r="A3125"/>
      <c r="B3125"/>
      <c r="C3125"/>
      <c r="D3125"/>
      <c r="E3125"/>
      <c r="F3125"/>
      <c r="G3125"/>
    </row>
    <row r="3126" spans="1:7" x14ac:dyDescent="0.35">
      <c r="A3126"/>
      <c r="B3126"/>
      <c r="C3126"/>
      <c r="D3126"/>
      <c r="E3126"/>
      <c r="F3126"/>
      <c r="G3126"/>
    </row>
    <row r="3127" spans="1:7" x14ac:dyDescent="0.35">
      <c r="A3127"/>
      <c r="B3127"/>
      <c r="C3127"/>
      <c r="D3127"/>
      <c r="E3127"/>
      <c r="F3127"/>
      <c r="G3127"/>
    </row>
    <row r="3128" spans="1:7" x14ac:dyDescent="0.35">
      <c r="A3128"/>
      <c r="B3128"/>
      <c r="C3128"/>
      <c r="D3128"/>
      <c r="E3128"/>
      <c r="F3128"/>
      <c r="G3128"/>
    </row>
    <row r="3129" spans="1:7" x14ac:dyDescent="0.35">
      <c r="A3129"/>
      <c r="B3129"/>
      <c r="C3129"/>
      <c r="D3129"/>
      <c r="E3129"/>
      <c r="F3129"/>
      <c r="G3129"/>
    </row>
    <row r="3130" spans="1:7" x14ac:dyDescent="0.35">
      <c r="A3130"/>
      <c r="B3130"/>
      <c r="C3130"/>
      <c r="D3130"/>
      <c r="E3130"/>
      <c r="F3130"/>
      <c r="G3130"/>
    </row>
    <row r="3131" spans="1:7" x14ac:dyDescent="0.35">
      <c r="A3131"/>
      <c r="B3131"/>
      <c r="C3131"/>
      <c r="D3131"/>
      <c r="E3131"/>
      <c r="F3131"/>
      <c r="G3131"/>
    </row>
    <row r="3132" spans="1:7" x14ac:dyDescent="0.35">
      <c r="A3132"/>
      <c r="B3132"/>
      <c r="C3132"/>
      <c r="D3132"/>
      <c r="E3132"/>
      <c r="F3132"/>
      <c r="G3132"/>
    </row>
    <row r="3133" spans="1:7" x14ac:dyDescent="0.35">
      <c r="A3133"/>
      <c r="B3133"/>
      <c r="C3133"/>
      <c r="D3133"/>
      <c r="E3133"/>
      <c r="F3133"/>
      <c r="G3133"/>
    </row>
    <row r="3134" spans="1:7" x14ac:dyDescent="0.35">
      <c r="A3134"/>
      <c r="B3134"/>
      <c r="C3134"/>
      <c r="D3134"/>
      <c r="E3134"/>
      <c r="F3134"/>
      <c r="G3134"/>
    </row>
    <row r="3135" spans="1:7" x14ac:dyDescent="0.35">
      <c r="A3135"/>
      <c r="B3135"/>
      <c r="C3135"/>
      <c r="D3135"/>
      <c r="E3135"/>
      <c r="F3135"/>
      <c r="G3135"/>
    </row>
    <row r="3136" spans="1:7" x14ac:dyDescent="0.35">
      <c r="A3136"/>
      <c r="B3136"/>
      <c r="C3136"/>
      <c r="D3136"/>
      <c r="E3136"/>
      <c r="F3136"/>
      <c r="G3136"/>
    </row>
    <row r="3137" spans="1:7" x14ac:dyDescent="0.35">
      <c r="A3137"/>
      <c r="B3137"/>
      <c r="C3137"/>
      <c r="D3137"/>
      <c r="E3137"/>
      <c r="F3137"/>
      <c r="G3137"/>
    </row>
    <row r="3138" spans="1:7" x14ac:dyDescent="0.35">
      <c r="A3138"/>
      <c r="B3138"/>
      <c r="C3138"/>
      <c r="D3138"/>
      <c r="E3138"/>
      <c r="F3138"/>
      <c r="G3138"/>
    </row>
    <row r="3139" spans="1:7" x14ac:dyDescent="0.35">
      <c r="A3139"/>
      <c r="B3139"/>
      <c r="C3139"/>
      <c r="D3139"/>
      <c r="E3139"/>
      <c r="F3139"/>
      <c r="G3139"/>
    </row>
    <row r="3140" spans="1:7" x14ac:dyDescent="0.35">
      <c r="A3140"/>
      <c r="B3140"/>
      <c r="C3140"/>
      <c r="D3140"/>
      <c r="E3140"/>
      <c r="F3140"/>
      <c r="G3140"/>
    </row>
    <row r="3141" spans="1:7" x14ac:dyDescent="0.35">
      <c r="A3141"/>
      <c r="B3141"/>
      <c r="C3141"/>
      <c r="D3141"/>
      <c r="E3141"/>
      <c r="F3141"/>
      <c r="G3141"/>
    </row>
    <row r="3142" spans="1:7" x14ac:dyDescent="0.35">
      <c r="A3142"/>
      <c r="B3142"/>
      <c r="C3142"/>
      <c r="D3142"/>
      <c r="E3142"/>
      <c r="F3142"/>
      <c r="G3142"/>
    </row>
    <row r="3143" spans="1:7" x14ac:dyDescent="0.35">
      <c r="A3143"/>
      <c r="B3143"/>
      <c r="C3143"/>
      <c r="D3143"/>
      <c r="E3143"/>
      <c r="F3143"/>
      <c r="G3143"/>
    </row>
    <row r="3144" spans="1:7" x14ac:dyDescent="0.35">
      <c r="A3144"/>
      <c r="B3144"/>
      <c r="C3144"/>
      <c r="D3144"/>
      <c r="E3144"/>
      <c r="F3144"/>
      <c r="G3144"/>
    </row>
    <row r="3145" spans="1:7" x14ac:dyDescent="0.35">
      <c r="A3145"/>
      <c r="B3145"/>
      <c r="C3145"/>
      <c r="D3145"/>
      <c r="E3145"/>
      <c r="F3145"/>
      <c r="G3145"/>
    </row>
    <row r="3146" spans="1:7" x14ac:dyDescent="0.35">
      <c r="A3146"/>
      <c r="B3146"/>
      <c r="C3146"/>
      <c r="D3146"/>
      <c r="E3146"/>
      <c r="F3146"/>
      <c r="G3146"/>
    </row>
    <row r="3147" spans="1:7" x14ac:dyDescent="0.35">
      <c r="A3147"/>
      <c r="B3147"/>
      <c r="C3147"/>
      <c r="D3147"/>
      <c r="E3147"/>
      <c r="F3147"/>
      <c r="G3147"/>
    </row>
    <row r="3148" spans="1:7" x14ac:dyDescent="0.35">
      <c r="A3148"/>
      <c r="B3148"/>
      <c r="C3148"/>
      <c r="D3148"/>
      <c r="E3148"/>
      <c r="F3148"/>
      <c r="G3148"/>
    </row>
    <row r="3149" spans="1:7" x14ac:dyDescent="0.35">
      <c r="A3149"/>
      <c r="B3149"/>
      <c r="C3149"/>
      <c r="D3149"/>
      <c r="E3149"/>
      <c r="F3149"/>
      <c r="G3149"/>
    </row>
    <row r="3150" spans="1:7" x14ac:dyDescent="0.35">
      <c r="A3150"/>
      <c r="B3150"/>
      <c r="C3150"/>
      <c r="D3150"/>
      <c r="E3150"/>
      <c r="F3150"/>
      <c r="G3150"/>
    </row>
    <row r="3151" spans="1:7" x14ac:dyDescent="0.35">
      <c r="A3151"/>
      <c r="B3151"/>
      <c r="C3151"/>
      <c r="D3151"/>
      <c r="E3151"/>
      <c r="F3151"/>
      <c r="G3151"/>
    </row>
    <row r="3152" spans="1:7" x14ac:dyDescent="0.35">
      <c r="A3152"/>
      <c r="B3152"/>
      <c r="C3152"/>
      <c r="D3152"/>
      <c r="E3152"/>
      <c r="F3152"/>
      <c r="G3152"/>
    </row>
    <row r="3153" spans="1:7" x14ac:dyDescent="0.35">
      <c r="A3153"/>
      <c r="B3153"/>
      <c r="C3153"/>
      <c r="D3153"/>
      <c r="E3153"/>
      <c r="F3153"/>
      <c r="G3153"/>
    </row>
    <row r="3154" spans="1:7" x14ac:dyDescent="0.35">
      <c r="A3154"/>
      <c r="B3154"/>
      <c r="C3154"/>
      <c r="D3154"/>
      <c r="E3154"/>
      <c r="F3154"/>
      <c r="G3154"/>
    </row>
    <row r="3155" spans="1:7" x14ac:dyDescent="0.35">
      <c r="A3155"/>
      <c r="B3155"/>
      <c r="C3155"/>
      <c r="D3155"/>
      <c r="E3155"/>
      <c r="F3155"/>
      <c r="G3155"/>
    </row>
    <row r="3156" spans="1:7" x14ac:dyDescent="0.35">
      <c r="A3156"/>
      <c r="B3156"/>
      <c r="C3156"/>
      <c r="D3156"/>
      <c r="E3156"/>
      <c r="F3156"/>
      <c r="G3156"/>
    </row>
    <row r="3157" spans="1:7" x14ac:dyDescent="0.35">
      <c r="A3157"/>
      <c r="B3157"/>
      <c r="C3157"/>
      <c r="D3157"/>
      <c r="E3157"/>
      <c r="F3157"/>
      <c r="G3157"/>
    </row>
    <row r="3158" spans="1:7" x14ac:dyDescent="0.35">
      <c r="A3158"/>
      <c r="B3158"/>
      <c r="C3158"/>
      <c r="D3158"/>
      <c r="E3158"/>
      <c r="F3158"/>
      <c r="G3158"/>
    </row>
    <row r="3159" spans="1:7" x14ac:dyDescent="0.35">
      <c r="A3159"/>
      <c r="B3159"/>
      <c r="C3159"/>
      <c r="D3159"/>
      <c r="E3159"/>
      <c r="F3159"/>
      <c r="G3159"/>
    </row>
    <row r="3160" spans="1:7" x14ac:dyDescent="0.35">
      <c r="A3160"/>
      <c r="B3160"/>
      <c r="C3160"/>
      <c r="D3160"/>
      <c r="E3160"/>
      <c r="F3160"/>
      <c r="G3160"/>
    </row>
    <row r="3161" spans="1:7" x14ac:dyDescent="0.35">
      <c r="A3161"/>
      <c r="B3161"/>
      <c r="C3161"/>
      <c r="D3161"/>
      <c r="E3161"/>
      <c r="F3161"/>
      <c r="G3161"/>
    </row>
    <row r="3162" spans="1:7" x14ac:dyDescent="0.35">
      <c r="A3162"/>
      <c r="B3162"/>
      <c r="C3162"/>
      <c r="D3162"/>
      <c r="E3162"/>
      <c r="F3162"/>
      <c r="G3162"/>
    </row>
    <row r="3163" spans="1:7" x14ac:dyDescent="0.35">
      <c r="A3163"/>
      <c r="B3163"/>
      <c r="C3163"/>
      <c r="D3163"/>
      <c r="E3163"/>
      <c r="F3163"/>
      <c r="G3163"/>
    </row>
    <row r="3164" spans="1:7" x14ac:dyDescent="0.35">
      <c r="A3164"/>
      <c r="B3164"/>
      <c r="C3164"/>
      <c r="D3164"/>
      <c r="E3164"/>
      <c r="F3164"/>
      <c r="G3164"/>
    </row>
    <row r="3165" spans="1:7" x14ac:dyDescent="0.35">
      <c r="A3165"/>
      <c r="B3165"/>
      <c r="C3165"/>
      <c r="D3165"/>
      <c r="E3165"/>
      <c r="F3165"/>
      <c r="G3165"/>
    </row>
    <row r="3166" spans="1:7" x14ac:dyDescent="0.35">
      <c r="A3166"/>
      <c r="B3166"/>
      <c r="C3166"/>
      <c r="D3166"/>
      <c r="E3166"/>
      <c r="F3166"/>
      <c r="G3166"/>
    </row>
    <row r="3167" spans="1:7" x14ac:dyDescent="0.35">
      <c r="A3167"/>
      <c r="B3167"/>
      <c r="C3167"/>
      <c r="D3167"/>
      <c r="E3167"/>
      <c r="F3167"/>
      <c r="G3167"/>
    </row>
    <row r="3168" spans="1:7" x14ac:dyDescent="0.35">
      <c r="A3168"/>
      <c r="B3168"/>
      <c r="C3168"/>
      <c r="D3168"/>
      <c r="E3168"/>
      <c r="F3168"/>
      <c r="G3168"/>
    </row>
    <row r="3169" spans="1:7" x14ac:dyDescent="0.35">
      <c r="A3169"/>
      <c r="B3169"/>
      <c r="C3169"/>
      <c r="D3169"/>
      <c r="E3169"/>
      <c r="F3169"/>
      <c r="G3169"/>
    </row>
    <row r="3170" spans="1:7" x14ac:dyDescent="0.35">
      <c r="A3170"/>
      <c r="B3170"/>
      <c r="C3170"/>
      <c r="D3170"/>
      <c r="E3170"/>
      <c r="F3170"/>
      <c r="G3170"/>
    </row>
    <row r="3171" spans="1:7" x14ac:dyDescent="0.35">
      <c r="A3171"/>
      <c r="B3171"/>
      <c r="C3171"/>
      <c r="D3171"/>
      <c r="E3171"/>
      <c r="F3171"/>
      <c r="G3171"/>
    </row>
    <row r="3172" spans="1:7" x14ac:dyDescent="0.35">
      <c r="A3172"/>
      <c r="B3172"/>
      <c r="C3172"/>
      <c r="D3172"/>
      <c r="E3172"/>
      <c r="F3172"/>
      <c r="G3172"/>
    </row>
    <row r="3173" spans="1:7" x14ac:dyDescent="0.35">
      <c r="A3173"/>
      <c r="B3173"/>
      <c r="C3173"/>
      <c r="D3173"/>
      <c r="E3173"/>
      <c r="F3173"/>
      <c r="G3173"/>
    </row>
    <row r="3174" spans="1:7" x14ac:dyDescent="0.35">
      <c r="A3174"/>
      <c r="B3174"/>
      <c r="C3174"/>
      <c r="D3174"/>
      <c r="E3174"/>
      <c r="F3174"/>
      <c r="G3174"/>
    </row>
    <row r="3175" spans="1:7" x14ac:dyDescent="0.35">
      <c r="A3175"/>
      <c r="B3175"/>
      <c r="C3175"/>
      <c r="D3175"/>
      <c r="E3175"/>
      <c r="F3175"/>
      <c r="G3175"/>
    </row>
    <row r="3176" spans="1:7" x14ac:dyDescent="0.35">
      <c r="A3176"/>
      <c r="B3176"/>
      <c r="C3176"/>
      <c r="D3176"/>
      <c r="E3176"/>
      <c r="F3176"/>
      <c r="G3176"/>
    </row>
    <row r="3177" spans="1:7" x14ac:dyDescent="0.35">
      <c r="A3177"/>
      <c r="B3177"/>
      <c r="C3177"/>
      <c r="D3177"/>
      <c r="E3177"/>
      <c r="F3177"/>
      <c r="G3177"/>
    </row>
    <row r="3178" spans="1:7" x14ac:dyDescent="0.35">
      <c r="A3178"/>
      <c r="B3178"/>
      <c r="C3178"/>
      <c r="D3178"/>
      <c r="E3178"/>
      <c r="F3178"/>
      <c r="G3178"/>
    </row>
    <row r="3179" spans="1:7" x14ac:dyDescent="0.35">
      <c r="A3179"/>
      <c r="B3179"/>
      <c r="C3179"/>
      <c r="D3179"/>
      <c r="E3179"/>
      <c r="F3179"/>
      <c r="G3179"/>
    </row>
    <row r="3180" spans="1:7" x14ac:dyDescent="0.35">
      <c r="A3180"/>
      <c r="B3180"/>
      <c r="C3180"/>
      <c r="D3180"/>
      <c r="E3180"/>
      <c r="F3180"/>
      <c r="G3180"/>
    </row>
    <row r="3181" spans="1:7" x14ac:dyDescent="0.35">
      <c r="A3181"/>
      <c r="B3181"/>
      <c r="C3181"/>
      <c r="D3181"/>
      <c r="E3181"/>
      <c r="F3181"/>
      <c r="G3181"/>
    </row>
    <row r="3182" spans="1:7" x14ac:dyDescent="0.35">
      <c r="A3182"/>
      <c r="B3182"/>
      <c r="C3182"/>
      <c r="D3182"/>
      <c r="E3182"/>
      <c r="F3182"/>
      <c r="G3182"/>
    </row>
    <row r="3183" spans="1:7" x14ac:dyDescent="0.35">
      <c r="A3183"/>
      <c r="B3183"/>
      <c r="C3183"/>
      <c r="D3183"/>
      <c r="E3183"/>
      <c r="F3183"/>
      <c r="G3183"/>
    </row>
    <row r="3184" spans="1:7" x14ac:dyDescent="0.35">
      <c r="A3184"/>
      <c r="B3184"/>
      <c r="C3184"/>
      <c r="D3184"/>
      <c r="E3184"/>
      <c r="F3184"/>
      <c r="G3184"/>
    </row>
    <row r="3185" spans="1:7" x14ac:dyDescent="0.35">
      <c r="A3185"/>
      <c r="B3185"/>
      <c r="C3185"/>
      <c r="D3185"/>
      <c r="E3185"/>
      <c r="F3185"/>
      <c r="G3185"/>
    </row>
    <row r="3186" spans="1:7" x14ac:dyDescent="0.35">
      <c r="A3186"/>
      <c r="B3186"/>
      <c r="C3186"/>
      <c r="D3186"/>
      <c r="E3186"/>
      <c r="F3186"/>
      <c r="G3186"/>
    </row>
    <row r="3187" spans="1:7" x14ac:dyDescent="0.35">
      <c r="A3187"/>
      <c r="B3187"/>
      <c r="C3187"/>
      <c r="D3187"/>
      <c r="E3187"/>
      <c r="F3187"/>
      <c r="G3187"/>
    </row>
    <row r="3188" spans="1:7" x14ac:dyDescent="0.35">
      <c r="A3188"/>
      <c r="B3188"/>
      <c r="C3188"/>
      <c r="D3188"/>
      <c r="E3188"/>
      <c r="F3188"/>
      <c r="G3188"/>
    </row>
    <row r="3189" spans="1:7" x14ac:dyDescent="0.35">
      <c r="A3189"/>
      <c r="B3189"/>
      <c r="C3189"/>
      <c r="D3189"/>
      <c r="E3189"/>
      <c r="F3189"/>
      <c r="G3189"/>
    </row>
    <row r="3190" spans="1:7" x14ac:dyDescent="0.35">
      <c r="A3190"/>
      <c r="B3190"/>
      <c r="C3190"/>
      <c r="D3190"/>
      <c r="E3190"/>
      <c r="F3190"/>
      <c r="G3190"/>
    </row>
    <row r="3191" spans="1:7" x14ac:dyDescent="0.35">
      <c r="A3191"/>
      <c r="B3191"/>
      <c r="C3191"/>
      <c r="D3191"/>
      <c r="E3191"/>
      <c r="F3191"/>
      <c r="G3191"/>
    </row>
    <row r="3192" spans="1:7" x14ac:dyDescent="0.35">
      <c r="A3192"/>
      <c r="B3192"/>
      <c r="C3192"/>
      <c r="D3192"/>
      <c r="E3192"/>
      <c r="F3192"/>
      <c r="G3192"/>
    </row>
    <row r="3193" spans="1:7" x14ac:dyDescent="0.35">
      <c r="A3193"/>
      <c r="B3193"/>
      <c r="C3193"/>
      <c r="D3193"/>
      <c r="E3193"/>
      <c r="F3193"/>
      <c r="G3193"/>
    </row>
    <row r="3194" spans="1:7" x14ac:dyDescent="0.35">
      <c r="A3194"/>
      <c r="B3194"/>
      <c r="C3194"/>
      <c r="D3194"/>
      <c r="E3194"/>
      <c r="F3194"/>
      <c r="G3194"/>
    </row>
    <row r="3195" spans="1:7" x14ac:dyDescent="0.35">
      <c r="A3195"/>
      <c r="B3195"/>
      <c r="C3195"/>
      <c r="D3195"/>
      <c r="E3195"/>
      <c r="F3195"/>
      <c r="G3195"/>
    </row>
    <row r="3196" spans="1:7" x14ac:dyDescent="0.35">
      <c r="A3196"/>
      <c r="B3196"/>
      <c r="C3196"/>
      <c r="D3196"/>
      <c r="E3196"/>
      <c r="F3196"/>
      <c r="G3196"/>
    </row>
    <row r="3197" spans="1:7" x14ac:dyDescent="0.35">
      <c r="A3197"/>
      <c r="B3197"/>
      <c r="C3197"/>
      <c r="D3197"/>
      <c r="E3197"/>
      <c r="F3197"/>
      <c r="G3197"/>
    </row>
    <row r="3198" spans="1:7" x14ac:dyDescent="0.35">
      <c r="A3198"/>
      <c r="B3198"/>
      <c r="C3198"/>
      <c r="D3198"/>
      <c r="E3198"/>
      <c r="F3198"/>
      <c r="G3198"/>
    </row>
    <row r="3199" spans="1:7" x14ac:dyDescent="0.35">
      <c r="A3199"/>
      <c r="B3199"/>
      <c r="C3199"/>
      <c r="D3199"/>
      <c r="E3199"/>
      <c r="F3199"/>
      <c r="G3199"/>
    </row>
    <row r="3200" spans="1:7" x14ac:dyDescent="0.35">
      <c r="A3200"/>
      <c r="B3200"/>
      <c r="C3200"/>
      <c r="D3200"/>
      <c r="E3200"/>
      <c r="F3200"/>
      <c r="G3200"/>
    </row>
    <row r="3201" spans="1:7" x14ac:dyDescent="0.35">
      <c r="A3201"/>
      <c r="B3201"/>
      <c r="C3201"/>
      <c r="D3201"/>
      <c r="E3201"/>
      <c r="F3201"/>
      <c r="G3201"/>
    </row>
    <row r="3202" spans="1:7" x14ac:dyDescent="0.35">
      <c r="A3202"/>
      <c r="B3202"/>
      <c r="C3202"/>
      <c r="D3202"/>
      <c r="E3202"/>
      <c r="F3202"/>
      <c r="G3202"/>
    </row>
    <row r="3203" spans="1:7" x14ac:dyDescent="0.35">
      <c r="A3203"/>
      <c r="B3203"/>
      <c r="C3203"/>
      <c r="D3203"/>
      <c r="E3203"/>
      <c r="F3203"/>
      <c r="G3203"/>
    </row>
    <row r="3204" spans="1:7" x14ac:dyDescent="0.35">
      <c r="A3204"/>
      <c r="B3204"/>
      <c r="C3204"/>
      <c r="D3204"/>
      <c r="E3204"/>
      <c r="F3204"/>
      <c r="G3204"/>
    </row>
    <row r="3205" spans="1:7" x14ac:dyDescent="0.35">
      <c r="A3205"/>
      <c r="B3205"/>
      <c r="C3205"/>
      <c r="D3205"/>
      <c r="E3205"/>
      <c r="F3205"/>
      <c r="G3205"/>
    </row>
    <row r="3206" spans="1:7" x14ac:dyDescent="0.35">
      <c r="A3206"/>
      <c r="B3206"/>
      <c r="C3206"/>
      <c r="D3206"/>
      <c r="E3206"/>
      <c r="F3206"/>
      <c r="G3206"/>
    </row>
    <row r="3207" spans="1:7" x14ac:dyDescent="0.35">
      <c r="A3207"/>
      <c r="B3207"/>
      <c r="C3207"/>
      <c r="D3207"/>
      <c r="E3207"/>
      <c r="F3207"/>
      <c r="G3207"/>
    </row>
    <row r="3208" spans="1:7" x14ac:dyDescent="0.35">
      <c r="A3208"/>
      <c r="B3208"/>
      <c r="C3208"/>
      <c r="D3208"/>
      <c r="E3208"/>
      <c r="F3208"/>
      <c r="G3208"/>
    </row>
    <row r="3209" spans="1:7" x14ac:dyDescent="0.35">
      <c r="A3209"/>
      <c r="B3209"/>
      <c r="C3209"/>
      <c r="D3209"/>
      <c r="E3209"/>
      <c r="F3209"/>
      <c r="G3209"/>
    </row>
    <row r="3210" spans="1:7" x14ac:dyDescent="0.35">
      <c r="A3210"/>
      <c r="B3210"/>
      <c r="C3210"/>
      <c r="D3210"/>
      <c r="E3210"/>
      <c r="F3210"/>
      <c r="G3210"/>
    </row>
    <row r="3211" spans="1:7" x14ac:dyDescent="0.35">
      <c r="A3211"/>
      <c r="B3211"/>
      <c r="C3211"/>
      <c r="D3211"/>
      <c r="E3211"/>
      <c r="F3211"/>
      <c r="G3211"/>
    </row>
    <row r="3212" spans="1:7" x14ac:dyDescent="0.35">
      <c r="A3212"/>
      <c r="B3212"/>
      <c r="C3212"/>
      <c r="D3212"/>
      <c r="E3212"/>
      <c r="F3212"/>
      <c r="G3212"/>
    </row>
    <row r="3213" spans="1:7" x14ac:dyDescent="0.35">
      <c r="A3213"/>
      <c r="B3213"/>
      <c r="C3213"/>
      <c r="D3213"/>
      <c r="E3213"/>
      <c r="F3213"/>
      <c r="G3213"/>
    </row>
    <row r="3214" spans="1:7" x14ac:dyDescent="0.35">
      <c r="A3214"/>
      <c r="B3214"/>
      <c r="C3214"/>
      <c r="D3214"/>
      <c r="E3214"/>
      <c r="F3214"/>
      <c r="G3214"/>
    </row>
    <row r="3215" spans="1:7" x14ac:dyDescent="0.35">
      <c r="A3215"/>
      <c r="B3215"/>
      <c r="C3215"/>
      <c r="D3215"/>
      <c r="E3215"/>
      <c r="F3215"/>
      <c r="G3215"/>
    </row>
    <row r="3216" spans="1:7" x14ac:dyDescent="0.35">
      <c r="A3216"/>
      <c r="B3216"/>
      <c r="C3216"/>
      <c r="D3216"/>
      <c r="E3216"/>
      <c r="F3216"/>
      <c r="G3216"/>
    </row>
    <row r="3217" spans="1:7" x14ac:dyDescent="0.35">
      <c r="A3217"/>
      <c r="B3217"/>
      <c r="C3217"/>
      <c r="D3217"/>
      <c r="E3217"/>
      <c r="F3217"/>
      <c r="G3217"/>
    </row>
    <row r="3218" spans="1:7" x14ac:dyDescent="0.35">
      <c r="A3218"/>
      <c r="B3218"/>
      <c r="C3218"/>
      <c r="D3218"/>
      <c r="E3218"/>
      <c r="F3218"/>
      <c r="G3218"/>
    </row>
    <row r="3219" spans="1:7" x14ac:dyDescent="0.35">
      <c r="A3219"/>
      <c r="B3219"/>
      <c r="C3219"/>
      <c r="D3219"/>
      <c r="E3219"/>
      <c r="F3219"/>
      <c r="G3219"/>
    </row>
    <row r="3220" spans="1:7" x14ac:dyDescent="0.35">
      <c r="A3220"/>
      <c r="B3220"/>
      <c r="C3220"/>
      <c r="D3220"/>
      <c r="E3220"/>
      <c r="F3220"/>
      <c r="G3220"/>
    </row>
    <row r="3221" spans="1:7" x14ac:dyDescent="0.35">
      <c r="A3221"/>
      <c r="B3221"/>
      <c r="C3221"/>
      <c r="D3221"/>
      <c r="E3221"/>
      <c r="F3221"/>
      <c r="G3221"/>
    </row>
    <row r="3222" spans="1:7" x14ac:dyDescent="0.35">
      <c r="A3222"/>
      <c r="B3222"/>
      <c r="C3222"/>
      <c r="D3222"/>
      <c r="E3222"/>
      <c r="F3222"/>
      <c r="G3222"/>
    </row>
    <row r="3223" spans="1:7" x14ac:dyDescent="0.35">
      <c r="A3223"/>
      <c r="B3223"/>
      <c r="C3223"/>
      <c r="D3223"/>
      <c r="E3223"/>
      <c r="F3223"/>
      <c r="G3223"/>
    </row>
    <row r="3224" spans="1:7" x14ac:dyDescent="0.35">
      <c r="A3224"/>
      <c r="B3224"/>
      <c r="C3224"/>
      <c r="D3224"/>
      <c r="E3224"/>
      <c r="F3224"/>
      <c r="G3224"/>
    </row>
    <row r="3225" spans="1:7" x14ac:dyDescent="0.35">
      <c r="A3225"/>
      <c r="B3225"/>
      <c r="C3225"/>
      <c r="D3225"/>
      <c r="E3225"/>
      <c r="F3225"/>
      <c r="G3225"/>
    </row>
    <row r="3226" spans="1:7" x14ac:dyDescent="0.35">
      <c r="A3226"/>
      <c r="B3226"/>
      <c r="C3226"/>
      <c r="D3226"/>
      <c r="E3226"/>
      <c r="F3226"/>
      <c r="G3226"/>
    </row>
    <row r="3227" spans="1:7" x14ac:dyDescent="0.35">
      <c r="A3227"/>
      <c r="B3227"/>
      <c r="C3227"/>
      <c r="D3227"/>
      <c r="E3227"/>
      <c r="F3227"/>
      <c r="G3227"/>
    </row>
    <row r="3228" spans="1:7" x14ac:dyDescent="0.35">
      <c r="A3228"/>
      <c r="B3228"/>
      <c r="C3228"/>
      <c r="D3228"/>
      <c r="E3228"/>
      <c r="F3228"/>
      <c r="G3228"/>
    </row>
    <row r="3229" spans="1:7" x14ac:dyDescent="0.35">
      <c r="A3229"/>
      <c r="B3229"/>
      <c r="C3229"/>
      <c r="D3229"/>
      <c r="E3229"/>
      <c r="F3229"/>
      <c r="G3229"/>
    </row>
    <row r="3230" spans="1:7" x14ac:dyDescent="0.35">
      <c r="A3230"/>
      <c r="B3230"/>
      <c r="C3230"/>
      <c r="D3230"/>
      <c r="E3230"/>
      <c r="F3230"/>
      <c r="G3230"/>
    </row>
    <row r="3231" spans="1:7" x14ac:dyDescent="0.35">
      <c r="A3231"/>
      <c r="B3231"/>
      <c r="C3231"/>
      <c r="D3231"/>
      <c r="E3231"/>
      <c r="F3231"/>
      <c r="G3231"/>
    </row>
    <row r="3232" spans="1:7" x14ac:dyDescent="0.35">
      <c r="A3232"/>
      <c r="B3232"/>
      <c r="C3232"/>
      <c r="D3232"/>
      <c r="E3232"/>
      <c r="F3232"/>
      <c r="G3232"/>
    </row>
    <row r="3233" spans="1:7" x14ac:dyDescent="0.35">
      <c r="A3233"/>
      <c r="B3233"/>
      <c r="C3233"/>
      <c r="D3233"/>
      <c r="E3233"/>
      <c r="F3233"/>
      <c r="G3233"/>
    </row>
    <row r="3234" spans="1:7" x14ac:dyDescent="0.35">
      <c r="A3234"/>
      <c r="B3234"/>
      <c r="C3234"/>
      <c r="D3234"/>
      <c r="E3234"/>
      <c r="F3234"/>
      <c r="G3234"/>
    </row>
    <row r="3235" spans="1:7" x14ac:dyDescent="0.35">
      <c r="A3235"/>
      <c r="B3235"/>
      <c r="C3235"/>
      <c r="D3235"/>
      <c r="E3235"/>
      <c r="F3235"/>
      <c r="G3235"/>
    </row>
  </sheetData>
  <mergeCells count="2">
    <mergeCell ref="I1:J1"/>
    <mergeCell ref="K1:L1"/>
  </mergeCells>
  <phoneticPr fontId="5" type="noConversion"/>
  <pageMargins left="0.7" right="0.7" top="0.75" bottom="0.75" header="0.3" footer="0.3"/>
  <ignoredErrors>
    <ignoredError sqref="K3:K15 I3:I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562C-1422-454A-A5DC-49BFAEFE28C8}">
  <dimension ref="A1:BR173"/>
  <sheetViews>
    <sheetView topLeftCell="A31" workbookViewId="0">
      <selection activeCell="A29" sqref="A29"/>
    </sheetView>
  </sheetViews>
  <sheetFormatPr defaultRowHeight="14.4" x14ac:dyDescent="0.3"/>
  <cols>
    <col min="1" max="1" width="35.5546875" style="28" bestFit="1" customWidth="1"/>
    <col min="2" max="2" width="19.5546875" style="28" bestFit="1" customWidth="1"/>
    <col min="3" max="3" width="11.44140625" style="28" bestFit="1" customWidth="1"/>
    <col min="4" max="7" width="10.44140625" style="28" bestFit="1" customWidth="1"/>
    <col min="8" max="8" width="11.77734375" style="28" hidden="1" customWidth="1"/>
    <col min="9" max="9" width="14.5546875" style="28" customWidth="1"/>
    <col min="10" max="10" width="12.77734375" style="28" bestFit="1" customWidth="1"/>
    <col min="11" max="11" width="14.109375" style="28" customWidth="1"/>
    <col min="12" max="12" width="12.109375" style="28" bestFit="1" customWidth="1"/>
    <col min="13" max="69" width="8.33203125" style="28" bestFit="1" customWidth="1"/>
    <col min="70" max="70" width="11" style="28" bestFit="1" customWidth="1"/>
    <col min="71" max="16384" width="8.88671875" style="28"/>
  </cols>
  <sheetData>
    <row r="1" spans="1:13" x14ac:dyDescent="0.3">
      <c r="A1" s="55"/>
      <c r="B1" s="56"/>
      <c r="C1" s="56"/>
      <c r="D1" s="56"/>
      <c r="E1" s="56"/>
      <c r="F1" s="56"/>
      <c r="G1" s="56"/>
      <c r="H1" s="54"/>
      <c r="I1" s="82" t="s">
        <v>1166</v>
      </c>
      <c r="J1" s="82"/>
      <c r="K1" s="85" t="s">
        <v>1167</v>
      </c>
      <c r="L1" s="86"/>
    </row>
    <row r="2" spans="1:13" x14ac:dyDescent="0.3">
      <c r="A2" s="61" t="s">
        <v>644</v>
      </c>
      <c r="B2" s="60" t="s">
        <v>279</v>
      </c>
      <c r="C2" s="60" t="s">
        <v>280</v>
      </c>
      <c r="D2" s="60" t="s">
        <v>281</v>
      </c>
      <c r="E2" s="60" t="s">
        <v>699</v>
      </c>
      <c r="F2" s="60" t="s">
        <v>866</v>
      </c>
      <c r="G2" s="61" t="s">
        <v>1153</v>
      </c>
      <c r="H2" s="66" t="s">
        <v>971</v>
      </c>
      <c r="I2" s="83" t="s">
        <v>642</v>
      </c>
      <c r="J2" s="83" t="s">
        <v>1173</v>
      </c>
      <c r="K2" s="87" t="s">
        <v>643</v>
      </c>
      <c r="L2" s="88" t="s">
        <v>1172</v>
      </c>
    </row>
    <row r="3" spans="1:13" x14ac:dyDescent="0.3">
      <c r="A3" s="53" t="s">
        <v>38</v>
      </c>
      <c r="B3" s="67">
        <v>1182705.5200000003</v>
      </c>
      <c r="C3" s="67">
        <v>1047190.94</v>
      </c>
      <c r="D3" s="67">
        <v>1026791.59</v>
      </c>
      <c r="E3" s="67">
        <v>992863.17</v>
      </c>
      <c r="F3" s="67">
        <v>996845.75</v>
      </c>
      <c r="G3" s="67">
        <v>1010497.75</v>
      </c>
      <c r="H3" s="68">
        <v>6256894.7199999997</v>
      </c>
      <c r="I3" s="62">
        <f>SUM(E3:G3)/3</f>
        <v>1000068.89</v>
      </c>
      <c r="J3" s="62">
        <f>G3-I3</f>
        <v>10428.859999999986</v>
      </c>
      <c r="K3" s="62" cm="1">
        <f t="array" ref="K3">SUM(B3:G3/6)</f>
        <v>1042815.7866666666</v>
      </c>
      <c r="L3" s="62">
        <f>G3-K3</f>
        <v>-32318.036666666623</v>
      </c>
      <c r="M3" s="41"/>
    </row>
    <row r="4" spans="1:13" x14ac:dyDescent="0.3">
      <c r="A4" s="53" t="s">
        <v>44</v>
      </c>
      <c r="B4" s="67">
        <v>193806.33000000002</v>
      </c>
      <c r="C4" s="67">
        <v>99904.2</v>
      </c>
      <c r="D4" s="67">
        <v>105127.35</v>
      </c>
      <c r="E4" s="67">
        <v>115623.45999999999</v>
      </c>
      <c r="F4" s="67">
        <v>133439.43</v>
      </c>
      <c r="G4" s="67">
        <v>132469.65000000002</v>
      </c>
      <c r="H4" s="68">
        <v>780370.42</v>
      </c>
      <c r="I4" s="62">
        <f t="shared" ref="I4:I13" si="0">SUM(E4:G4)/3</f>
        <v>127177.51333333335</v>
      </c>
      <c r="J4" s="62">
        <f t="shared" ref="J4:J12" si="1">G4-I4</f>
        <v>5292.1366666666727</v>
      </c>
      <c r="K4" s="62" cm="1">
        <f t="array" ref="K4">SUM(B4:G4/6)</f>
        <v>130061.73666666668</v>
      </c>
      <c r="L4" s="62">
        <f t="shared" ref="L4:L13" si="2">G4-K4</f>
        <v>2407.9133333333448</v>
      </c>
      <c r="M4" s="41"/>
    </row>
    <row r="5" spans="1:13" x14ac:dyDescent="0.3">
      <c r="A5" s="53" t="s">
        <v>829</v>
      </c>
      <c r="B5" s="67"/>
      <c r="C5" s="67"/>
      <c r="D5" s="67"/>
      <c r="E5" s="67"/>
      <c r="F5" s="67">
        <v>326.61</v>
      </c>
      <c r="G5" s="67"/>
      <c r="H5" s="68">
        <v>326.61</v>
      </c>
      <c r="I5" s="62">
        <f t="shared" si="0"/>
        <v>108.87</v>
      </c>
      <c r="J5" s="62">
        <f t="shared" si="1"/>
        <v>-108.87</v>
      </c>
      <c r="K5" s="62" cm="1">
        <f t="array" ref="K5">SUM(B5:G5/6)</f>
        <v>54.435000000000002</v>
      </c>
      <c r="L5" s="62">
        <f t="shared" si="2"/>
        <v>-54.435000000000002</v>
      </c>
      <c r="M5" s="41"/>
    </row>
    <row r="6" spans="1:13" x14ac:dyDescent="0.3">
      <c r="A6" s="53" t="s">
        <v>54</v>
      </c>
      <c r="B6" s="67"/>
      <c r="C6" s="67">
        <v>2500</v>
      </c>
      <c r="D6" s="67"/>
      <c r="E6" s="67">
        <v>580</v>
      </c>
      <c r="F6" s="67">
        <v>-19500</v>
      </c>
      <c r="G6" s="67">
        <v>-5480</v>
      </c>
      <c r="H6" s="68">
        <v>-21900</v>
      </c>
      <c r="I6" s="62">
        <f t="shared" si="0"/>
        <v>-8133.333333333333</v>
      </c>
      <c r="J6" s="62">
        <f t="shared" si="1"/>
        <v>2653.333333333333</v>
      </c>
      <c r="K6" s="62" cm="1">
        <f t="array" ref="K6">SUM(B6:G6/6)</f>
        <v>-3650</v>
      </c>
      <c r="L6" s="62">
        <f t="shared" si="2"/>
        <v>-1830</v>
      </c>
      <c r="M6" s="41"/>
    </row>
    <row r="7" spans="1:13" x14ac:dyDescent="0.3">
      <c r="A7" s="53" t="s">
        <v>113</v>
      </c>
      <c r="B7" s="67">
        <v>6250</v>
      </c>
      <c r="C7" s="67">
        <v>6250</v>
      </c>
      <c r="D7" s="67">
        <v>6250</v>
      </c>
      <c r="E7" s="67">
        <v>6250</v>
      </c>
      <c r="F7" s="67"/>
      <c r="G7" s="67"/>
      <c r="H7" s="68">
        <v>25000</v>
      </c>
      <c r="I7" s="62">
        <f t="shared" si="0"/>
        <v>2083.3333333333335</v>
      </c>
      <c r="J7" s="62">
        <f t="shared" si="1"/>
        <v>-2083.3333333333335</v>
      </c>
      <c r="K7" s="62" cm="1">
        <f t="array" ref="K7">SUM(B7:G7/6)</f>
        <v>4166.666666666667</v>
      </c>
      <c r="L7" s="62">
        <f t="shared" si="2"/>
        <v>-4166.666666666667</v>
      </c>
      <c r="M7" s="41"/>
    </row>
    <row r="8" spans="1:13" x14ac:dyDescent="0.3">
      <c r="A8" s="53" t="s">
        <v>122</v>
      </c>
      <c r="B8" s="67"/>
      <c r="C8" s="67"/>
      <c r="D8" s="67">
        <v>150000</v>
      </c>
      <c r="E8" s="67"/>
      <c r="F8" s="67">
        <v>360000</v>
      </c>
      <c r="G8" s="67"/>
      <c r="H8" s="68">
        <v>510000</v>
      </c>
      <c r="I8" s="62">
        <f t="shared" si="0"/>
        <v>120000</v>
      </c>
      <c r="J8" s="62">
        <f t="shared" si="1"/>
        <v>-120000</v>
      </c>
      <c r="K8" s="62" cm="1">
        <f t="array" ref="K8">SUM(B8:G8/6)</f>
        <v>85000</v>
      </c>
      <c r="L8" s="62">
        <f t="shared" si="2"/>
        <v>-85000</v>
      </c>
      <c r="M8" s="41"/>
    </row>
    <row r="9" spans="1:13" x14ac:dyDescent="0.3">
      <c r="A9" s="53" t="s">
        <v>36</v>
      </c>
      <c r="B9" s="67"/>
      <c r="C9" s="67"/>
      <c r="D9" s="67">
        <v>27000</v>
      </c>
      <c r="E9" s="67">
        <v>18325</v>
      </c>
      <c r="F9" s="67">
        <v>8525</v>
      </c>
      <c r="G9" s="67">
        <v>8525</v>
      </c>
      <c r="H9" s="68">
        <v>62375</v>
      </c>
      <c r="I9" s="62">
        <f t="shared" si="0"/>
        <v>11791.666666666666</v>
      </c>
      <c r="J9" s="62">
        <f t="shared" si="1"/>
        <v>-3266.6666666666661</v>
      </c>
      <c r="K9" s="62" cm="1">
        <f t="array" ref="K9">SUM(B9:G9/6)</f>
        <v>10395.833333333334</v>
      </c>
      <c r="L9" s="62">
        <f t="shared" si="2"/>
        <v>-1870.8333333333339</v>
      </c>
      <c r="M9" s="41"/>
    </row>
    <row r="10" spans="1:13" x14ac:dyDescent="0.3">
      <c r="A10" s="53" t="s">
        <v>143</v>
      </c>
      <c r="B10" s="67">
        <v>10570.8</v>
      </c>
      <c r="C10" s="67">
        <v>58605877.93</v>
      </c>
      <c r="D10" s="67"/>
      <c r="E10" s="67"/>
      <c r="F10" s="67"/>
      <c r="G10" s="67">
        <v>4680</v>
      </c>
      <c r="H10" s="68">
        <v>58616448.729999997</v>
      </c>
      <c r="I10" s="62">
        <f t="shared" si="0"/>
        <v>1560</v>
      </c>
      <c r="J10" s="62">
        <f t="shared" si="1"/>
        <v>3120</v>
      </c>
      <c r="K10" s="62" cm="1">
        <f t="array" ref="K10">SUM(B10:G10/6)</f>
        <v>9770188.121666668</v>
      </c>
      <c r="L10" s="62">
        <f t="shared" si="2"/>
        <v>-9765508.121666668</v>
      </c>
      <c r="M10" s="41"/>
    </row>
    <row r="11" spans="1:13" x14ac:dyDescent="0.3">
      <c r="A11" s="53" t="s">
        <v>61</v>
      </c>
      <c r="B11" s="67"/>
      <c r="C11" s="67"/>
      <c r="D11" s="67">
        <v>-146778.87</v>
      </c>
      <c r="E11" s="67">
        <v>221604.2</v>
      </c>
      <c r="F11" s="67"/>
      <c r="G11" s="67">
        <v>117000</v>
      </c>
      <c r="H11" s="68">
        <v>74825.330000000016</v>
      </c>
      <c r="I11" s="62">
        <f t="shared" si="0"/>
        <v>112868.06666666667</v>
      </c>
      <c r="J11" s="62">
        <f t="shared" si="1"/>
        <v>4131.9333333333343</v>
      </c>
      <c r="K11" s="62" cm="1">
        <f t="array" ref="K11">SUM(B11:G11/6)</f>
        <v>31970.888333333332</v>
      </c>
      <c r="L11" s="62">
        <f t="shared" si="2"/>
        <v>85029.111666666664</v>
      </c>
      <c r="M11" s="41"/>
    </row>
    <row r="12" spans="1:13" x14ac:dyDescent="0.3">
      <c r="A12" s="53" t="s">
        <v>1009</v>
      </c>
      <c r="B12" s="67">
        <v>1081714.6000000001</v>
      </c>
      <c r="C12" s="67">
        <v>588845.83000000007</v>
      </c>
      <c r="D12" s="67">
        <v>26230</v>
      </c>
      <c r="E12" s="67">
        <v>73940</v>
      </c>
      <c r="F12" s="67">
        <v>9490</v>
      </c>
      <c r="G12" s="67">
        <v>-60577.1</v>
      </c>
      <c r="H12" s="68">
        <v>1719643.33</v>
      </c>
      <c r="I12" s="62">
        <f t="shared" si="0"/>
        <v>7617.6333333333341</v>
      </c>
      <c r="J12" s="62">
        <f t="shared" si="1"/>
        <v>-68194.733333333337</v>
      </c>
      <c r="K12" s="62" cm="1">
        <f t="array" ref="K12">SUM(B12:G12/6)</f>
        <v>286607.22166666674</v>
      </c>
      <c r="L12" s="62">
        <f t="shared" si="2"/>
        <v>-347184.32166666671</v>
      </c>
      <c r="M12" s="41"/>
    </row>
    <row r="13" spans="1:13" x14ac:dyDescent="0.3">
      <c r="A13" s="59" t="s">
        <v>971</v>
      </c>
      <c r="B13" s="60">
        <v>2475047.2500000005</v>
      </c>
      <c r="C13" s="60">
        <v>60350568.899999999</v>
      </c>
      <c r="D13" s="60">
        <v>1194620.0699999998</v>
      </c>
      <c r="E13" s="60">
        <v>1429185.83</v>
      </c>
      <c r="F13" s="60">
        <v>1489126.79</v>
      </c>
      <c r="G13" s="60">
        <v>1207115.2999999998</v>
      </c>
      <c r="H13" s="69">
        <v>68023984.140000001</v>
      </c>
      <c r="I13" s="84">
        <f t="shared" si="0"/>
        <v>1375142.64</v>
      </c>
      <c r="J13" s="84">
        <f>G13-I13</f>
        <v>-168027.34000000008</v>
      </c>
      <c r="K13" s="89" cm="1">
        <f t="array" ref="K13">SUM(B13:G13/6)</f>
        <v>11357610.690000001</v>
      </c>
      <c r="L13" s="89">
        <f t="shared" si="2"/>
        <v>-10150495.390000001</v>
      </c>
    </row>
    <row r="16" spans="1:13" x14ac:dyDescent="0.3">
      <c r="A16"/>
    </row>
    <row r="17" spans="1:70" x14ac:dyDescent="0.3">
      <c r="A17" s="29" t="s">
        <v>32</v>
      </c>
      <c r="B17" s="42" t="s">
        <v>972</v>
      </c>
    </row>
    <row r="18" spans="1:70" x14ac:dyDescent="0.3">
      <c r="A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70" x14ac:dyDescent="0.3">
      <c r="A19" s="29" t="s">
        <v>282</v>
      </c>
      <c r="B19" s="48" t="s">
        <v>969</v>
      </c>
      <c r="C19" s="42"/>
      <c r="D19" s="42"/>
      <c r="E19" s="42"/>
      <c r="F19" s="42"/>
      <c r="G19" s="42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x14ac:dyDescent="0.3">
      <c r="A20" s="29" t="s">
        <v>970</v>
      </c>
      <c r="B20" s="42" t="s">
        <v>279</v>
      </c>
      <c r="C20" s="42" t="s">
        <v>280</v>
      </c>
      <c r="D20" s="42" t="s">
        <v>281</v>
      </c>
      <c r="E20" s="42" t="s">
        <v>699</v>
      </c>
      <c r="F20" s="42" t="s">
        <v>866</v>
      </c>
      <c r="G20" t="s">
        <v>1153</v>
      </c>
      <c r="H20" s="42" t="s">
        <v>971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x14ac:dyDescent="0.3">
      <c r="A21" s="32" t="s">
        <v>38</v>
      </c>
      <c r="B21" s="42">
        <v>1182705.5200000003</v>
      </c>
      <c r="C21" s="42">
        <v>1047190.94</v>
      </c>
      <c r="D21" s="42">
        <v>1026791.59</v>
      </c>
      <c r="E21" s="42">
        <v>992863.17</v>
      </c>
      <c r="F21" s="42">
        <v>996845.75</v>
      </c>
      <c r="G21" s="42">
        <v>1010497.75</v>
      </c>
      <c r="H21" s="42">
        <v>6256894.7199999997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</row>
    <row r="22" spans="1:70" x14ac:dyDescent="0.3">
      <c r="A22" s="32" t="s">
        <v>44</v>
      </c>
      <c r="B22" s="42">
        <v>193806.33000000002</v>
      </c>
      <c r="C22" s="42">
        <v>99904.2</v>
      </c>
      <c r="D22" s="42">
        <v>105127.35</v>
      </c>
      <c r="E22" s="42">
        <v>115623.45999999999</v>
      </c>
      <c r="F22" s="42">
        <v>133439.43</v>
      </c>
      <c r="G22" s="42">
        <v>132469.65000000002</v>
      </c>
      <c r="H22" s="42">
        <v>780370.42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x14ac:dyDescent="0.3">
      <c r="A23" s="32" t="s">
        <v>829</v>
      </c>
      <c r="B23" s="42"/>
      <c r="C23" s="42"/>
      <c r="D23" s="42"/>
      <c r="E23" s="42"/>
      <c r="F23" s="42">
        <v>326.61</v>
      </c>
      <c r="G23" s="42"/>
      <c r="H23" s="42">
        <v>326.61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x14ac:dyDescent="0.3">
      <c r="A24" s="32" t="s">
        <v>54</v>
      </c>
      <c r="B24" s="42"/>
      <c r="C24" s="42">
        <v>2500</v>
      </c>
      <c r="D24" s="42"/>
      <c r="E24" s="42">
        <v>580</v>
      </c>
      <c r="F24" s="42">
        <v>-19500</v>
      </c>
      <c r="G24" s="42">
        <v>-5480</v>
      </c>
      <c r="H24" s="42">
        <v>-21900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x14ac:dyDescent="0.3">
      <c r="A25" s="32" t="s">
        <v>113</v>
      </c>
      <c r="B25" s="42">
        <v>6250</v>
      </c>
      <c r="C25" s="42">
        <v>6250</v>
      </c>
      <c r="D25" s="42">
        <v>6250</v>
      </c>
      <c r="E25" s="42">
        <v>6250</v>
      </c>
      <c r="F25" s="42"/>
      <c r="G25" s="42"/>
      <c r="H25" s="42">
        <v>25000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x14ac:dyDescent="0.3">
      <c r="A26" s="32" t="s">
        <v>122</v>
      </c>
      <c r="B26" s="42"/>
      <c r="C26" s="42"/>
      <c r="D26" s="42">
        <v>150000</v>
      </c>
      <c r="E26" s="42"/>
      <c r="F26" s="42">
        <v>360000</v>
      </c>
      <c r="G26" s="42"/>
      <c r="H26" s="42">
        <v>510000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x14ac:dyDescent="0.3">
      <c r="A27" s="32" t="s">
        <v>36</v>
      </c>
      <c r="B27" s="42"/>
      <c r="C27" s="42"/>
      <c r="D27" s="42">
        <v>27000</v>
      </c>
      <c r="E27" s="42">
        <v>18325</v>
      </c>
      <c r="F27" s="42">
        <v>8525</v>
      </c>
      <c r="G27" s="42">
        <v>8525</v>
      </c>
      <c r="H27" s="42">
        <v>62375</v>
      </c>
    </row>
    <row r="28" spans="1:70" x14ac:dyDescent="0.3">
      <c r="A28" s="32" t="s">
        <v>143</v>
      </c>
      <c r="B28" s="42">
        <v>10570.8</v>
      </c>
      <c r="C28" s="42">
        <v>58605877.93</v>
      </c>
      <c r="D28" s="42"/>
      <c r="E28" s="42"/>
      <c r="F28" s="42"/>
      <c r="G28" s="42">
        <v>4680</v>
      </c>
      <c r="H28" s="42">
        <v>58621128.729999997</v>
      </c>
    </row>
    <row r="29" spans="1:70" x14ac:dyDescent="0.3">
      <c r="A29" s="32" t="s">
        <v>61</v>
      </c>
      <c r="B29" s="42"/>
      <c r="C29" s="42"/>
      <c r="D29" s="42">
        <v>-146778.87</v>
      </c>
      <c r="E29" s="42">
        <v>221604.2</v>
      </c>
      <c r="F29" s="42"/>
      <c r="G29" s="42">
        <v>117000</v>
      </c>
      <c r="H29" s="42">
        <v>191825.33000000002</v>
      </c>
    </row>
    <row r="30" spans="1:70" x14ac:dyDescent="0.3">
      <c r="A30" s="80" t="s">
        <v>691</v>
      </c>
      <c r="B30" s="42"/>
      <c r="C30" s="42"/>
      <c r="D30" s="42"/>
      <c r="E30" s="42">
        <v>1950</v>
      </c>
      <c r="F30" s="42"/>
      <c r="G30" s="42"/>
      <c r="H30" s="42">
        <v>1950</v>
      </c>
    </row>
    <row r="31" spans="1:70" x14ac:dyDescent="0.3">
      <c r="A31" s="81" t="s">
        <v>692</v>
      </c>
      <c r="B31" s="42"/>
      <c r="C31" s="42"/>
      <c r="D31" s="42"/>
      <c r="E31" s="42">
        <v>1950</v>
      </c>
      <c r="F31" s="42"/>
      <c r="G31" s="42"/>
      <c r="H31" s="42">
        <v>1950</v>
      </c>
    </row>
    <row r="32" spans="1:70" x14ac:dyDescent="0.3">
      <c r="A32" s="80" t="s">
        <v>116</v>
      </c>
      <c r="B32" s="42"/>
      <c r="C32" s="42"/>
      <c r="D32" s="42">
        <v>45621.13</v>
      </c>
      <c r="E32" s="42"/>
      <c r="F32" s="42"/>
      <c r="G32" s="42"/>
      <c r="H32" s="42">
        <v>45621.13</v>
      </c>
    </row>
    <row r="33" spans="1:8" x14ac:dyDescent="0.3">
      <c r="A33" s="81" t="s">
        <v>105</v>
      </c>
      <c r="B33" s="42"/>
      <c r="C33" s="42"/>
      <c r="D33" s="42">
        <v>28865.599999999999</v>
      </c>
      <c r="E33" s="42"/>
      <c r="F33" s="42"/>
      <c r="G33" s="42"/>
      <c r="H33" s="42">
        <v>28865.599999999999</v>
      </c>
    </row>
    <row r="34" spans="1:8" x14ac:dyDescent="0.3">
      <c r="A34" s="81" t="s">
        <v>104</v>
      </c>
      <c r="B34" s="42"/>
      <c r="C34" s="42"/>
      <c r="D34" s="42">
        <v>16755.53</v>
      </c>
      <c r="E34" s="42"/>
      <c r="F34" s="42"/>
      <c r="G34" s="42"/>
      <c r="H34" s="42">
        <v>16755.53</v>
      </c>
    </row>
    <row r="35" spans="1:8" x14ac:dyDescent="0.3">
      <c r="A35" s="80" t="s">
        <v>58</v>
      </c>
      <c r="B35" s="42"/>
      <c r="C35" s="42"/>
      <c r="D35" s="42">
        <v>2600</v>
      </c>
      <c r="E35" s="42"/>
      <c r="F35" s="42"/>
      <c r="G35" s="42"/>
      <c r="H35" s="42">
        <v>2600</v>
      </c>
    </row>
    <row r="36" spans="1:8" x14ac:dyDescent="0.3">
      <c r="A36" s="81" t="s">
        <v>117</v>
      </c>
      <c r="B36" s="42"/>
      <c r="C36" s="42"/>
      <c r="D36" s="42">
        <v>2600</v>
      </c>
      <c r="E36" s="42"/>
      <c r="F36" s="42"/>
      <c r="G36" s="42"/>
      <c r="H36" s="42">
        <v>2600</v>
      </c>
    </row>
    <row r="37" spans="1:8" x14ac:dyDescent="0.3">
      <c r="A37" s="80" t="s">
        <v>314</v>
      </c>
      <c r="B37" s="42"/>
      <c r="C37" s="42"/>
      <c r="D37" s="42"/>
      <c r="E37" s="42">
        <v>218000</v>
      </c>
      <c r="F37" s="42"/>
      <c r="G37" s="42">
        <v>117000</v>
      </c>
      <c r="H37" s="42">
        <v>335000</v>
      </c>
    </row>
    <row r="38" spans="1:8" x14ac:dyDescent="0.3">
      <c r="A38" s="81" t="s">
        <v>104</v>
      </c>
      <c r="B38" s="42"/>
      <c r="C38" s="42"/>
      <c r="D38" s="42"/>
      <c r="E38" s="42">
        <v>3000</v>
      </c>
      <c r="F38" s="42"/>
      <c r="G38" s="42"/>
      <c r="H38" s="42">
        <v>3000</v>
      </c>
    </row>
    <row r="39" spans="1:8" x14ac:dyDescent="0.3">
      <c r="A39" s="81" t="s">
        <v>676</v>
      </c>
      <c r="B39" s="42"/>
      <c r="C39" s="42"/>
      <c r="D39" s="42"/>
      <c r="E39" s="42">
        <v>215000</v>
      </c>
      <c r="F39" s="42"/>
      <c r="G39" s="42"/>
      <c r="H39" s="42">
        <v>215000</v>
      </c>
    </row>
    <row r="40" spans="1:8" x14ac:dyDescent="0.3">
      <c r="A40" s="81" t="s">
        <v>1156</v>
      </c>
      <c r="B40" s="42"/>
      <c r="C40" s="42"/>
      <c r="D40" s="42"/>
      <c r="E40" s="42"/>
      <c r="F40" s="42"/>
      <c r="G40" s="42">
        <v>117000</v>
      </c>
      <c r="H40" s="42">
        <v>117000</v>
      </c>
    </row>
    <row r="41" spans="1:8" x14ac:dyDescent="0.3">
      <c r="A41" s="80" t="s">
        <v>118</v>
      </c>
      <c r="B41" s="42"/>
      <c r="C41" s="42"/>
      <c r="D41" s="42">
        <v>-195000</v>
      </c>
      <c r="E41" s="42"/>
      <c r="F41" s="42"/>
      <c r="G41" s="42"/>
      <c r="H41" s="42">
        <v>-195000</v>
      </c>
    </row>
    <row r="42" spans="1:8" x14ac:dyDescent="0.3">
      <c r="A42" s="81" t="s">
        <v>119</v>
      </c>
      <c r="B42" s="42"/>
      <c r="C42" s="42"/>
      <c r="D42" s="42">
        <v>-195000</v>
      </c>
      <c r="E42" s="42"/>
      <c r="F42" s="42"/>
      <c r="G42" s="42"/>
      <c r="H42" s="42">
        <v>-195000</v>
      </c>
    </row>
    <row r="43" spans="1:8" x14ac:dyDescent="0.3">
      <c r="A43" s="80" t="s">
        <v>681</v>
      </c>
      <c r="B43" s="42"/>
      <c r="C43" s="42"/>
      <c r="D43" s="42"/>
      <c r="E43" s="42">
        <v>754.2</v>
      </c>
      <c r="F43" s="42"/>
      <c r="G43" s="42"/>
      <c r="H43" s="42">
        <v>754.2</v>
      </c>
    </row>
    <row r="44" spans="1:8" x14ac:dyDescent="0.3">
      <c r="A44" s="81" t="s">
        <v>680</v>
      </c>
      <c r="B44" s="42"/>
      <c r="C44" s="42"/>
      <c r="D44" s="42"/>
      <c r="E44" s="42">
        <v>754.2</v>
      </c>
      <c r="F44" s="42"/>
      <c r="G44" s="42"/>
      <c r="H44" s="42">
        <v>754.2</v>
      </c>
    </row>
    <row r="45" spans="1:8" x14ac:dyDescent="0.3">
      <c r="A45" s="80" t="s">
        <v>954</v>
      </c>
      <c r="B45" s="42"/>
      <c r="C45" s="42"/>
      <c r="D45" s="42"/>
      <c r="E45" s="42">
        <v>900</v>
      </c>
      <c r="F45" s="42"/>
      <c r="G45" s="42"/>
      <c r="H45" s="42">
        <v>900</v>
      </c>
    </row>
    <row r="46" spans="1:8" x14ac:dyDescent="0.3">
      <c r="A46" s="81" t="s">
        <v>687</v>
      </c>
      <c r="B46" s="42"/>
      <c r="C46" s="42"/>
      <c r="D46" s="42"/>
      <c r="E46" s="42">
        <v>900</v>
      </c>
      <c r="F46" s="42"/>
      <c r="G46" s="42"/>
      <c r="H46" s="42">
        <v>900</v>
      </c>
    </row>
    <row r="47" spans="1:8" x14ac:dyDescent="0.3">
      <c r="A47" s="32" t="s">
        <v>1009</v>
      </c>
      <c r="B47" s="42">
        <v>1081714.6000000001</v>
      </c>
      <c r="C47" s="42">
        <v>588845.83000000007</v>
      </c>
      <c r="D47" s="42">
        <v>26230</v>
      </c>
      <c r="E47" s="42">
        <v>73940</v>
      </c>
      <c r="F47" s="42">
        <v>9490</v>
      </c>
      <c r="G47" s="42">
        <v>-60577.1</v>
      </c>
      <c r="H47" s="42">
        <v>1719643.33</v>
      </c>
    </row>
    <row r="48" spans="1:8" x14ac:dyDescent="0.3">
      <c r="A48" s="32" t="s">
        <v>971</v>
      </c>
      <c r="B48" s="42">
        <v>2475047.2500000005</v>
      </c>
      <c r="C48" s="42">
        <v>60350568.899999999</v>
      </c>
      <c r="D48" s="42">
        <v>1194620.07</v>
      </c>
      <c r="E48" s="42">
        <v>1429185.83</v>
      </c>
      <c r="F48" s="42">
        <v>1489126.79</v>
      </c>
      <c r="G48" s="42">
        <v>1207115.2999999998</v>
      </c>
      <c r="H48" s="42">
        <v>68145664.140000001</v>
      </c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  <row r="52" spans="1:8" x14ac:dyDescent="0.3">
      <c r="A52"/>
      <c r="B52"/>
      <c r="C52"/>
      <c r="D52"/>
      <c r="E52"/>
      <c r="F52"/>
      <c r="G52"/>
      <c r="H52"/>
    </row>
    <row r="53" spans="1:8" x14ac:dyDescent="0.3">
      <c r="A53"/>
      <c r="B53"/>
      <c r="C53"/>
      <c r="D53"/>
      <c r="E53"/>
      <c r="F53"/>
      <c r="G53"/>
      <c r="H53"/>
    </row>
    <row r="54" spans="1:8" x14ac:dyDescent="0.3">
      <c r="A54"/>
      <c r="B54"/>
      <c r="C54"/>
      <c r="D54"/>
      <c r="E54"/>
      <c r="F54"/>
      <c r="G54"/>
      <c r="H54"/>
    </row>
    <row r="55" spans="1:8" x14ac:dyDescent="0.3">
      <c r="A55"/>
      <c r="B55"/>
      <c r="C55"/>
      <c r="D55"/>
      <c r="E55"/>
      <c r="F55"/>
      <c r="G55"/>
      <c r="H55"/>
    </row>
    <row r="56" spans="1:8" x14ac:dyDescent="0.3">
      <c r="A56"/>
      <c r="B56"/>
      <c r="C56"/>
      <c r="D56"/>
      <c r="E56"/>
      <c r="F56"/>
      <c r="G56"/>
      <c r="H56"/>
    </row>
    <row r="57" spans="1:8" x14ac:dyDescent="0.3">
      <c r="A57"/>
      <c r="B57"/>
      <c r="C57"/>
      <c r="D57"/>
      <c r="E57"/>
      <c r="F57"/>
      <c r="G57"/>
      <c r="H57"/>
    </row>
    <row r="58" spans="1:8" x14ac:dyDescent="0.3">
      <c r="A58"/>
      <c r="B58"/>
      <c r="C58"/>
      <c r="D58"/>
      <c r="E58"/>
      <c r="F58"/>
      <c r="G58"/>
      <c r="H58"/>
    </row>
    <row r="59" spans="1:8" x14ac:dyDescent="0.3">
      <c r="A59"/>
      <c r="B59"/>
      <c r="C59"/>
      <c r="D59"/>
      <c r="E59"/>
      <c r="F59"/>
      <c r="G59"/>
      <c r="H59"/>
    </row>
    <row r="60" spans="1:8" x14ac:dyDescent="0.3">
      <c r="A60"/>
      <c r="B60"/>
      <c r="C60"/>
      <c r="D60"/>
      <c r="E60"/>
      <c r="F60"/>
      <c r="G60"/>
      <c r="H60"/>
    </row>
    <row r="61" spans="1:8" x14ac:dyDescent="0.3">
      <c r="A61"/>
      <c r="B61"/>
      <c r="C61"/>
      <c r="D61"/>
      <c r="E61"/>
      <c r="F61"/>
      <c r="G61"/>
      <c r="H61"/>
    </row>
    <row r="62" spans="1:8" x14ac:dyDescent="0.3">
      <c r="A62"/>
      <c r="B62"/>
      <c r="C62"/>
      <c r="D62"/>
      <c r="E62"/>
      <c r="F62"/>
      <c r="G62"/>
      <c r="H62"/>
    </row>
    <row r="63" spans="1:8" x14ac:dyDescent="0.3">
      <c r="A63"/>
      <c r="B63"/>
      <c r="C63"/>
      <c r="D63"/>
      <c r="E63"/>
      <c r="F63"/>
      <c r="G63"/>
      <c r="H63"/>
    </row>
    <row r="64" spans="1:8" x14ac:dyDescent="0.3">
      <c r="A64"/>
      <c r="B64"/>
      <c r="C64"/>
      <c r="D64"/>
      <c r="E64"/>
      <c r="F64"/>
      <c r="G64"/>
      <c r="H64"/>
    </row>
    <row r="65" spans="1:8" x14ac:dyDescent="0.3">
      <c r="A65"/>
      <c r="B65"/>
      <c r="C65"/>
      <c r="D65"/>
      <c r="E65"/>
      <c r="F65"/>
      <c r="G65"/>
      <c r="H65"/>
    </row>
    <row r="66" spans="1:8" x14ac:dyDescent="0.3">
      <c r="A66"/>
      <c r="B66"/>
      <c r="C66"/>
      <c r="D66"/>
      <c r="E66"/>
      <c r="F66"/>
      <c r="G66"/>
      <c r="H66"/>
    </row>
    <row r="67" spans="1:8" x14ac:dyDescent="0.3">
      <c r="A67"/>
      <c r="B67"/>
      <c r="C67"/>
      <c r="D67"/>
      <c r="E67"/>
      <c r="F67"/>
      <c r="G67"/>
      <c r="H67"/>
    </row>
    <row r="68" spans="1:8" x14ac:dyDescent="0.3">
      <c r="A68"/>
      <c r="B68"/>
      <c r="C68"/>
      <c r="D68"/>
      <c r="E68"/>
      <c r="F68"/>
      <c r="G68"/>
      <c r="H68"/>
    </row>
    <row r="69" spans="1:8" x14ac:dyDescent="0.3">
      <c r="A69"/>
    </row>
    <row r="70" spans="1:8" x14ac:dyDescent="0.3">
      <c r="A70"/>
    </row>
    <row r="71" spans="1:8" x14ac:dyDescent="0.3">
      <c r="A71"/>
    </row>
    <row r="72" spans="1:8" x14ac:dyDescent="0.3">
      <c r="A72"/>
    </row>
    <row r="73" spans="1:8" x14ac:dyDescent="0.3">
      <c r="A73"/>
    </row>
    <row r="74" spans="1:8" x14ac:dyDescent="0.3">
      <c r="A74"/>
    </row>
    <row r="75" spans="1:8" x14ac:dyDescent="0.3">
      <c r="A75"/>
    </row>
    <row r="76" spans="1:8" x14ac:dyDescent="0.3">
      <c r="A76"/>
    </row>
    <row r="77" spans="1:8" x14ac:dyDescent="0.3">
      <c r="A77"/>
    </row>
    <row r="78" spans="1:8" x14ac:dyDescent="0.3">
      <c r="A78"/>
    </row>
    <row r="79" spans="1:8" x14ac:dyDescent="0.3">
      <c r="A79"/>
    </row>
    <row r="80" spans="1:8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</sheetData>
  <mergeCells count="2">
    <mergeCell ref="I1:J1"/>
    <mergeCell ref="K1:L1"/>
  </mergeCells>
  <pageMargins left="0.7" right="0.7" top="0.75" bottom="0.75" header="0.3" footer="0.3"/>
  <ignoredErrors>
    <ignoredError sqref="K3:K13 I3:I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4E3D-5617-457B-B353-5DD265BA7B72}">
  <dimension ref="A1:EB27"/>
  <sheetViews>
    <sheetView workbookViewId="0">
      <selection activeCell="J3" sqref="J3"/>
    </sheetView>
  </sheetViews>
  <sheetFormatPr defaultRowHeight="14.4" x14ac:dyDescent="0.3"/>
  <cols>
    <col min="1" max="1" width="22.6640625" style="64" bestFit="1" customWidth="1"/>
    <col min="2" max="2" width="12.44140625" style="64" customWidth="1"/>
    <col min="3" max="7" width="10.6640625" style="64" customWidth="1"/>
    <col min="8" max="8" width="12.109375" style="64" hidden="1" customWidth="1"/>
    <col min="9" max="9" width="14" style="64" bestFit="1" customWidth="1"/>
    <col min="10" max="10" width="12.21875" style="64" customWidth="1"/>
    <col min="11" max="12" width="11.21875" style="64" customWidth="1"/>
    <col min="13" max="13" width="9.44140625" style="28" bestFit="1" customWidth="1"/>
    <col min="14" max="14" width="27" style="28" bestFit="1" customWidth="1"/>
    <col min="15" max="15" width="10.5546875" style="28" bestFit="1" customWidth="1"/>
    <col min="16" max="16" width="15.77734375" style="28" bestFit="1" customWidth="1"/>
    <col min="17" max="18" width="9.44140625" style="28" bestFit="1" customWidth="1"/>
    <col min="19" max="19" width="21.44140625" style="28" bestFit="1" customWidth="1"/>
    <col min="20" max="20" width="28.109375" style="28" bestFit="1" customWidth="1"/>
    <col min="21" max="21" width="9.44140625" style="28" bestFit="1" customWidth="1"/>
    <col min="22" max="22" width="12.33203125" style="28" bestFit="1" customWidth="1"/>
    <col min="23" max="23" width="16.33203125" style="28" bestFit="1" customWidth="1"/>
    <col min="24" max="24" width="8.77734375" style="28" bestFit="1" customWidth="1"/>
    <col min="25" max="25" width="22.77734375" style="28" bestFit="1" customWidth="1"/>
    <col min="26" max="26" width="15" style="28" bestFit="1" customWidth="1"/>
    <col min="27" max="27" width="9.44140625" style="28" bestFit="1" customWidth="1"/>
    <col min="28" max="28" width="19.33203125" style="28" bestFit="1" customWidth="1"/>
    <col min="29" max="29" width="19" style="28" bestFit="1" customWidth="1"/>
    <col min="30" max="30" width="25" style="28" bestFit="1" customWidth="1"/>
    <col min="31" max="31" width="10.5546875" style="28" bestFit="1" customWidth="1"/>
    <col min="32" max="32" width="14.44140625" style="28" bestFit="1" customWidth="1"/>
    <col min="33" max="33" width="40.5546875" style="28" bestFit="1" customWidth="1"/>
    <col min="34" max="34" width="11.21875" style="28" bestFit="1" customWidth="1"/>
    <col min="35" max="35" width="11.44140625" style="28" bestFit="1" customWidth="1"/>
    <col min="36" max="36" width="13.109375" style="28" bestFit="1" customWidth="1"/>
    <col min="37" max="37" width="7.88671875" style="28" bestFit="1" customWidth="1"/>
    <col min="38" max="38" width="14.6640625" style="28" bestFit="1" customWidth="1"/>
    <col min="39" max="39" width="13.44140625" style="28" bestFit="1" customWidth="1"/>
    <col min="40" max="40" width="15.6640625" style="28" bestFit="1" customWidth="1"/>
    <col min="41" max="41" width="16.44140625" style="28" bestFit="1" customWidth="1"/>
    <col min="42" max="42" width="31" style="28" bestFit="1" customWidth="1"/>
    <col min="43" max="43" width="18.21875" style="28" bestFit="1" customWidth="1"/>
    <col min="44" max="44" width="19.33203125" style="28" bestFit="1" customWidth="1"/>
    <col min="45" max="45" width="12.109375" style="28" bestFit="1" customWidth="1"/>
    <col min="46" max="46" width="31" style="28" bestFit="1" customWidth="1"/>
    <col min="47" max="47" width="21.109375" style="28" bestFit="1" customWidth="1"/>
    <col min="48" max="48" width="9.44140625" style="28" bestFit="1" customWidth="1"/>
    <col min="49" max="50" width="10.6640625" style="28" bestFit="1" customWidth="1"/>
    <col min="51" max="51" width="13.5546875" style="28" bestFit="1" customWidth="1"/>
    <col min="52" max="52" width="12.33203125" style="28" bestFit="1" customWidth="1"/>
    <col min="53" max="53" width="15.21875" style="28" bestFit="1" customWidth="1"/>
    <col min="54" max="54" width="10.88671875" style="28" bestFit="1" customWidth="1"/>
    <col min="55" max="55" width="9.44140625" style="28" bestFit="1" customWidth="1"/>
    <col min="56" max="56" width="7.88671875" style="28" bestFit="1" customWidth="1"/>
    <col min="57" max="57" width="9.77734375" style="28" bestFit="1" customWidth="1"/>
    <col min="58" max="58" width="18.88671875" style="28" bestFit="1" customWidth="1"/>
    <col min="59" max="59" width="21.77734375" style="28" bestFit="1" customWidth="1"/>
    <col min="60" max="61" width="9.44140625" style="28" bestFit="1" customWidth="1"/>
    <col min="62" max="63" width="10.44140625" style="28" bestFit="1" customWidth="1"/>
    <col min="64" max="64" width="14.5546875" style="28" bestFit="1" customWidth="1"/>
    <col min="65" max="65" width="17.5546875" style="28" bestFit="1" customWidth="1"/>
    <col min="66" max="66" width="10.44140625" style="28" bestFit="1" customWidth="1"/>
    <col min="67" max="67" width="11.109375" style="28" bestFit="1" customWidth="1"/>
    <col min="68" max="68" width="16.6640625" style="28" bestFit="1" customWidth="1"/>
    <col min="69" max="69" width="19.5546875" style="28" bestFit="1" customWidth="1"/>
    <col min="70" max="70" width="9.77734375" style="28" bestFit="1" customWidth="1"/>
    <col min="71" max="71" width="12.5546875" style="28" bestFit="1" customWidth="1"/>
    <col min="72" max="72" width="12.77734375" style="28" bestFit="1" customWidth="1"/>
    <col min="73" max="73" width="16.6640625" style="28" bestFit="1" customWidth="1"/>
    <col min="74" max="74" width="15.77734375" style="28" bestFit="1" customWidth="1"/>
    <col min="75" max="75" width="19" style="28" bestFit="1" customWidth="1"/>
    <col min="76" max="76" width="25" style="28" bestFit="1" customWidth="1"/>
    <col min="77" max="77" width="15.6640625" style="28" bestFit="1" customWidth="1"/>
    <col min="78" max="78" width="7.21875" style="28" bestFit="1" customWidth="1"/>
    <col min="79" max="79" width="8.77734375" style="28" bestFit="1" customWidth="1"/>
    <col min="80" max="80" width="12.6640625" style="28" bestFit="1" customWidth="1"/>
    <col min="81" max="81" width="15.5546875" style="28" bestFit="1" customWidth="1"/>
    <col min="82" max="82" width="23" style="28" bestFit="1" customWidth="1"/>
    <col min="83" max="83" width="21.44140625" style="28" bestFit="1" customWidth="1"/>
    <col min="84" max="84" width="28.109375" style="28" bestFit="1" customWidth="1"/>
    <col min="85" max="85" width="25.88671875" style="28" bestFit="1" customWidth="1"/>
    <col min="86" max="86" width="7.88671875" style="28" bestFit="1" customWidth="1"/>
    <col min="87" max="87" width="10.109375" style="28" bestFit="1" customWidth="1"/>
    <col min="88" max="88" width="13.109375" style="28" bestFit="1" customWidth="1"/>
    <col min="89" max="89" width="11.109375" style="28" bestFit="1" customWidth="1"/>
    <col min="90" max="90" width="7.21875" style="28" bestFit="1" customWidth="1"/>
    <col min="91" max="91" width="8.77734375" style="28" bestFit="1" customWidth="1"/>
    <col min="92" max="92" width="16.77734375" style="28" bestFit="1" customWidth="1"/>
    <col min="93" max="93" width="19.6640625" style="28" bestFit="1" customWidth="1"/>
    <col min="94" max="94" width="9.44140625" style="28" bestFit="1" customWidth="1"/>
    <col min="95" max="95" width="7.88671875" style="28" bestFit="1" customWidth="1"/>
    <col min="96" max="96" width="14.6640625" style="28" bestFit="1" customWidth="1"/>
    <col min="97" max="97" width="9.44140625" style="28" bestFit="1" customWidth="1"/>
    <col min="98" max="98" width="10.44140625" style="28" bestFit="1" customWidth="1"/>
    <col min="99" max="99" width="13.33203125" style="28" bestFit="1" customWidth="1"/>
    <col min="100" max="100" width="15.5546875" style="28" bestFit="1" customWidth="1"/>
    <col min="101" max="101" width="11.77734375" style="28" bestFit="1" customWidth="1"/>
    <col min="102" max="102" width="19.88671875" style="28" bestFit="1" customWidth="1"/>
    <col min="103" max="103" width="22.77734375" style="28" bestFit="1" customWidth="1"/>
    <col min="104" max="104" width="12.109375" style="28" bestFit="1" customWidth="1"/>
    <col min="105" max="105" width="7.21875" style="28" bestFit="1" customWidth="1"/>
    <col min="106" max="106" width="8.77734375" style="28" bestFit="1" customWidth="1"/>
    <col min="107" max="107" width="7.88671875" style="28" bestFit="1" customWidth="1"/>
    <col min="108" max="108" width="10.109375" style="28" bestFit="1" customWidth="1"/>
    <col min="109" max="109" width="7.21875" style="28" bestFit="1" customWidth="1"/>
    <col min="110" max="110" width="8.77734375" style="28" bestFit="1" customWidth="1"/>
    <col min="111" max="111" width="16.77734375" style="28" bestFit="1" customWidth="1"/>
    <col min="112" max="112" width="19.6640625" style="28" bestFit="1" customWidth="1"/>
    <col min="113" max="113" width="11.88671875" style="28" bestFit="1" customWidth="1"/>
    <col min="114" max="114" width="12.109375" style="28" bestFit="1" customWidth="1"/>
    <col min="115" max="115" width="19.88671875" style="28" bestFit="1" customWidth="1"/>
    <col min="116" max="116" width="22.77734375" style="28" bestFit="1" customWidth="1"/>
    <col min="117" max="117" width="10.5546875" style="28" bestFit="1" customWidth="1"/>
    <col min="118" max="118" width="21.77734375" style="28" bestFit="1" customWidth="1"/>
    <col min="119" max="119" width="14.5546875" style="28" bestFit="1" customWidth="1"/>
    <col min="120" max="120" width="17.5546875" style="28" bestFit="1" customWidth="1"/>
    <col min="121" max="121" width="7.21875" style="28" bestFit="1" customWidth="1"/>
    <col min="122" max="122" width="8.77734375" style="28" bestFit="1" customWidth="1"/>
    <col min="123" max="123" width="21.6640625" style="28" bestFit="1" customWidth="1"/>
    <col min="124" max="124" width="12" style="28" bestFit="1" customWidth="1"/>
    <col min="125" max="125" width="7.33203125" style="28" bestFit="1" customWidth="1"/>
    <col min="126" max="126" width="10.109375" style="28" bestFit="1" customWidth="1"/>
    <col min="127" max="127" width="7.21875" style="28" bestFit="1" customWidth="1"/>
    <col min="128" max="128" width="8.77734375" style="28" bestFit="1" customWidth="1"/>
    <col min="129" max="129" width="16.77734375" style="28" bestFit="1" customWidth="1"/>
    <col min="130" max="130" width="19.6640625" style="28" bestFit="1" customWidth="1"/>
    <col min="131" max="131" width="11.88671875" style="28" bestFit="1" customWidth="1"/>
    <col min="132" max="132" width="10.5546875" style="28" bestFit="1" customWidth="1"/>
    <col min="133" max="16384" width="8.88671875" style="28"/>
  </cols>
  <sheetData>
    <row r="1" spans="1:132" x14ac:dyDescent="0.3">
      <c r="I1" s="93" t="s">
        <v>1166</v>
      </c>
      <c r="J1" s="93"/>
      <c r="K1" s="90" t="s">
        <v>1167</v>
      </c>
      <c r="L1" s="90"/>
    </row>
    <row r="2" spans="1:132" x14ac:dyDescent="0.3">
      <c r="A2" s="72" t="s">
        <v>644</v>
      </c>
      <c r="B2" s="63" t="s">
        <v>279</v>
      </c>
      <c r="C2" s="63" t="s">
        <v>280</v>
      </c>
      <c r="D2" s="63" t="s">
        <v>281</v>
      </c>
      <c r="E2" s="63" t="s">
        <v>699</v>
      </c>
      <c r="F2" s="63" t="s">
        <v>866</v>
      </c>
      <c r="G2" s="63" t="s">
        <v>1153</v>
      </c>
      <c r="H2" s="73"/>
      <c r="I2" s="94" t="s">
        <v>642</v>
      </c>
      <c r="J2" s="95" t="s">
        <v>1175</v>
      </c>
      <c r="K2" s="91" t="s">
        <v>643</v>
      </c>
      <c r="L2" s="91" t="s">
        <v>1171</v>
      </c>
    </row>
    <row r="3" spans="1:132" x14ac:dyDescent="0.3">
      <c r="A3" s="74" t="s">
        <v>968</v>
      </c>
      <c r="B3" s="62">
        <v>638</v>
      </c>
      <c r="C3" s="62">
        <v>319</v>
      </c>
      <c r="D3" s="62">
        <v>371.5</v>
      </c>
      <c r="E3" s="62">
        <v>199.52</v>
      </c>
      <c r="F3" s="62">
        <v>220.73</v>
      </c>
      <c r="G3" s="62">
        <v>167.6</v>
      </c>
      <c r="H3" s="74"/>
      <c r="I3" s="76">
        <f>SUM(E3:G3)/3</f>
        <v>195.95000000000002</v>
      </c>
      <c r="J3" s="76">
        <f>G3-I3</f>
        <v>-28.350000000000023</v>
      </c>
      <c r="K3" s="76">
        <f>SUM(B3:G3)/6</f>
        <v>319.39166666666665</v>
      </c>
      <c r="L3" s="76">
        <f>G3-K3</f>
        <v>-151.79166666666666</v>
      </c>
    </row>
    <row r="4" spans="1:132" x14ac:dyDescent="0.3">
      <c r="A4" s="74" t="s">
        <v>670</v>
      </c>
      <c r="B4" s="62">
        <v>24</v>
      </c>
      <c r="C4" s="62">
        <v>233.25</v>
      </c>
      <c r="D4" s="62"/>
      <c r="E4" s="62">
        <v>872.85</v>
      </c>
      <c r="F4" s="62">
        <v>103.86</v>
      </c>
      <c r="G4" s="62"/>
      <c r="H4" s="74"/>
      <c r="I4" s="76">
        <f t="shared" ref="I4:I10" si="0">SUM(E4:G4)/3</f>
        <v>325.57</v>
      </c>
      <c r="J4" s="76">
        <f t="shared" ref="J4:J12" si="1">G4-I4</f>
        <v>-325.57</v>
      </c>
      <c r="K4" s="76">
        <f t="shared" ref="K4:K12" si="2">SUM(B4:G4)/6</f>
        <v>205.65999999999997</v>
      </c>
      <c r="L4" s="76">
        <f t="shared" ref="L4:L12" si="3">G4-K4</f>
        <v>-205.65999999999997</v>
      </c>
    </row>
    <row r="5" spans="1:132" x14ac:dyDescent="0.3">
      <c r="A5" s="74" t="s">
        <v>34</v>
      </c>
      <c r="B5" s="62">
        <v>599</v>
      </c>
      <c r="C5" s="62"/>
      <c r="D5" s="62">
        <v>1260</v>
      </c>
      <c r="E5" s="62"/>
      <c r="F5" s="62">
        <v>1042.52</v>
      </c>
      <c r="G5" s="62">
        <v>299</v>
      </c>
      <c r="H5" s="74"/>
      <c r="I5" s="76">
        <f t="shared" si="0"/>
        <v>447.17333333333335</v>
      </c>
      <c r="J5" s="76">
        <f t="shared" si="1"/>
        <v>-148.17333333333335</v>
      </c>
      <c r="K5" s="76">
        <f t="shared" si="2"/>
        <v>533.41999999999996</v>
      </c>
      <c r="L5" s="76">
        <f t="shared" si="3"/>
        <v>-234.41999999999996</v>
      </c>
    </row>
    <row r="6" spans="1:132" x14ac:dyDescent="0.3">
      <c r="A6" s="74" t="s">
        <v>132</v>
      </c>
      <c r="B6" s="62"/>
      <c r="C6" s="62">
        <v>30000</v>
      </c>
      <c r="D6" s="62">
        <v>15516.56</v>
      </c>
      <c r="E6" s="62">
        <v>16397.52</v>
      </c>
      <c r="F6" s="62">
        <v>46741.58</v>
      </c>
      <c r="G6" s="62">
        <v>56341.58</v>
      </c>
      <c r="H6" s="74"/>
      <c r="I6" s="76">
        <f t="shared" si="0"/>
        <v>39826.893333333333</v>
      </c>
      <c r="J6" s="76">
        <f t="shared" si="1"/>
        <v>16514.686666666668</v>
      </c>
      <c r="K6" s="76">
        <f t="shared" si="2"/>
        <v>27499.539999999997</v>
      </c>
      <c r="L6" s="76">
        <f t="shared" si="3"/>
        <v>28842.040000000005</v>
      </c>
    </row>
    <row r="7" spans="1:132" x14ac:dyDescent="0.3">
      <c r="A7" s="74" t="s">
        <v>131</v>
      </c>
      <c r="B7" s="62">
        <v>615</v>
      </c>
      <c r="C7" s="62">
        <v>17076.39</v>
      </c>
      <c r="D7" s="62">
        <v>15522.109999999999</v>
      </c>
      <c r="E7" s="62">
        <v>15704.740000000002</v>
      </c>
      <c r="F7" s="62">
        <v>16745.48</v>
      </c>
      <c r="G7" s="62">
        <v>17244.78</v>
      </c>
      <c r="H7" s="74"/>
      <c r="I7" s="76">
        <f t="shared" si="0"/>
        <v>16565</v>
      </c>
      <c r="J7" s="76">
        <f t="shared" si="1"/>
        <v>679.77999999999884</v>
      </c>
      <c r="K7" s="76">
        <f t="shared" si="2"/>
        <v>13818.083333333334</v>
      </c>
      <c r="L7" s="76">
        <f t="shared" si="3"/>
        <v>3426.6966666666649</v>
      </c>
    </row>
    <row r="8" spans="1:132" x14ac:dyDescent="0.3">
      <c r="A8" s="74" t="s">
        <v>137</v>
      </c>
      <c r="B8" s="62">
        <v>3000</v>
      </c>
      <c r="C8" s="62">
        <v>5397.75</v>
      </c>
      <c r="D8" s="62">
        <v>10030.25</v>
      </c>
      <c r="E8" s="62">
        <v>12581</v>
      </c>
      <c r="F8" s="62">
        <v>119064.37</v>
      </c>
      <c r="G8" s="62">
        <v>18527.75</v>
      </c>
      <c r="H8" s="74"/>
      <c r="I8" s="76">
        <f t="shared" si="0"/>
        <v>50057.706666666665</v>
      </c>
      <c r="J8" s="76">
        <f t="shared" si="1"/>
        <v>-31529.956666666665</v>
      </c>
      <c r="K8" s="76">
        <f t="shared" si="2"/>
        <v>28100.186666666665</v>
      </c>
      <c r="L8" s="76">
        <f t="shared" si="3"/>
        <v>-9572.4366666666647</v>
      </c>
    </row>
    <row r="9" spans="1:132" x14ac:dyDescent="0.3">
      <c r="A9" s="74" t="s">
        <v>123</v>
      </c>
      <c r="B9" s="62">
        <v>2651.39</v>
      </c>
      <c r="C9" s="62">
        <v>3965.5399999999995</v>
      </c>
      <c r="D9" s="62">
        <v>499.11</v>
      </c>
      <c r="E9" s="62">
        <v>1801.92</v>
      </c>
      <c r="F9" s="62">
        <v>446.49</v>
      </c>
      <c r="G9" s="62">
        <v>269.49</v>
      </c>
      <c r="H9" s="74"/>
      <c r="I9" s="76">
        <f t="shared" si="0"/>
        <v>839.29999999999984</v>
      </c>
      <c r="J9" s="76">
        <f t="shared" si="1"/>
        <v>-569.80999999999983</v>
      </c>
      <c r="K9" s="76">
        <f t="shared" si="2"/>
        <v>1605.6566666666665</v>
      </c>
      <c r="L9" s="76">
        <f t="shared" si="3"/>
        <v>-1336.1666666666665</v>
      </c>
    </row>
    <row r="10" spans="1:132" x14ac:dyDescent="0.3">
      <c r="A10" s="74" t="s">
        <v>143</v>
      </c>
      <c r="B10" s="62">
        <v>27.97</v>
      </c>
      <c r="C10" s="62"/>
      <c r="D10" s="62">
        <v>1298.93</v>
      </c>
      <c r="E10" s="62"/>
      <c r="F10" s="62">
        <v>72267.14</v>
      </c>
      <c r="G10" s="62">
        <v>9651.1200000000008</v>
      </c>
      <c r="H10" s="74"/>
      <c r="I10" s="76">
        <f t="shared" si="0"/>
        <v>27306.086666666666</v>
      </c>
      <c r="J10" s="76">
        <f t="shared" si="1"/>
        <v>-17654.966666666667</v>
      </c>
      <c r="K10" s="76">
        <f t="shared" si="2"/>
        <v>13874.193333333331</v>
      </c>
      <c r="L10" s="76">
        <f t="shared" si="3"/>
        <v>-4223.0733333333301</v>
      </c>
    </row>
    <row r="11" spans="1:132" x14ac:dyDescent="0.3">
      <c r="A11" s="74" t="s">
        <v>134</v>
      </c>
      <c r="B11" s="62"/>
      <c r="C11" s="62">
        <v>16086.63</v>
      </c>
      <c r="D11" s="62">
        <v>7275.45</v>
      </c>
      <c r="E11" s="62">
        <v>5926.51</v>
      </c>
      <c r="F11" s="62">
        <v>1769.71</v>
      </c>
      <c r="G11" s="62"/>
      <c r="H11" s="74"/>
      <c r="I11" s="76">
        <f>SUM(E11:G11)/3</f>
        <v>2565.4066666666668</v>
      </c>
      <c r="J11" s="76">
        <f t="shared" si="1"/>
        <v>-2565.4066666666668</v>
      </c>
      <c r="K11" s="76">
        <f t="shared" si="2"/>
        <v>5176.3833333333323</v>
      </c>
      <c r="L11" s="76">
        <f t="shared" si="3"/>
        <v>-5176.3833333333323</v>
      </c>
    </row>
    <row r="12" spans="1:132" s="52" customFormat="1" x14ac:dyDescent="0.3">
      <c r="A12" s="75" t="s">
        <v>971</v>
      </c>
      <c r="B12" s="63">
        <v>7555.36</v>
      </c>
      <c r="C12" s="63">
        <v>73078.559999999998</v>
      </c>
      <c r="D12" s="63">
        <v>51773.909999999996</v>
      </c>
      <c r="E12" s="63">
        <v>53484.060000000005</v>
      </c>
      <c r="F12" s="63">
        <v>258401.87999999998</v>
      </c>
      <c r="G12" s="63">
        <v>102501.31999999999</v>
      </c>
      <c r="H12" s="75"/>
      <c r="I12" s="96">
        <f>SUM(E12:G12)/3</f>
        <v>138129.08666666667</v>
      </c>
      <c r="J12" s="96">
        <f t="shared" si="1"/>
        <v>-35627.766666666677</v>
      </c>
      <c r="K12" s="92">
        <f t="shared" si="2"/>
        <v>91132.514999999999</v>
      </c>
      <c r="L12" s="92">
        <f t="shared" si="3"/>
        <v>11368.804999999993</v>
      </c>
    </row>
    <row r="14" spans="1:132" x14ac:dyDescent="0.3">
      <c r="A14" s="70" t="s">
        <v>641</v>
      </c>
      <c r="B14" s="71"/>
      <c r="C14" s="71"/>
      <c r="D14" s="71">
        <v>-150000</v>
      </c>
      <c r="E14" s="71"/>
      <c r="F14" s="71">
        <v>-360000</v>
      </c>
      <c r="G14" s="71"/>
    </row>
    <row r="16" spans="1:132" x14ac:dyDescent="0.3">
      <c r="A16" s="78" t="s">
        <v>1163</v>
      </c>
      <c r="B16" s="78" t="s">
        <v>969</v>
      </c>
      <c r="C16" s="77"/>
      <c r="D16" s="77"/>
      <c r="E16" s="77"/>
      <c r="F16" s="77"/>
      <c r="G16" s="77"/>
      <c r="H16" s="77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</row>
    <row r="17" spans="1:132" x14ac:dyDescent="0.3">
      <c r="A17" s="78" t="s">
        <v>970</v>
      </c>
      <c r="B17" s="77" t="s">
        <v>279</v>
      </c>
      <c r="C17" s="77" t="s">
        <v>280</v>
      </c>
      <c r="D17" s="77" t="s">
        <v>281</v>
      </c>
      <c r="E17" s="77" t="s">
        <v>699</v>
      </c>
      <c r="F17" s="77" t="s">
        <v>866</v>
      </c>
      <c r="G17" s="77" t="s">
        <v>1153</v>
      </c>
      <c r="H17" s="77" t="s">
        <v>971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</row>
    <row r="18" spans="1:132" x14ac:dyDescent="0.3">
      <c r="A18" s="79" t="s">
        <v>968</v>
      </c>
      <c r="B18" s="77">
        <v>638</v>
      </c>
      <c r="C18" s="77">
        <v>319</v>
      </c>
      <c r="D18" s="77">
        <v>371.5</v>
      </c>
      <c r="E18" s="77">
        <v>199.52</v>
      </c>
      <c r="F18" s="77">
        <v>220.73</v>
      </c>
      <c r="G18" s="77">
        <v>167.6</v>
      </c>
      <c r="H18" s="77">
        <v>1916.35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</row>
    <row r="19" spans="1:132" x14ac:dyDescent="0.3">
      <c r="A19" s="79" t="s">
        <v>670</v>
      </c>
      <c r="B19" s="77">
        <v>24</v>
      </c>
      <c r="C19" s="77">
        <v>233.25</v>
      </c>
      <c r="D19" s="77"/>
      <c r="E19" s="77">
        <v>872.85</v>
      </c>
      <c r="F19" s="77">
        <v>103.86</v>
      </c>
      <c r="G19" s="77"/>
      <c r="H19" s="77">
        <v>1233.9599999999998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1:132" x14ac:dyDescent="0.3">
      <c r="A20" s="79" t="s">
        <v>34</v>
      </c>
      <c r="B20" s="77">
        <v>599</v>
      </c>
      <c r="C20" s="77"/>
      <c r="D20" s="77">
        <v>1260</v>
      </c>
      <c r="E20" s="77"/>
      <c r="F20" s="77">
        <v>1042.52</v>
      </c>
      <c r="G20" s="77">
        <v>299</v>
      </c>
      <c r="H20" s="77">
        <v>3200.52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1:132" x14ac:dyDescent="0.3">
      <c r="A21" s="79" t="s">
        <v>132</v>
      </c>
      <c r="B21" s="77"/>
      <c r="C21" s="77">
        <v>30000</v>
      </c>
      <c r="D21" s="77">
        <v>15516.56</v>
      </c>
      <c r="E21" s="77">
        <v>16397.52</v>
      </c>
      <c r="F21" s="77">
        <v>46741.58</v>
      </c>
      <c r="G21" s="77">
        <v>56341.58</v>
      </c>
      <c r="H21" s="77">
        <v>164997.24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1:132" x14ac:dyDescent="0.3">
      <c r="A22" s="79" t="s">
        <v>131</v>
      </c>
      <c r="B22" s="77">
        <v>615</v>
      </c>
      <c r="C22" s="77">
        <v>17076.39</v>
      </c>
      <c r="D22" s="77">
        <v>15522.109999999999</v>
      </c>
      <c r="E22" s="77">
        <v>15704.740000000002</v>
      </c>
      <c r="F22" s="77">
        <v>16745.48</v>
      </c>
      <c r="G22" s="77">
        <v>17244.78</v>
      </c>
      <c r="H22" s="77">
        <v>82908.5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1:132" x14ac:dyDescent="0.3">
      <c r="A23" s="79" t="s">
        <v>137</v>
      </c>
      <c r="B23" s="77">
        <v>3000</v>
      </c>
      <c r="C23" s="77">
        <v>5397.75</v>
      </c>
      <c r="D23" s="77">
        <v>10030.25</v>
      </c>
      <c r="E23" s="77">
        <v>12581</v>
      </c>
      <c r="F23" s="77">
        <v>119064.37</v>
      </c>
      <c r="G23" s="77">
        <v>18527.75</v>
      </c>
      <c r="H23" s="77">
        <v>168601.12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1:132" x14ac:dyDescent="0.3">
      <c r="A24" s="79" t="s">
        <v>123</v>
      </c>
      <c r="B24" s="77">
        <v>2651.39</v>
      </c>
      <c r="C24" s="77">
        <v>3965.5399999999995</v>
      </c>
      <c r="D24" s="77">
        <v>499.11</v>
      </c>
      <c r="E24" s="77">
        <v>1801.92</v>
      </c>
      <c r="F24" s="77">
        <v>446.49</v>
      </c>
      <c r="G24" s="77">
        <v>269.49</v>
      </c>
      <c r="H24" s="77">
        <v>9633.9399999999987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1:132" x14ac:dyDescent="0.3">
      <c r="A25" s="79" t="s">
        <v>143</v>
      </c>
      <c r="B25" s="77">
        <v>27.97</v>
      </c>
      <c r="C25" s="77"/>
      <c r="D25" s="77">
        <v>1298.93</v>
      </c>
      <c r="E25" s="77"/>
      <c r="F25" s="77">
        <v>72267.14</v>
      </c>
      <c r="G25" s="77">
        <v>9651.1200000000008</v>
      </c>
      <c r="H25" s="77">
        <v>83245.159999999989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1:132" x14ac:dyDescent="0.3">
      <c r="A26" s="79" t="s">
        <v>134</v>
      </c>
      <c r="B26" s="77"/>
      <c r="C26" s="77">
        <v>16086.63</v>
      </c>
      <c r="D26" s="77">
        <v>7275.45</v>
      </c>
      <c r="E26" s="77">
        <v>5926.51</v>
      </c>
      <c r="F26" s="77">
        <v>1769.71</v>
      </c>
      <c r="G26" s="77"/>
      <c r="H26" s="77">
        <v>31058.299999999996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1:132" x14ac:dyDescent="0.3">
      <c r="A27" s="79" t="s">
        <v>971</v>
      </c>
      <c r="B27" s="77">
        <v>7555.36</v>
      </c>
      <c r="C27" s="77">
        <v>73078.559999999998</v>
      </c>
      <c r="D27" s="77">
        <v>51773.909999999996</v>
      </c>
      <c r="E27" s="77">
        <v>53484.060000000005</v>
      </c>
      <c r="F27" s="77">
        <v>258401.87999999998</v>
      </c>
      <c r="G27" s="77">
        <v>102501.31999999999</v>
      </c>
      <c r="H27" s="77">
        <v>546795.09</v>
      </c>
    </row>
  </sheetData>
  <mergeCells count="2">
    <mergeCell ref="I1:J1"/>
    <mergeCell ref="K1:L1"/>
  </mergeCells>
  <pageMargins left="0.7" right="0.7" top="0.75" bottom="0.75" header="0.3" footer="0.3"/>
  <ignoredErrors>
    <ignoredError sqref="I3:I12" formulaRange="1"/>
    <ignoredError sqref="K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3470-566D-4EBF-AEE3-DC0ACC1BA4B1}">
  <dimension ref="A1:H2355"/>
  <sheetViews>
    <sheetView topLeftCell="A2329" workbookViewId="0">
      <selection sqref="A1:XFD1048576"/>
    </sheetView>
  </sheetViews>
  <sheetFormatPr defaultRowHeight="14.4" x14ac:dyDescent="0.3"/>
  <cols>
    <col min="1" max="1" width="24" style="16" customWidth="1"/>
    <col min="2" max="3" width="24" customWidth="1"/>
    <col min="4" max="4" width="25.77734375" customWidth="1"/>
    <col min="5" max="7" width="24" customWidth="1"/>
  </cols>
  <sheetData>
    <row r="1" spans="1:7" x14ac:dyDescent="0.3">
      <c r="A1" s="15" t="s">
        <v>28</v>
      </c>
      <c r="B1" s="13" t="s">
        <v>30</v>
      </c>
      <c r="C1" s="13" t="s">
        <v>31</v>
      </c>
      <c r="D1" s="13" t="s">
        <v>29</v>
      </c>
      <c r="E1" s="13" t="s">
        <v>32</v>
      </c>
      <c r="F1" s="13" t="s">
        <v>655</v>
      </c>
      <c r="G1" s="13" t="s">
        <v>33</v>
      </c>
    </row>
    <row r="2" spans="1:7" x14ac:dyDescent="0.3">
      <c r="A2" s="18">
        <v>46037</v>
      </c>
      <c r="B2" s="18" t="s">
        <v>618</v>
      </c>
      <c r="C2" s="18" t="s">
        <v>41</v>
      </c>
      <c r="D2" s="6" t="s">
        <v>60</v>
      </c>
      <c r="E2" s="6" t="s">
        <v>47</v>
      </c>
      <c r="F2" s="6" t="s">
        <v>659</v>
      </c>
      <c r="G2" s="7">
        <v>3719.02</v>
      </c>
    </row>
    <row r="3" spans="1:7" x14ac:dyDescent="0.3">
      <c r="A3" s="18">
        <v>46068</v>
      </c>
      <c r="B3" s="18" t="s">
        <v>618</v>
      </c>
      <c r="C3" s="18" t="s">
        <v>41</v>
      </c>
      <c r="D3" s="6" t="s">
        <v>60</v>
      </c>
      <c r="E3" s="6" t="s">
        <v>47</v>
      </c>
      <c r="F3" s="6" t="s">
        <v>659</v>
      </c>
      <c r="G3" s="7">
        <v>3096.41</v>
      </c>
    </row>
    <row r="4" spans="1:7" x14ac:dyDescent="0.3">
      <c r="A4" s="18">
        <v>46082</v>
      </c>
      <c r="B4" s="18" t="s">
        <v>618</v>
      </c>
      <c r="C4" s="18" t="s">
        <v>41</v>
      </c>
      <c r="D4" s="6" t="s">
        <v>60</v>
      </c>
      <c r="E4" s="6" t="s">
        <v>47</v>
      </c>
      <c r="F4" s="6" t="s">
        <v>659</v>
      </c>
      <c r="G4" s="7">
        <v>3123.35</v>
      </c>
    </row>
    <row r="5" spans="1:7" x14ac:dyDescent="0.3">
      <c r="A5" s="18">
        <v>46113</v>
      </c>
      <c r="B5" s="18" t="s">
        <v>618</v>
      </c>
      <c r="C5" s="18" t="s">
        <v>41</v>
      </c>
      <c r="D5" s="6" t="s">
        <v>60</v>
      </c>
      <c r="E5" s="6" t="s">
        <v>47</v>
      </c>
      <c r="F5" s="6" t="s">
        <v>659</v>
      </c>
      <c r="G5" s="7">
        <v>3921.07</v>
      </c>
    </row>
    <row r="6" spans="1:7" x14ac:dyDescent="0.3">
      <c r="A6" s="18">
        <v>46162</v>
      </c>
      <c r="B6" s="18" t="s">
        <v>618</v>
      </c>
      <c r="C6" s="18" t="s">
        <v>41</v>
      </c>
      <c r="D6" s="6" t="s">
        <v>60</v>
      </c>
      <c r="E6" s="6" t="s">
        <v>47</v>
      </c>
      <c r="F6" s="6" t="s">
        <v>659</v>
      </c>
      <c r="G6" s="7">
        <v>3165.7</v>
      </c>
    </row>
    <row r="7" spans="1:7" x14ac:dyDescent="0.3">
      <c r="A7" s="18">
        <v>46195</v>
      </c>
      <c r="B7" s="18" t="s">
        <v>618</v>
      </c>
      <c r="C7" s="18" t="s">
        <v>41</v>
      </c>
      <c r="D7" s="6" t="s">
        <v>60</v>
      </c>
      <c r="E7" s="6" t="s">
        <v>47</v>
      </c>
      <c r="F7" s="6" t="s">
        <v>659</v>
      </c>
      <c r="G7" s="7">
        <v>3681.5</v>
      </c>
    </row>
    <row r="8" spans="1:7" x14ac:dyDescent="0.3">
      <c r="A8" s="18">
        <v>46037</v>
      </c>
      <c r="B8" s="18" t="s">
        <v>618</v>
      </c>
      <c r="C8" s="18" t="s">
        <v>41</v>
      </c>
      <c r="D8" s="6" t="s">
        <v>53</v>
      </c>
      <c r="E8" s="6" t="s">
        <v>47</v>
      </c>
      <c r="F8" s="6" t="s">
        <v>659</v>
      </c>
      <c r="G8" s="7">
        <v>7454.86</v>
      </c>
    </row>
    <row r="9" spans="1:7" x14ac:dyDescent="0.3">
      <c r="A9" s="18">
        <v>46068</v>
      </c>
      <c r="B9" s="18" t="s">
        <v>618</v>
      </c>
      <c r="C9" s="18" t="s">
        <v>41</v>
      </c>
      <c r="D9" s="6" t="s">
        <v>53</v>
      </c>
      <c r="E9" s="6" t="s">
        <v>47</v>
      </c>
      <c r="F9" s="6" t="s">
        <v>659</v>
      </c>
      <c r="G9" s="7">
        <v>7372.84</v>
      </c>
    </row>
    <row r="10" spans="1:7" x14ac:dyDescent="0.3">
      <c r="A10" s="18">
        <v>46082</v>
      </c>
      <c r="B10" s="18" t="s">
        <v>618</v>
      </c>
      <c r="C10" s="18" t="s">
        <v>41</v>
      </c>
      <c r="D10" s="6" t="s">
        <v>53</v>
      </c>
      <c r="E10" s="6" t="s">
        <v>47</v>
      </c>
      <c r="F10" s="6" t="s">
        <v>659</v>
      </c>
      <c r="G10" s="7">
        <v>7569.74</v>
      </c>
    </row>
    <row r="11" spans="1:7" s="1" customFormat="1" x14ac:dyDescent="0.3">
      <c r="A11" s="18">
        <v>46113</v>
      </c>
      <c r="B11" s="18" t="s">
        <v>618</v>
      </c>
      <c r="C11" s="18" t="s">
        <v>41</v>
      </c>
      <c r="D11" s="6" t="s">
        <v>53</v>
      </c>
      <c r="E11" s="6" t="s">
        <v>47</v>
      </c>
      <c r="F11" s="6" t="s">
        <v>659</v>
      </c>
      <c r="G11" s="7">
        <v>8403.94</v>
      </c>
    </row>
    <row r="12" spans="1:7" x14ac:dyDescent="0.3">
      <c r="A12" s="18">
        <v>46163</v>
      </c>
      <c r="B12" s="18" t="s">
        <v>618</v>
      </c>
      <c r="C12" s="18" t="s">
        <v>41</v>
      </c>
      <c r="D12" s="6" t="s">
        <v>53</v>
      </c>
      <c r="E12" s="6" t="s">
        <v>47</v>
      </c>
      <c r="F12" s="6" t="s">
        <v>659</v>
      </c>
      <c r="G12" s="9">
        <v>9616.9</v>
      </c>
    </row>
    <row r="13" spans="1:7" x14ac:dyDescent="0.3">
      <c r="A13" s="18">
        <v>46195</v>
      </c>
      <c r="B13" s="18" t="s">
        <v>618</v>
      </c>
      <c r="C13" s="18" t="s">
        <v>41</v>
      </c>
      <c r="D13" s="6" t="s">
        <v>53</v>
      </c>
      <c r="E13" s="6" t="s">
        <v>47</v>
      </c>
      <c r="F13" s="6" t="s">
        <v>659</v>
      </c>
      <c r="G13" s="9">
        <v>7756.04</v>
      </c>
    </row>
    <row r="14" spans="1:7" x14ac:dyDescent="0.3">
      <c r="A14" s="18">
        <v>46182</v>
      </c>
      <c r="B14" s="18" t="s">
        <v>618</v>
      </c>
      <c r="C14" s="18" t="s">
        <v>39</v>
      </c>
      <c r="D14" s="6" t="s">
        <v>824</v>
      </c>
      <c r="E14" s="10" t="s">
        <v>47</v>
      </c>
      <c r="F14" s="6" t="s">
        <v>659</v>
      </c>
      <c r="G14" s="36">
        <v>992.57</v>
      </c>
    </row>
    <row r="15" spans="1:7" x14ac:dyDescent="0.3">
      <c r="A15" s="18">
        <v>46049</v>
      </c>
      <c r="B15" s="18" t="s">
        <v>618</v>
      </c>
      <c r="C15" s="18" t="s">
        <v>39</v>
      </c>
      <c r="D15" s="6" t="s">
        <v>824</v>
      </c>
      <c r="E15" s="6" t="s">
        <v>47</v>
      </c>
      <c r="F15" s="6" t="s">
        <v>659</v>
      </c>
      <c r="G15" s="7">
        <v>104.5</v>
      </c>
    </row>
    <row r="16" spans="1:7" x14ac:dyDescent="0.3">
      <c r="A16" s="18">
        <v>46113</v>
      </c>
      <c r="B16" s="18" t="s">
        <v>618</v>
      </c>
      <c r="C16" s="18" t="s">
        <v>39</v>
      </c>
      <c r="D16" s="6" t="s">
        <v>824</v>
      </c>
      <c r="E16" s="6" t="s">
        <v>47</v>
      </c>
      <c r="F16" s="6" t="s">
        <v>659</v>
      </c>
      <c r="G16" s="7">
        <v>4299.4399999999996</v>
      </c>
    </row>
    <row r="17" spans="1:7" x14ac:dyDescent="0.3">
      <c r="A17" s="18">
        <v>46113</v>
      </c>
      <c r="B17" s="18" t="s">
        <v>618</v>
      </c>
      <c r="C17" s="18" t="s">
        <v>39</v>
      </c>
      <c r="D17" s="6" t="s">
        <v>824</v>
      </c>
      <c r="E17" s="6" t="s">
        <v>47</v>
      </c>
      <c r="F17" s="6" t="s">
        <v>659</v>
      </c>
      <c r="G17" s="7">
        <v>2800.09</v>
      </c>
    </row>
    <row r="18" spans="1:7" x14ac:dyDescent="0.3">
      <c r="A18" s="18">
        <v>46154</v>
      </c>
      <c r="B18" s="18" t="s">
        <v>618</v>
      </c>
      <c r="C18" s="18" t="s">
        <v>39</v>
      </c>
      <c r="D18" s="6" t="s">
        <v>824</v>
      </c>
      <c r="E18" s="10" t="s">
        <v>47</v>
      </c>
      <c r="F18" s="6" t="s">
        <v>659</v>
      </c>
      <c r="G18" s="36">
        <v>901.16</v>
      </c>
    </row>
    <row r="19" spans="1:7" x14ac:dyDescent="0.3">
      <c r="A19" s="18">
        <v>46163</v>
      </c>
      <c r="B19" s="18" t="s">
        <v>618</v>
      </c>
      <c r="C19" s="18" t="s">
        <v>39</v>
      </c>
      <c r="D19" s="6" t="s">
        <v>824</v>
      </c>
      <c r="E19" s="6" t="s">
        <v>47</v>
      </c>
      <c r="F19" s="6" t="s">
        <v>659</v>
      </c>
      <c r="G19" s="7">
        <v>930.72</v>
      </c>
    </row>
    <row r="20" spans="1:7" x14ac:dyDescent="0.3">
      <c r="A20" s="18">
        <v>46055</v>
      </c>
      <c r="B20" s="18" t="s">
        <v>618</v>
      </c>
      <c r="C20" s="18" t="s">
        <v>39</v>
      </c>
      <c r="D20" s="6" t="s">
        <v>40</v>
      </c>
      <c r="E20" s="6" t="s">
        <v>47</v>
      </c>
      <c r="F20" s="6" t="s">
        <v>659</v>
      </c>
      <c r="G20" s="7">
        <v>4744.43</v>
      </c>
    </row>
    <row r="21" spans="1:7" x14ac:dyDescent="0.3">
      <c r="A21" s="18">
        <v>46083</v>
      </c>
      <c r="B21" s="18" t="s">
        <v>618</v>
      </c>
      <c r="C21" s="18" t="s">
        <v>39</v>
      </c>
      <c r="D21" s="6" t="s">
        <v>40</v>
      </c>
      <c r="E21" s="6" t="s">
        <v>47</v>
      </c>
      <c r="F21" s="6" t="s">
        <v>659</v>
      </c>
      <c r="G21" s="7">
        <v>1717.56</v>
      </c>
    </row>
    <row r="22" spans="1:7" x14ac:dyDescent="0.3">
      <c r="A22" s="18">
        <v>46113</v>
      </c>
      <c r="B22" s="18" t="s">
        <v>618</v>
      </c>
      <c r="C22" s="18" t="s">
        <v>39</v>
      </c>
      <c r="D22" s="6" t="s">
        <v>40</v>
      </c>
      <c r="E22" s="6" t="s">
        <v>47</v>
      </c>
      <c r="F22" s="6" t="s">
        <v>659</v>
      </c>
      <c r="G22" s="7">
        <v>1594.32</v>
      </c>
    </row>
    <row r="23" spans="1:7" x14ac:dyDescent="0.3">
      <c r="A23" s="18">
        <v>46146</v>
      </c>
      <c r="B23" s="18" t="s">
        <v>618</v>
      </c>
      <c r="C23" s="18" t="s">
        <v>39</v>
      </c>
      <c r="D23" s="6" t="s">
        <v>40</v>
      </c>
      <c r="E23" s="6" t="s">
        <v>47</v>
      </c>
      <c r="F23" s="6" t="s">
        <v>659</v>
      </c>
      <c r="G23" s="3">
        <v>1573.02</v>
      </c>
    </row>
    <row r="24" spans="1:7" x14ac:dyDescent="0.3">
      <c r="A24" s="18">
        <v>46174</v>
      </c>
      <c r="B24" s="18" t="s">
        <v>618</v>
      </c>
      <c r="C24" s="18" t="s">
        <v>39</v>
      </c>
      <c r="D24" s="6" t="s">
        <v>40</v>
      </c>
      <c r="E24" s="6" t="s">
        <v>47</v>
      </c>
      <c r="F24" s="6" t="s">
        <v>659</v>
      </c>
      <c r="G24" s="3">
        <v>2514.9</v>
      </c>
    </row>
    <row r="25" spans="1:7" x14ac:dyDescent="0.3">
      <c r="A25" s="18">
        <v>46032</v>
      </c>
      <c r="B25" s="18" t="s">
        <v>618</v>
      </c>
      <c r="C25" s="18" t="s">
        <v>39</v>
      </c>
      <c r="D25" s="6" t="s">
        <v>69</v>
      </c>
      <c r="E25" s="6" t="s">
        <v>47</v>
      </c>
      <c r="F25" s="6" t="s">
        <v>659</v>
      </c>
      <c r="G25" s="7">
        <v>10.63</v>
      </c>
    </row>
    <row r="26" spans="1:7" x14ac:dyDescent="0.3">
      <c r="A26" s="18">
        <v>46032</v>
      </c>
      <c r="B26" s="18" t="s">
        <v>618</v>
      </c>
      <c r="C26" s="18" t="s">
        <v>39</v>
      </c>
      <c r="D26" s="6" t="s">
        <v>69</v>
      </c>
      <c r="E26" s="6" t="s">
        <v>47</v>
      </c>
      <c r="F26" s="6" t="s">
        <v>659</v>
      </c>
      <c r="G26" s="7">
        <v>285.89</v>
      </c>
    </row>
    <row r="27" spans="1:7" x14ac:dyDescent="0.3">
      <c r="A27" s="18">
        <v>46058</v>
      </c>
      <c r="B27" s="18" t="s">
        <v>618</v>
      </c>
      <c r="C27" s="18" t="s">
        <v>39</v>
      </c>
      <c r="D27" s="6" t="s">
        <v>69</v>
      </c>
      <c r="E27" s="6" t="s">
        <v>47</v>
      </c>
      <c r="F27" s="6" t="s">
        <v>659</v>
      </c>
      <c r="G27" s="7">
        <v>420.89</v>
      </c>
    </row>
    <row r="28" spans="1:7" x14ac:dyDescent="0.3">
      <c r="A28" s="18">
        <v>46086</v>
      </c>
      <c r="B28" s="18" t="s">
        <v>618</v>
      </c>
      <c r="C28" s="18" t="s">
        <v>39</v>
      </c>
      <c r="D28" s="6" t="s">
        <v>69</v>
      </c>
      <c r="E28" s="6" t="s">
        <v>47</v>
      </c>
      <c r="F28" s="6" t="s">
        <v>659</v>
      </c>
      <c r="G28" s="7">
        <v>699.9</v>
      </c>
    </row>
    <row r="29" spans="1:7" x14ac:dyDescent="0.3">
      <c r="A29" s="18">
        <v>46113</v>
      </c>
      <c r="B29" s="18" t="s">
        <v>618</v>
      </c>
      <c r="C29" s="18" t="s">
        <v>39</v>
      </c>
      <c r="D29" s="6" t="s">
        <v>69</v>
      </c>
      <c r="E29" s="6" t="s">
        <v>47</v>
      </c>
      <c r="F29" s="6" t="s">
        <v>659</v>
      </c>
      <c r="G29" s="7">
        <v>699.9</v>
      </c>
    </row>
    <row r="30" spans="1:7" x14ac:dyDescent="0.3">
      <c r="A30" s="18">
        <v>46147</v>
      </c>
      <c r="B30" s="18" t="s">
        <v>618</v>
      </c>
      <c r="C30" s="18" t="s">
        <v>39</v>
      </c>
      <c r="D30" s="8" t="s">
        <v>69</v>
      </c>
      <c r="E30" s="8" t="s">
        <v>47</v>
      </c>
      <c r="F30" s="6" t="s">
        <v>659</v>
      </c>
      <c r="G30" s="9">
        <v>736.8</v>
      </c>
    </row>
    <row r="31" spans="1:7" x14ac:dyDescent="0.3">
      <c r="A31" s="18">
        <v>46176</v>
      </c>
      <c r="B31" s="18" t="s">
        <v>618</v>
      </c>
      <c r="C31" s="18" t="s">
        <v>39</v>
      </c>
      <c r="D31" s="6" t="s">
        <v>69</v>
      </c>
      <c r="E31" s="6" t="s">
        <v>47</v>
      </c>
      <c r="F31" s="6" t="s">
        <v>659</v>
      </c>
      <c r="G31" s="9">
        <v>735.56</v>
      </c>
    </row>
    <row r="32" spans="1:7" x14ac:dyDescent="0.3">
      <c r="A32" s="18">
        <v>46171</v>
      </c>
      <c r="B32" s="18" t="s">
        <v>618</v>
      </c>
      <c r="C32" s="18" t="s">
        <v>45</v>
      </c>
      <c r="D32" s="8" t="s">
        <v>870</v>
      </c>
      <c r="E32" s="8" t="s">
        <v>47</v>
      </c>
      <c r="F32" s="6" t="s">
        <v>659</v>
      </c>
      <c r="G32" s="9">
        <v>250</v>
      </c>
    </row>
    <row r="33" spans="1:7" x14ac:dyDescent="0.3">
      <c r="A33" s="18">
        <v>46167</v>
      </c>
      <c r="B33" s="18" t="s">
        <v>618</v>
      </c>
      <c r="C33" s="18" t="s">
        <v>45</v>
      </c>
      <c r="D33" s="37" t="s">
        <v>815</v>
      </c>
      <c r="E33" s="37" t="s">
        <v>47</v>
      </c>
      <c r="F33" s="6" t="s">
        <v>659</v>
      </c>
      <c r="G33" s="9">
        <v>570</v>
      </c>
    </row>
    <row r="34" spans="1:7" x14ac:dyDescent="0.3">
      <c r="A34" s="18">
        <v>46024</v>
      </c>
      <c r="B34" s="18" t="s">
        <v>618</v>
      </c>
      <c r="C34" s="18" t="s">
        <v>45</v>
      </c>
      <c r="D34" s="6" t="s">
        <v>82</v>
      </c>
      <c r="E34" s="6" t="s">
        <v>47</v>
      </c>
      <c r="F34" s="6" t="s">
        <v>659</v>
      </c>
      <c r="G34" s="7">
        <v>500</v>
      </c>
    </row>
    <row r="35" spans="1:7" x14ac:dyDescent="0.3">
      <c r="A35" s="18">
        <v>46049</v>
      </c>
      <c r="B35" s="18" t="s">
        <v>618</v>
      </c>
      <c r="C35" s="18" t="s">
        <v>45</v>
      </c>
      <c r="D35" s="6" t="s">
        <v>82</v>
      </c>
      <c r="E35" s="6" t="s">
        <v>47</v>
      </c>
      <c r="F35" s="6" t="s">
        <v>659</v>
      </c>
      <c r="G35" s="7">
        <v>1340</v>
      </c>
    </row>
    <row r="36" spans="1:7" x14ac:dyDescent="0.3">
      <c r="A36" s="18">
        <v>46055</v>
      </c>
      <c r="B36" s="18" t="s">
        <v>618</v>
      </c>
      <c r="C36" s="18" t="s">
        <v>45</v>
      </c>
      <c r="D36" s="6" t="s">
        <v>82</v>
      </c>
      <c r="E36" s="6" t="s">
        <v>47</v>
      </c>
      <c r="F36" s="6" t="s">
        <v>659</v>
      </c>
      <c r="G36" s="7">
        <v>500</v>
      </c>
    </row>
    <row r="37" spans="1:7" x14ac:dyDescent="0.3">
      <c r="A37" s="18">
        <v>46097</v>
      </c>
      <c r="B37" s="18" t="s">
        <v>618</v>
      </c>
      <c r="C37" s="18" t="s">
        <v>45</v>
      </c>
      <c r="D37" s="6" t="s">
        <v>82</v>
      </c>
      <c r="E37" s="6" t="s">
        <v>47</v>
      </c>
      <c r="F37" s="6" t="s">
        <v>659</v>
      </c>
      <c r="G37" s="7">
        <v>3600</v>
      </c>
    </row>
    <row r="38" spans="1:7" x14ac:dyDescent="0.3">
      <c r="A38" s="18">
        <v>46113</v>
      </c>
      <c r="B38" s="18" t="s">
        <v>618</v>
      </c>
      <c r="C38" s="18" t="s">
        <v>45</v>
      </c>
      <c r="D38" s="6" t="s">
        <v>82</v>
      </c>
      <c r="E38" s="6" t="s">
        <v>47</v>
      </c>
      <c r="F38" s="6" t="s">
        <v>659</v>
      </c>
      <c r="G38" s="7">
        <v>3600</v>
      </c>
    </row>
    <row r="39" spans="1:7" x14ac:dyDescent="0.3">
      <c r="A39" s="18">
        <v>46157</v>
      </c>
      <c r="B39" s="18" t="s">
        <v>618</v>
      </c>
      <c r="C39" s="18" t="s">
        <v>45</v>
      </c>
      <c r="D39" s="6" t="s">
        <v>82</v>
      </c>
      <c r="E39" s="6" t="s">
        <v>47</v>
      </c>
      <c r="F39" s="6" t="s">
        <v>659</v>
      </c>
      <c r="G39" s="3">
        <v>3600</v>
      </c>
    </row>
    <row r="40" spans="1:7" x14ac:dyDescent="0.3">
      <c r="A40" s="18">
        <v>46188</v>
      </c>
      <c r="B40" s="18" t="s">
        <v>618</v>
      </c>
      <c r="C40" s="18" t="s">
        <v>45</v>
      </c>
      <c r="D40" s="6" t="s">
        <v>82</v>
      </c>
      <c r="E40" s="6" t="s">
        <v>47</v>
      </c>
      <c r="F40" s="6" t="s">
        <v>659</v>
      </c>
      <c r="G40" s="3">
        <v>3600</v>
      </c>
    </row>
    <row r="41" spans="1:7" x14ac:dyDescent="0.3">
      <c r="A41" s="18">
        <v>46189</v>
      </c>
      <c r="B41" s="46" t="s">
        <v>618</v>
      </c>
      <c r="C41" s="46" t="s">
        <v>45</v>
      </c>
      <c r="D41" s="6" t="s">
        <v>997</v>
      </c>
      <c r="E41" s="6" t="s">
        <v>47</v>
      </c>
      <c r="F41" s="6" t="s">
        <v>659</v>
      </c>
      <c r="G41" s="7">
        <v>2000</v>
      </c>
    </row>
    <row r="42" spans="1:7" x14ac:dyDescent="0.3">
      <c r="A42" s="18">
        <v>46189</v>
      </c>
      <c r="B42" s="46" t="s">
        <v>618</v>
      </c>
      <c r="C42" s="46" t="s">
        <v>45</v>
      </c>
      <c r="D42" s="6" t="s">
        <v>997</v>
      </c>
      <c r="E42" s="6" t="s">
        <v>47</v>
      </c>
      <c r="F42" s="6" t="s">
        <v>659</v>
      </c>
      <c r="G42" s="7">
        <v>2000</v>
      </c>
    </row>
    <row r="43" spans="1:7" x14ac:dyDescent="0.3">
      <c r="A43" s="18">
        <v>46196</v>
      </c>
      <c r="B43" s="46" t="s">
        <v>618</v>
      </c>
      <c r="C43" s="46" t="s">
        <v>45</v>
      </c>
      <c r="D43" s="6" t="s">
        <v>997</v>
      </c>
      <c r="E43" s="6" t="s">
        <v>47</v>
      </c>
      <c r="F43" s="6" t="s">
        <v>659</v>
      </c>
      <c r="G43" s="9">
        <v>4425</v>
      </c>
    </row>
    <row r="44" spans="1:7" x14ac:dyDescent="0.3">
      <c r="A44" s="18">
        <v>46196</v>
      </c>
      <c r="B44" s="46" t="s">
        <v>618</v>
      </c>
      <c r="C44" s="46" t="s">
        <v>45</v>
      </c>
      <c r="D44" s="6" t="s">
        <v>997</v>
      </c>
      <c r="E44" s="6" t="s">
        <v>47</v>
      </c>
      <c r="F44" s="6" t="s">
        <v>659</v>
      </c>
      <c r="G44" s="9">
        <v>4425</v>
      </c>
    </row>
    <row r="45" spans="1:7" x14ac:dyDescent="0.3">
      <c r="A45" s="18">
        <v>46168</v>
      </c>
      <c r="B45" s="18" t="s">
        <v>618</v>
      </c>
      <c r="C45" s="18" t="s">
        <v>45</v>
      </c>
      <c r="D45" s="8" t="s">
        <v>1154</v>
      </c>
      <c r="E45" s="8" t="s">
        <v>47</v>
      </c>
      <c r="F45" s="6" t="s">
        <v>659</v>
      </c>
      <c r="G45" s="9">
        <v>2000</v>
      </c>
    </row>
    <row r="46" spans="1:7" x14ac:dyDescent="0.3">
      <c r="A46" s="18">
        <v>46076</v>
      </c>
      <c r="B46" s="18" t="s">
        <v>618</v>
      </c>
      <c r="C46" s="18" t="s">
        <v>45</v>
      </c>
      <c r="D46" s="8" t="s">
        <v>1154</v>
      </c>
      <c r="E46" s="6" t="s">
        <v>47</v>
      </c>
      <c r="F46" s="6" t="s">
        <v>659</v>
      </c>
      <c r="G46" s="7">
        <v>2000</v>
      </c>
    </row>
    <row r="47" spans="1:7" x14ac:dyDescent="0.3">
      <c r="A47" s="18">
        <v>46104</v>
      </c>
      <c r="B47" s="18" t="s">
        <v>618</v>
      </c>
      <c r="C47" s="18" t="s">
        <v>45</v>
      </c>
      <c r="D47" s="8" t="s">
        <v>1154</v>
      </c>
      <c r="E47" s="6" t="s">
        <v>47</v>
      </c>
      <c r="F47" s="6" t="s">
        <v>659</v>
      </c>
      <c r="G47" s="7">
        <v>2000</v>
      </c>
    </row>
    <row r="48" spans="1:7" x14ac:dyDescent="0.3">
      <c r="A48" s="18">
        <v>46113</v>
      </c>
      <c r="B48" s="18" t="s">
        <v>618</v>
      </c>
      <c r="C48" s="18" t="s">
        <v>45</v>
      </c>
      <c r="D48" s="8" t="s">
        <v>1154</v>
      </c>
      <c r="E48" s="6" t="s">
        <v>47</v>
      </c>
      <c r="F48" s="6" t="s">
        <v>659</v>
      </c>
      <c r="G48" s="7">
        <v>2000</v>
      </c>
    </row>
    <row r="49" spans="1:7" x14ac:dyDescent="0.3">
      <c r="A49" s="18">
        <v>46162</v>
      </c>
      <c r="B49" s="18" t="s">
        <v>618</v>
      </c>
      <c r="C49" s="18" t="s">
        <v>45</v>
      </c>
      <c r="D49" s="8" t="s">
        <v>1154</v>
      </c>
      <c r="E49" s="6" t="s">
        <v>47</v>
      </c>
      <c r="F49" s="6" t="s">
        <v>659</v>
      </c>
      <c r="G49" s="9">
        <v>2000</v>
      </c>
    </row>
    <row r="50" spans="1:7" x14ac:dyDescent="0.3">
      <c r="A50" s="18">
        <v>46091</v>
      </c>
      <c r="B50" s="18" t="s">
        <v>618</v>
      </c>
      <c r="C50" s="18" t="s">
        <v>45</v>
      </c>
      <c r="D50" s="8" t="s">
        <v>1154</v>
      </c>
      <c r="E50" s="6" t="s">
        <v>47</v>
      </c>
      <c r="F50" s="6" t="s">
        <v>659</v>
      </c>
      <c r="G50" s="7">
        <v>2100</v>
      </c>
    </row>
    <row r="51" spans="1:7" x14ac:dyDescent="0.3">
      <c r="A51" s="18">
        <v>46063</v>
      </c>
      <c r="B51" s="18" t="s">
        <v>618</v>
      </c>
      <c r="C51" s="18" t="s">
        <v>45</v>
      </c>
      <c r="D51" s="8" t="s">
        <v>1154</v>
      </c>
      <c r="E51" s="6" t="s">
        <v>47</v>
      </c>
      <c r="F51" s="6" t="s">
        <v>659</v>
      </c>
      <c r="G51" s="7">
        <v>2100</v>
      </c>
    </row>
    <row r="52" spans="1:7" x14ac:dyDescent="0.3">
      <c r="A52" s="18">
        <v>46113</v>
      </c>
      <c r="B52" s="18" t="s">
        <v>618</v>
      </c>
      <c r="C52" s="18" t="s">
        <v>45</v>
      </c>
      <c r="D52" s="8" t="s">
        <v>1154</v>
      </c>
      <c r="E52" s="6" t="s">
        <v>47</v>
      </c>
      <c r="F52" s="6" t="s">
        <v>659</v>
      </c>
      <c r="G52" s="7">
        <v>2100</v>
      </c>
    </row>
    <row r="53" spans="1:7" x14ac:dyDescent="0.3">
      <c r="A53" s="18">
        <v>46150</v>
      </c>
      <c r="B53" s="18" t="s">
        <v>618</v>
      </c>
      <c r="C53" s="18" t="s">
        <v>45</v>
      </c>
      <c r="D53" s="8" t="s">
        <v>1154</v>
      </c>
      <c r="E53" s="6" t="s">
        <v>47</v>
      </c>
      <c r="F53" s="6" t="s">
        <v>659</v>
      </c>
      <c r="G53" s="7">
        <f>2100</f>
        <v>2100</v>
      </c>
    </row>
    <row r="54" spans="1:7" x14ac:dyDescent="0.3">
      <c r="A54" s="18">
        <v>46064</v>
      </c>
      <c r="B54" s="18" t="s">
        <v>618</v>
      </c>
      <c r="C54" s="18" t="s">
        <v>45</v>
      </c>
      <c r="D54" s="8" t="s">
        <v>1154</v>
      </c>
      <c r="E54" s="6" t="s">
        <v>47</v>
      </c>
      <c r="F54" s="6" t="s">
        <v>659</v>
      </c>
      <c r="G54" s="7">
        <v>8000</v>
      </c>
    </row>
    <row r="55" spans="1:7" x14ac:dyDescent="0.3">
      <c r="A55" s="18">
        <v>46091</v>
      </c>
      <c r="B55" s="18" t="s">
        <v>618</v>
      </c>
      <c r="C55" s="18" t="s">
        <v>45</v>
      </c>
      <c r="D55" s="8" t="s">
        <v>1154</v>
      </c>
      <c r="E55" s="6" t="s">
        <v>47</v>
      </c>
      <c r="F55" s="6" t="s">
        <v>659</v>
      </c>
      <c r="G55" s="7">
        <v>8000</v>
      </c>
    </row>
    <row r="56" spans="1:7" x14ac:dyDescent="0.3">
      <c r="A56" s="18">
        <v>46113</v>
      </c>
      <c r="B56" s="18" t="s">
        <v>618</v>
      </c>
      <c r="C56" s="18" t="s">
        <v>45</v>
      </c>
      <c r="D56" s="8" t="s">
        <v>1154</v>
      </c>
      <c r="E56" s="6" t="s">
        <v>47</v>
      </c>
      <c r="F56" s="6" t="s">
        <v>659</v>
      </c>
      <c r="G56" s="7">
        <v>8000</v>
      </c>
    </row>
    <row r="57" spans="1:7" x14ac:dyDescent="0.3">
      <c r="A57" s="18">
        <v>46150</v>
      </c>
      <c r="B57" s="18" t="s">
        <v>618</v>
      </c>
      <c r="C57" s="18" t="s">
        <v>45</v>
      </c>
      <c r="D57" s="8" t="s">
        <v>1154</v>
      </c>
      <c r="E57" s="6" t="s">
        <v>47</v>
      </c>
      <c r="F57" s="6" t="s">
        <v>659</v>
      </c>
      <c r="G57" s="7">
        <f>3600+4000</f>
        <v>7600</v>
      </c>
    </row>
    <row r="58" spans="1:7" x14ac:dyDescent="0.3">
      <c r="A58" s="18">
        <v>46037</v>
      </c>
      <c r="B58" s="18" t="s">
        <v>618</v>
      </c>
      <c r="C58" s="18" t="s">
        <v>79</v>
      </c>
      <c r="D58" s="6" t="s">
        <v>289</v>
      </c>
      <c r="E58" s="6" t="s">
        <v>47</v>
      </c>
      <c r="F58" s="6" t="s">
        <v>659</v>
      </c>
      <c r="G58" s="7">
        <v>3504.33</v>
      </c>
    </row>
    <row r="59" spans="1:7" x14ac:dyDescent="0.3">
      <c r="A59" s="18">
        <v>46066</v>
      </c>
      <c r="B59" s="18" t="s">
        <v>618</v>
      </c>
      <c r="C59" s="18" t="s">
        <v>79</v>
      </c>
      <c r="D59" s="6" t="s">
        <v>289</v>
      </c>
      <c r="E59" s="6" t="s">
        <v>47</v>
      </c>
      <c r="F59" s="6" t="s">
        <v>659</v>
      </c>
      <c r="G59" s="7">
        <v>3525.29</v>
      </c>
    </row>
    <row r="60" spans="1:7" x14ac:dyDescent="0.3">
      <c r="A60" s="18">
        <v>46094</v>
      </c>
      <c r="B60" s="18" t="s">
        <v>618</v>
      </c>
      <c r="C60" s="18" t="s">
        <v>79</v>
      </c>
      <c r="D60" s="6" t="s">
        <v>289</v>
      </c>
      <c r="E60" s="6" t="s">
        <v>47</v>
      </c>
      <c r="F60" s="6" t="s">
        <v>659</v>
      </c>
      <c r="G60" s="7">
        <v>3525.29</v>
      </c>
    </row>
    <row r="61" spans="1:7" x14ac:dyDescent="0.3">
      <c r="A61" s="18">
        <v>46113</v>
      </c>
      <c r="B61" s="18" t="s">
        <v>618</v>
      </c>
      <c r="C61" s="18" t="s">
        <v>79</v>
      </c>
      <c r="D61" s="6" t="s">
        <v>289</v>
      </c>
      <c r="E61" s="6" t="s">
        <v>47</v>
      </c>
      <c r="F61" s="6" t="s">
        <v>659</v>
      </c>
      <c r="G61" s="7">
        <v>3560.33</v>
      </c>
    </row>
    <row r="62" spans="1:7" x14ac:dyDescent="0.3">
      <c r="A62" s="18">
        <v>46148</v>
      </c>
      <c r="B62" s="18" t="s">
        <v>618</v>
      </c>
      <c r="C62" s="18" t="s">
        <v>79</v>
      </c>
      <c r="D62" s="8" t="s">
        <v>289</v>
      </c>
      <c r="E62" s="8" t="s">
        <v>47</v>
      </c>
      <c r="F62" s="6" t="s">
        <v>659</v>
      </c>
      <c r="G62" s="9">
        <v>3504.27</v>
      </c>
    </row>
    <row r="63" spans="1:7" x14ac:dyDescent="0.3">
      <c r="A63" s="18">
        <v>46183</v>
      </c>
      <c r="B63" s="18" t="s">
        <v>618</v>
      </c>
      <c r="C63" s="18" t="s">
        <v>79</v>
      </c>
      <c r="D63" s="6" t="s">
        <v>289</v>
      </c>
      <c r="E63" s="6" t="s">
        <v>47</v>
      </c>
      <c r="F63" s="6" t="s">
        <v>659</v>
      </c>
      <c r="G63" s="9">
        <v>3504.27</v>
      </c>
    </row>
    <row r="64" spans="1:7" x14ac:dyDescent="0.3">
      <c r="A64" s="18">
        <v>46084</v>
      </c>
      <c r="B64" s="18" t="s">
        <v>618</v>
      </c>
      <c r="C64" s="18" t="s">
        <v>58</v>
      </c>
      <c r="D64" s="6" t="s">
        <v>73</v>
      </c>
      <c r="E64" s="6" t="s">
        <v>47</v>
      </c>
      <c r="F64" s="6" t="s">
        <v>659</v>
      </c>
      <c r="G64" s="7">
        <v>500</v>
      </c>
    </row>
    <row r="65" spans="1:7" x14ac:dyDescent="0.3">
      <c r="A65" s="18">
        <v>46113</v>
      </c>
      <c r="B65" s="18" t="s">
        <v>618</v>
      </c>
      <c r="C65" s="18" t="s">
        <v>58</v>
      </c>
      <c r="D65" s="6" t="s">
        <v>800</v>
      </c>
      <c r="E65" s="6" t="s">
        <v>47</v>
      </c>
      <c r="F65" s="6" t="s">
        <v>659</v>
      </c>
      <c r="G65" s="7">
        <v>1742</v>
      </c>
    </row>
    <row r="66" spans="1:7" x14ac:dyDescent="0.3">
      <c r="A66" s="18">
        <v>46052</v>
      </c>
      <c r="B66" s="18" t="s">
        <v>618</v>
      </c>
      <c r="C66" s="18" t="s">
        <v>58</v>
      </c>
      <c r="D66" s="6" t="s">
        <v>210</v>
      </c>
      <c r="E66" s="6" t="s">
        <v>47</v>
      </c>
      <c r="F66" s="6" t="s">
        <v>659</v>
      </c>
      <c r="G66" s="7">
        <v>300</v>
      </c>
    </row>
    <row r="67" spans="1:7" x14ac:dyDescent="0.3">
      <c r="A67" s="18">
        <v>46113</v>
      </c>
      <c r="B67" s="18" t="s">
        <v>618</v>
      </c>
      <c r="C67" s="18" t="s">
        <v>58</v>
      </c>
      <c r="D67" s="6" t="s">
        <v>787</v>
      </c>
      <c r="E67" s="6" t="s">
        <v>47</v>
      </c>
      <c r="F67" s="6" t="s">
        <v>659</v>
      </c>
      <c r="G67" s="7">
        <v>2093</v>
      </c>
    </row>
    <row r="68" spans="1:7" x14ac:dyDescent="0.3">
      <c r="A68" s="18">
        <v>46071</v>
      </c>
      <c r="B68" s="18" t="s">
        <v>618</v>
      </c>
      <c r="C68" s="18" t="s">
        <v>58</v>
      </c>
      <c r="D68" s="6" t="s">
        <v>248</v>
      </c>
      <c r="E68" s="6" t="s">
        <v>47</v>
      </c>
      <c r="F68" s="6" t="s">
        <v>659</v>
      </c>
      <c r="G68" s="7">
        <v>3719.5</v>
      </c>
    </row>
    <row r="69" spans="1:7" x14ac:dyDescent="0.3">
      <c r="A69" s="18">
        <v>46041</v>
      </c>
      <c r="B69" s="18" t="s">
        <v>618</v>
      </c>
      <c r="C69" s="18" t="s">
        <v>58</v>
      </c>
      <c r="D69" s="6" t="s">
        <v>198</v>
      </c>
      <c r="E69" s="6" t="s">
        <v>47</v>
      </c>
      <c r="F69" s="6" t="s">
        <v>659</v>
      </c>
      <c r="G69" s="7">
        <v>200</v>
      </c>
    </row>
    <row r="70" spans="1:7" x14ac:dyDescent="0.3">
      <c r="A70" s="18">
        <v>46178</v>
      </c>
      <c r="B70" s="44" t="s">
        <v>618</v>
      </c>
      <c r="C70" s="44" t="s">
        <v>58</v>
      </c>
      <c r="D70" s="8" t="s">
        <v>990</v>
      </c>
      <c r="E70" s="8" t="s">
        <v>47</v>
      </c>
      <c r="F70" s="6" t="s">
        <v>659</v>
      </c>
      <c r="G70" s="9">
        <v>1064</v>
      </c>
    </row>
    <row r="71" spans="1:7" x14ac:dyDescent="0.3">
      <c r="A71" s="18">
        <v>46150</v>
      </c>
      <c r="B71" s="18" t="s">
        <v>618</v>
      </c>
      <c r="C71" s="18" t="s">
        <v>58</v>
      </c>
      <c r="D71" s="6" t="s">
        <v>822</v>
      </c>
      <c r="E71" s="6" t="s">
        <v>47</v>
      </c>
      <c r="F71" s="6" t="s">
        <v>659</v>
      </c>
      <c r="G71" s="7">
        <v>70</v>
      </c>
    </row>
    <row r="72" spans="1:7" x14ac:dyDescent="0.3">
      <c r="A72" s="18">
        <v>46148</v>
      </c>
      <c r="B72" s="18" t="s">
        <v>618</v>
      </c>
      <c r="C72" s="18" t="s">
        <v>58</v>
      </c>
      <c r="D72" s="6" t="s">
        <v>633</v>
      </c>
      <c r="E72" s="6" t="s">
        <v>47</v>
      </c>
      <c r="F72" s="6" t="s">
        <v>659</v>
      </c>
      <c r="G72" s="3">
        <v>550</v>
      </c>
    </row>
    <row r="73" spans="1:7" x14ac:dyDescent="0.3">
      <c r="A73" s="18">
        <v>46189</v>
      </c>
      <c r="B73" s="46" t="s">
        <v>618</v>
      </c>
      <c r="C73" s="46" t="s">
        <v>81</v>
      </c>
      <c r="D73" s="6" t="s">
        <v>998</v>
      </c>
      <c r="E73" s="6" t="s">
        <v>47</v>
      </c>
      <c r="F73" s="6" t="s">
        <v>659</v>
      </c>
      <c r="G73" s="7">
        <v>1000</v>
      </c>
    </row>
    <row r="74" spans="1:7" x14ac:dyDescent="0.3">
      <c r="A74" s="18">
        <v>46113</v>
      </c>
      <c r="B74" s="18" t="s">
        <v>618</v>
      </c>
      <c r="C74" s="18" t="s">
        <v>81</v>
      </c>
      <c r="D74" s="6" t="s">
        <v>952</v>
      </c>
      <c r="E74" s="6" t="s">
        <v>47</v>
      </c>
      <c r="F74" s="6" t="s">
        <v>659</v>
      </c>
      <c r="G74" s="7">
        <v>2000</v>
      </c>
    </row>
    <row r="75" spans="1:7" x14ac:dyDescent="0.3">
      <c r="A75" s="18">
        <v>46030</v>
      </c>
      <c r="B75" s="18" t="s">
        <v>618</v>
      </c>
      <c r="C75" s="18" t="s">
        <v>81</v>
      </c>
      <c r="D75" s="6" t="s">
        <v>952</v>
      </c>
      <c r="E75" s="6" t="s">
        <v>47</v>
      </c>
      <c r="F75" s="6" t="s">
        <v>659</v>
      </c>
      <c r="G75" s="7">
        <v>235.62</v>
      </c>
    </row>
    <row r="76" spans="1:7" x14ac:dyDescent="0.3">
      <c r="A76" s="18">
        <v>46030</v>
      </c>
      <c r="B76" s="18" t="s">
        <v>618</v>
      </c>
      <c r="C76" s="18" t="s">
        <v>81</v>
      </c>
      <c r="D76" s="6" t="s">
        <v>952</v>
      </c>
      <c r="E76" s="6" t="s">
        <v>47</v>
      </c>
      <c r="F76" s="6" t="s">
        <v>659</v>
      </c>
      <c r="G76" s="7">
        <v>1667.25</v>
      </c>
    </row>
    <row r="77" spans="1:7" x14ac:dyDescent="0.3">
      <c r="A77" s="18">
        <v>46041</v>
      </c>
      <c r="B77" s="18" t="s">
        <v>618</v>
      </c>
      <c r="C77" s="18" t="s">
        <v>81</v>
      </c>
      <c r="D77" s="6" t="s">
        <v>952</v>
      </c>
      <c r="E77" s="6" t="s">
        <v>47</v>
      </c>
      <c r="F77" s="6" t="s">
        <v>659</v>
      </c>
      <c r="G77" s="7">
        <v>912</v>
      </c>
    </row>
    <row r="78" spans="1:7" x14ac:dyDescent="0.3">
      <c r="A78" s="18">
        <v>46044</v>
      </c>
      <c r="B78" s="18" t="s">
        <v>618</v>
      </c>
      <c r="C78" s="18" t="s">
        <v>81</v>
      </c>
      <c r="D78" s="6" t="s">
        <v>952</v>
      </c>
      <c r="E78" s="6" t="s">
        <v>47</v>
      </c>
      <c r="F78" s="6" t="s">
        <v>659</v>
      </c>
      <c r="G78" s="7">
        <v>527.13</v>
      </c>
    </row>
    <row r="79" spans="1:7" x14ac:dyDescent="0.3">
      <c r="A79" s="18">
        <v>46051</v>
      </c>
      <c r="B79" s="18" t="s">
        <v>618</v>
      </c>
      <c r="C79" s="18" t="s">
        <v>81</v>
      </c>
      <c r="D79" s="6" t="s">
        <v>952</v>
      </c>
      <c r="E79" s="6" t="s">
        <v>47</v>
      </c>
      <c r="F79" s="6" t="s">
        <v>659</v>
      </c>
      <c r="G79" s="7">
        <v>468.3</v>
      </c>
    </row>
    <row r="80" spans="1:7" x14ac:dyDescent="0.3">
      <c r="A80" s="18">
        <v>46057</v>
      </c>
      <c r="B80" s="18" t="s">
        <v>618</v>
      </c>
      <c r="C80" s="18" t="s">
        <v>81</v>
      </c>
      <c r="D80" s="6" t="s">
        <v>952</v>
      </c>
      <c r="E80" s="6" t="s">
        <v>47</v>
      </c>
      <c r="F80" s="6" t="s">
        <v>659</v>
      </c>
      <c r="G80" s="7">
        <v>2321.06</v>
      </c>
    </row>
    <row r="81" spans="1:7" x14ac:dyDescent="0.3">
      <c r="A81" s="18">
        <v>46062</v>
      </c>
      <c r="B81" s="18" t="s">
        <v>618</v>
      </c>
      <c r="C81" s="18" t="s">
        <v>81</v>
      </c>
      <c r="D81" s="6" t="s">
        <v>952</v>
      </c>
      <c r="E81" s="6" t="s">
        <v>47</v>
      </c>
      <c r="F81" s="6" t="s">
        <v>659</v>
      </c>
      <c r="G81" s="7">
        <v>495.81</v>
      </c>
    </row>
    <row r="82" spans="1:7" x14ac:dyDescent="0.3">
      <c r="A82" s="18">
        <v>46064</v>
      </c>
      <c r="B82" s="18" t="s">
        <v>618</v>
      </c>
      <c r="C82" s="18" t="s">
        <v>81</v>
      </c>
      <c r="D82" s="6" t="s">
        <v>952</v>
      </c>
      <c r="E82" s="6" t="s">
        <v>47</v>
      </c>
      <c r="F82" s="6" t="s">
        <v>659</v>
      </c>
      <c r="G82" s="7">
        <v>60.23</v>
      </c>
    </row>
    <row r="83" spans="1:7" x14ac:dyDescent="0.3">
      <c r="A83" s="18">
        <v>46080</v>
      </c>
      <c r="B83" s="18" t="s">
        <v>618</v>
      </c>
      <c r="C83" s="18" t="s">
        <v>81</v>
      </c>
      <c r="D83" s="6" t="s">
        <v>952</v>
      </c>
      <c r="E83" s="6" t="s">
        <v>47</v>
      </c>
      <c r="F83" s="6" t="s">
        <v>659</v>
      </c>
      <c r="G83" s="7">
        <f>932.44+209.44</f>
        <v>1141.8800000000001</v>
      </c>
    </row>
    <row r="84" spans="1:7" x14ac:dyDescent="0.3">
      <c r="A84" s="18">
        <v>46090</v>
      </c>
      <c r="B84" s="18" t="s">
        <v>618</v>
      </c>
      <c r="C84" s="18" t="s">
        <v>81</v>
      </c>
      <c r="D84" s="6" t="s">
        <v>952</v>
      </c>
      <c r="E84" s="6" t="s">
        <v>47</v>
      </c>
      <c r="F84" s="6" t="s">
        <v>659</v>
      </c>
      <c r="G84" s="7">
        <v>1417.23</v>
      </c>
    </row>
    <row r="85" spans="1:7" x14ac:dyDescent="0.3">
      <c r="A85" s="18">
        <v>46101</v>
      </c>
      <c r="B85" s="18" t="s">
        <v>618</v>
      </c>
      <c r="C85" s="18" t="s">
        <v>81</v>
      </c>
      <c r="D85" s="6" t="s">
        <v>952</v>
      </c>
      <c r="E85" s="6" t="s">
        <v>47</v>
      </c>
      <c r="F85" s="6" t="s">
        <v>659</v>
      </c>
      <c r="G85" s="7">
        <v>1461.59</v>
      </c>
    </row>
    <row r="86" spans="1:7" x14ac:dyDescent="0.3">
      <c r="A86" s="18">
        <v>46113</v>
      </c>
      <c r="B86" s="18" t="s">
        <v>618</v>
      </c>
      <c r="C86" s="18" t="s">
        <v>81</v>
      </c>
      <c r="D86" s="6" t="s">
        <v>952</v>
      </c>
      <c r="E86" s="6" t="s">
        <v>47</v>
      </c>
      <c r="F86" s="6" t="s">
        <v>659</v>
      </c>
      <c r="G86" s="7">
        <v>464.36</v>
      </c>
    </row>
    <row r="87" spans="1:7" x14ac:dyDescent="0.3">
      <c r="A87" s="18">
        <v>46113</v>
      </c>
      <c r="B87" s="18" t="s">
        <v>618</v>
      </c>
      <c r="C87" s="18" t="s">
        <v>81</v>
      </c>
      <c r="D87" s="6" t="s">
        <v>952</v>
      </c>
      <c r="E87" s="6" t="s">
        <v>47</v>
      </c>
      <c r="F87" s="6" t="s">
        <v>659</v>
      </c>
      <c r="G87" s="7">
        <v>1500</v>
      </c>
    </row>
    <row r="88" spans="1:7" x14ac:dyDescent="0.3">
      <c r="A88" s="18">
        <v>46113</v>
      </c>
      <c r="B88" s="18" t="s">
        <v>618</v>
      </c>
      <c r="C88" s="18" t="s">
        <v>81</v>
      </c>
      <c r="D88" s="6" t="s">
        <v>952</v>
      </c>
      <c r="E88" s="6" t="s">
        <v>47</v>
      </c>
      <c r="F88" s="6" t="s">
        <v>659</v>
      </c>
      <c r="G88" s="7">
        <v>265.73</v>
      </c>
    </row>
    <row r="89" spans="1:7" x14ac:dyDescent="0.3">
      <c r="A89" s="18">
        <v>46113</v>
      </c>
      <c r="B89" s="18" t="s">
        <v>618</v>
      </c>
      <c r="C89" s="18" t="s">
        <v>81</v>
      </c>
      <c r="D89" s="6" t="s">
        <v>952</v>
      </c>
      <c r="E89" s="6" t="s">
        <v>47</v>
      </c>
      <c r="F89" s="6" t="s">
        <v>659</v>
      </c>
      <c r="G89" s="7">
        <v>2056.5100000000002</v>
      </c>
    </row>
    <row r="90" spans="1:7" x14ac:dyDescent="0.3">
      <c r="A90" s="18">
        <v>46148</v>
      </c>
      <c r="B90" s="18" t="s">
        <v>618</v>
      </c>
      <c r="C90" s="18" t="s">
        <v>81</v>
      </c>
      <c r="D90" s="6" t="s">
        <v>952</v>
      </c>
      <c r="E90" s="6" t="s">
        <v>47</v>
      </c>
      <c r="F90" s="6" t="s">
        <v>659</v>
      </c>
      <c r="G90" s="9">
        <f>105.22+19</f>
        <v>124.22</v>
      </c>
    </row>
    <row r="91" spans="1:7" x14ac:dyDescent="0.3">
      <c r="A91" s="18">
        <v>46148</v>
      </c>
      <c r="B91" s="18" t="s">
        <v>618</v>
      </c>
      <c r="C91" s="18" t="s">
        <v>81</v>
      </c>
      <c r="D91" s="6" t="s">
        <v>952</v>
      </c>
      <c r="E91" s="6" t="s">
        <v>47</v>
      </c>
      <c r="F91" s="6" t="s">
        <v>659</v>
      </c>
      <c r="G91" s="9">
        <v>252.2</v>
      </c>
    </row>
    <row r="92" spans="1:7" x14ac:dyDescent="0.3">
      <c r="A92" s="18">
        <v>46164</v>
      </c>
      <c r="B92" s="18" t="s">
        <v>618</v>
      </c>
      <c r="C92" s="18" t="s">
        <v>81</v>
      </c>
      <c r="D92" s="6" t="s">
        <v>952</v>
      </c>
      <c r="E92" s="8" t="s">
        <v>47</v>
      </c>
      <c r="F92" s="6" t="s">
        <v>659</v>
      </c>
      <c r="G92" s="9">
        <v>1186.6300000000001</v>
      </c>
    </row>
    <row r="93" spans="1:7" x14ac:dyDescent="0.3">
      <c r="A93" s="18">
        <v>46164</v>
      </c>
      <c r="B93" s="18" t="s">
        <v>618</v>
      </c>
      <c r="C93" s="18" t="s">
        <v>81</v>
      </c>
      <c r="D93" s="6" t="s">
        <v>952</v>
      </c>
      <c r="E93" s="8" t="s">
        <v>47</v>
      </c>
      <c r="F93" s="6" t="s">
        <v>659</v>
      </c>
      <c r="G93" s="9">
        <v>603.65</v>
      </c>
    </row>
    <row r="94" spans="1:7" x14ac:dyDescent="0.3">
      <c r="A94" s="18">
        <v>46167</v>
      </c>
      <c r="B94" s="18" t="s">
        <v>618</v>
      </c>
      <c r="C94" s="18" t="s">
        <v>81</v>
      </c>
      <c r="D94" s="6" t="s">
        <v>952</v>
      </c>
      <c r="E94" s="8" t="s">
        <v>47</v>
      </c>
      <c r="F94" s="6" t="s">
        <v>659</v>
      </c>
      <c r="G94" s="9">
        <v>41.44</v>
      </c>
    </row>
    <row r="95" spans="1:7" x14ac:dyDescent="0.3">
      <c r="A95" s="18">
        <v>46167</v>
      </c>
      <c r="B95" s="18" t="s">
        <v>618</v>
      </c>
      <c r="C95" s="18" t="s">
        <v>81</v>
      </c>
      <c r="D95" s="6" t="s">
        <v>952</v>
      </c>
      <c r="E95" s="8" t="s">
        <v>47</v>
      </c>
      <c r="F95" s="6" t="s">
        <v>659</v>
      </c>
      <c r="G95" s="9">
        <v>561.44000000000005</v>
      </c>
    </row>
    <row r="96" spans="1:7" x14ac:dyDescent="0.3">
      <c r="A96" s="18">
        <v>46168</v>
      </c>
      <c r="B96" s="18" t="s">
        <v>618</v>
      </c>
      <c r="C96" s="18" t="s">
        <v>81</v>
      </c>
      <c r="D96" s="6" t="s">
        <v>952</v>
      </c>
      <c r="E96" s="8" t="s">
        <v>47</v>
      </c>
      <c r="F96" s="6" t="s">
        <v>659</v>
      </c>
      <c r="G96" s="9">
        <v>100.16</v>
      </c>
    </row>
    <row r="97" spans="1:7" x14ac:dyDescent="0.3">
      <c r="A97" s="18">
        <v>46168</v>
      </c>
      <c r="B97" s="18" t="s">
        <v>618</v>
      </c>
      <c r="C97" s="18" t="s">
        <v>81</v>
      </c>
      <c r="D97" s="6" t="s">
        <v>952</v>
      </c>
      <c r="E97" s="8" t="s">
        <v>47</v>
      </c>
      <c r="F97" s="6" t="s">
        <v>659</v>
      </c>
      <c r="G97" s="9">
        <v>359.6</v>
      </c>
    </row>
    <row r="98" spans="1:7" x14ac:dyDescent="0.3">
      <c r="A98" s="18">
        <v>46171</v>
      </c>
      <c r="B98" s="18" t="s">
        <v>618</v>
      </c>
      <c r="C98" s="18" t="s">
        <v>81</v>
      </c>
      <c r="D98" s="6" t="s">
        <v>952</v>
      </c>
      <c r="E98" s="8" t="s">
        <v>47</v>
      </c>
      <c r="F98" s="6" t="s">
        <v>659</v>
      </c>
      <c r="G98" s="9">
        <v>59.97</v>
      </c>
    </row>
    <row r="99" spans="1:7" x14ac:dyDescent="0.3">
      <c r="A99" s="18">
        <v>46175</v>
      </c>
      <c r="B99" s="18" t="s">
        <v>618</v>
      </c>
      <c r="C99" s="18" t="s">
        <v>81</v>
      </c>
      <c r="D99" s="6" t="s">
        <v>952</v>
      </c>
      <c r="E99" s="6" t="s">
        <v>47</v>
      </c>
      <c r="F99" s="6" t="s">
        <v>659</v>
      </c>
      <c r="G99" s="3">
        <v>1301.8900000000001</v>
      </c>
    </row>
    <row r="100" spans="1:7" x14ac:dyDescent="0.3">
      <c r="A100" s="18">
        <v>46175</v>
      </c>
      <c r="B100" s="18" t="s">
        <v>618</v>
      </c>
      <c r="C100" s="18" t="s">
        <v>81</v>
      </c>
      <c r="D100" s="6" t="s">
        <v>952</v>
      </c>
      <c r="E100" s="6" t="s">
        <v>47</v>
      </c>
      <c r="F100" s="6" t="s">
        <v>659</v>
      </c>
      <c r="G100" s="3">
        <v>52.71</v>
      </c>
    </row>
    <row r="101" spans="1:7" x14ac:dyDescent="0.3">
      <c r="A101" s="18">
        <v>46181</v>
      </c>
      <c r="B101" s="18" t="s">
        <v>618</v>
      </c>
      <c r="C101" s="18" t="s">
        <v>81</v>
      </c>
      <c r="D101" s="6" t="s">
        <v>952</v>
      </c>
      <c r="E101" s="6" t="s">
        <v>47</v>
      </c>
      <c r="F101" s="6" t="s">
        <v>659</v>
      </c>
      <c r="G101" s="9">
        <v>108.05</v>
      </c>
    </row>
    <row r="102" spans="1:7" x14ac:dyDescent="0.3">
      <c r="A102" s="18">
        <v>46185</v>
      </c>
      <c r="B102" s="18" t="s">
        <v>618</v>
      </c>
      <c r="C102" s="18" t="s">
        <v>81</v>
      </c>
      <c r="D102" s="6" t="s">
        <v>952</v>
      </c>
      <c r="E102" s="6" t="s">
        <v>47</v>
      </c>
      <c r="F102" s="6" t="s">
        <v>659</v>
      </c>
      <c r="G102" s="3">
        <v>250</v>
      </c>
    </row>
    <row r="103" spans="1:7" x14ac:dyDescent="0.3">
      <c r="A103" s="18">
        <v>46192</v>
      </c>
      <c r="B103" s="18" t="s">
        <v>618</v>
      </c>
      <c r="C103" s="18" t="s">
        <v>81</v>
      </c>
      <c r="D103" s="6" t="s">
        <v>952</v>
      </c>
      <c r="E103" s="6" t="s">
        <v>47</v>
      </c>
      <c r="F103" s="6" t="s">
        <v>659</v>
      </c>
      <c r="G103" s="9">
        <v>1197.25</v>
      </c>
    </row>
    <row r="104" spans="1:7" x14ac:dyDescent="0.3">
      <c r="A104" s="18">
        <v>46195</v>
      </c>
      <c r="B104" s="18" t="s">
        <v>618</v>
      </c>
      <c r="C104" s="18" t="s">
        <v>81</v>
      </c>
      <c r="D104" s="6" t="s">
        <v>952</v>
      </c>
      <c r="E104" s="6" t="s">
        <v>47</v>
      </c>
      <c r="F104" s="6" t="s">
        <v>659</v>
      </c>
      <c r="G104" s="9">
        <f>17.94+419.4</f>
        <v>437.34</v>
      </c>
    </row>
    <row r="105" spans="1:7" x14ac:dyDescent="0.3">
      <c r="A105" s="18">
        <v>46195</v>
      </c>
      <c r="B105" s="18" t="s">
        <v>618</v>
      </c>
      <c r="C105" s="18" t="s">
        <v>81</v>
      </c>
      <c r="D105" s="6" t="s">
        <v>952</v>
      </c>
      <c r="E105" s="6" t="s">
        <v>47</v>
      </c>
      <c r="F105" s="6" t="s">
        <v>659</v>
      </c>
      <c r="G105" s="9">
        <v>255</v>
      </c>
    </row>
    <row r="106" spans="1:7" x14ac:dyDescent="0.3">
      <c r="A106" s="18">
        <v>46189</v>
      </c>
      <c r="B106" s="46" t="s">
        <v>618</v>
      </c>
      <c r="C106" s="46" t="s">
        <v>81</v>
      </c>
      <c r="D106" s="6" t="s">
        <v>999</v>
      </c>
      <c r="E106" s="6" t="s">
        <v>47</v>
      </c>
      <c r="F106" s="6" t="s">
        <v>659</v>
      </c>
      <c r="G106" s="7">
        <v>285</v>
      </c>
    </row>
    <row r="107" spans="1:7" x14ac:dyDescent="0.3">
      <c r="A107" s="18">
        <v>46113</v>
      </c>
      <c r="B107" s="18" t="s">
        <v>618</v>
      </c>
      <c r="C107" s="18" t="s">
        <v>81</v>
      </c>
      <c r="D107" s="6" t="s">
        <v>709</v>
      </c>
      <c r="E107" s="6" t="s">
        <v>47</v>
      </c>
      <c r="F107" s="6" t="s">
        <v>656</v>
      </c>
      <c r="G107" s="7">
        <v>280</v>
      </c>
    </row>
    <row r="108" spans="1:7" x14ac:dyDescent="0.3">
      <c r="A108" s="18">
        <v>46164</v>
      </c>
      <c r="B108" s="18" t="s">
        <v>618</v>
      </c>
      <c r="C108" s="18" t="s">
        <v>81</v>
      </c>
      <c r="D108" s="6" t="s">
        <v>341</v>
      </c>
      <c r="E108" s="6" t="s">
        <v>47</v>
      </c>
      <c r="F108" s="6" t="s">
        <v>656</v>
      </c>
      <c r="G108" s="7">
        <v>506.39</v>
      </c>
    </row>
    <row r="109" spans="1:7" x14ac:dyDescent="0.3">
      <c r="A109" s="18">
        <v>46157</v>
      </c>
      <c r="B109" s="18" t="s">
        <v>618</v>
      </c>
      <c r="C109" s="18" t="s">
        <v>81</v>
      </c>
      <c r="D109" s="6" t="s">
        <v>381</v>
      </c>
      <c r="E109" s="6" t="s">
        <v>47</v>
      </c>
      <c r="F109" s="6" t="s">
        <v>656</v>
      </c>
      <c r="G109" s="7">
        <v>408.13</v>
      </c>
    </row>
    <row r="110" spans="1:7" x14ac:dyDescent="0.3">
      <c r="A110" s="18">
        <v>46157</v>
      </c>
      <c r="B110" s="18" t="s">
        <v>618</v>
      </c>
      <c r="C110" s="18" t="s">
        <v>81</v>
      </c>
      <c r="D110" s="6" t="s">
        <v>574</v>
      </c>
      <c r="E110" s="6" t="s">
        <v>47</v>
      </c>
      <c r="F110" s="6" t="s">
        <v>656</v>
      </c>
      <c r="G110" s="7">
        <v>346.15</v>
      </c>
    </row>
    <row r="111" spans="1:7" x14ac:dyDescent="0.3">
      <c r="A111" s="18">
        <v>46081</v>
      </c>
      <c r="B111" s="18" t="s">
        <v>618</v>
      </c>
      <c r="C111" s="18" t="s">
        <v>81</v>
      </c>
      <c r="D111" s="6" t="s">
        <v>236</v>
      </c>
      <c r="E111" s="6" t="s">
        <v>47</v>
      </c>
      <c r="F111" s="6" t="s">
        <v>659</v>
      </c>
      <c r="G111" s="7">
        <v>105.28</v>
      </c>
    </row>
    <row r="112" spans="1:7" x14ac:dyDescent="0.3">
      <c r="A112" s="18">
        <v>46093</v>
      </c>
      <c r="B112" s="18" t="s">
        <v>618</v>
      </c>
      <c r="C112" s="18" t="s">
        <v>81</v>
      </c>
      <c r="D112" s="6" t="s">
        <v>236</v>
      </c>
      <c r="E112" s="6" t="s">
        <v>47</v>
      </c>
      <c r="F112" s="6" t="s">
        <v>656</v>
      </c>
      <c r="G112" s="7">
        <v>918.04</v>
      </c>
    </row>
    <row r="113" spans="1:7" x14ac:dyDescent="0.3">
      <c r="A113" s="18">
        <v>46103</v>
      </c>
      <c r="B113" s="18" t="s">
        <v>618</v>
      </c>
      <c r="C113" s="18" t="s">
        <v>81</v>
      </c>
      <c r="D113" s="6" t="s">
        <v>236</v>
      </c>
      <c r="E113" s="6" t="s">
        <v>47</v>
      </c>
      <c r="F113" s="6" t="s">
        <v>656</v>
      </c>
      <c r="G113" s="7">
        <v>580.83000000000004</v>
      </c>
    </row>
    <row r="114" spans="1:7" x14ac:dyDescent="0.3">
      <c r="A114" s="18">
        <v>46113</v>
      </c>
      <c r="B114" s="18" t="s">
        <v>618</v>
      </c>
      <c r="C114" s="18" t="s">
        <v>81</v>
      </c>
      <c r="D114" s="6" t="s">
        <v>236</v>
      </c>
      <c r="E114" s="6" t="s">
        <v>47</v>
      </c>
      <c r="F114" s="6" t="s">
        <v>656</v>
      </c>
      <c r="G114" s="7">
        <v>749.29</v>
      </c>
    </row>
    <row r="115" spans="1:7" x14ac:dyDescent="0.3">
      <c r="A115" s="18">
        <v>46113</v>
      </c>
      <c r="B115" s="18" t="s">
        <v>618</v>
      </c>
      <c r="C115" s="18" t="s">
        <v>81</v>
      </c>
      <c r="D115" s="6" t="s">
        <v>236</v>
      </c>
      <c r="E115" s="6" t="s">
        <v>47</v>
      </c>
      <c r="F115" s="6" t="s">
        <v>656</v>
      </c>
      <c r="G115" s="7">
        <v>491.25</v>
      </c>
    </row>
    <row r="116" spans="1:7" x14ac:dyDescent="0.3">
      <c r="A116" s="18">
        <v>46113</v>
      </c>
      <c r="B116" s="18" t="s">
        <v>618</v>
      </c>
      <c r="C116" s="18" t="s">
        <v>81</v>
      </c>
      <c r="D116" s="6" t="s">
        <v>236</v>
      </c>
      <c r="E116" s="6" t="s">
        <v>47</v>
      </c>
      <c r="F116" s="6" t="s">
        <v>656</v>
      </c>
      <c r="G116" s="7">
        <v>682.04</v>
      </c>
    </row>
    <row r="117" spans="1:7" x14ac:dyDescent="0.3">
      <c r="A117" s="18">
        <v>46159</v>
      </c>
      <c r="B117" s="18" t="s">
        <v>618</v>
      </c>
      <c r="C117" s="18" t="s">
        <v>81</v>
      </c>
      <c r="D117" s="6" t="s">
        <v>236</v>
      </c>
      <c r="E117" s="6" t="s">
        <v>47</v>
      </c>
      <c r="F117" s="6" t="s">
        <v>656</v>
      </c>
      <c r="G117" s="7">
        <v>1404.17</v>
      </c>
    </row>
    <row r="118" spans="1:7" x14ac:dyDescent="0.3">
      <c r="A118" s="18">
        <v>46028</v>
      </c>
      <c r="B118" s="18" t="s">
        <v>618</v>
      </c>
      <c r="C118" s="18" t="s">
        <v>199</v>
      </c>
      <c r="D118" s="6" t="s">
        <v>344</v>
      </c>
      <c r="E118" s="6" t="s">
        <v>47</v>
      </c>
      <c r="F118" s="6" t="s">
        <v>656</v>
      </c>
      <c r="G118" s="7">
        <v>242.4</v>
      </c>
    </row>
    <row r="119" spans="1:7" x14ac:dyDescent="0.3">
      <c r="A119" s="18">
        <v>46059</v>
      </c>
      <c r="B119" s="18" t="s">
        <v>618</v>
      </c>
      <c r="C119" s="18" t="s">
        <v>199</v>
      </c>
      <c r="D119" s="6" t="s">
        <v>344</v>
      </c>
      <c r="E119" s="6" t="s">
        <v>47</v>
      </c>
      <c r="F119" s="6" t="s">
        <v>656</v>
      </c>
      <c r="G119" s="7">
        <v>242.4</v>
      </c>
    </row>
    <row r="120" spans="1:7" x14ac:dyDescent="0.3">
      <c r="A120" s="18">
        <v>46087</v>
      </c>
      <c r="B120" s="18" t="s">
        <v>618</v>
      </c>
      <c r="C120" s="18" t="s">
        <v>199</v>
      </c>
      <c r="D120" s="6" t="s">
        <v>344</v>
      </c>
      <c r="E120" s="6" t="s">
        <v>47</v>
      </c>
      <c r="F120" s="6" t="s">
        <v>656</v>
      </c>
      <c r="G120" s="7">
        <v>242.4</v>
      </c>
    </row>
    <row r="121" spans="1:7" x14ac:dyDescent="0.3">
      <c r="A121" s="18">
        <v>46113</v>
      </c>
      <c r="B121" s="18" t="s">
        <v>618</v>
      </c>
      <c r="C121" s="18" t="s">
        <v>199</v>
      </c>
      <c r="D121" s="6" t="s">
        <v>344</v>
      </c>
      <c r="E121" s="6" t="s">
        <v>47</v>
      </c>
      <c r="F121" s="6" t="s">
        <v>656</v>
      </c>
      <c r="G121" s="7">
        <v>242.4</v>
      </c>
    </row>
    <row r="122" spans="1:7" x14ac:dyDescent="0.3">
      <c r="A122" s="18">
        <v>46148</v>
      </c>
      <c r="B122" s="18" t="s">
        <v>618</v>
      </c>
      <c r="C122" s="18" t="s">
        <v>199</v>
      </c>
      <c r="D122" s="6" t="s">
        <v>344</v>
      </c>
      <c r="E122" s="6" t="s">
        <v>47</v>
      </c>
      <c r="F122" s="6" t="s">
        <v>656</v>
      </c>
      <c r="G122" s="7">
        <v>242.4</v>
      </c>
    </row>
    <row r="123" spans="1:7" x14ac:dyDescent="0.3">
      <c r="A123" s="18">
        <v>46179</v>
      </c>
      <c r="B123" s="18" t="s">
        <v>618</v>
      </c>
      <c r="C123" s="18" t="s">
        <v>199</v>
      </c>
      <c r="D123" s="6" t="s">
        <v>344</v>
      </c>
      <c r="E123" s="6" t="s">
        <v>47</v>
      </c>
      <c r="F123" s="6" t="s">
        <v>656</v>
      </c>
      <c r="G123" s="7">
        <v>242.4</v>
      </c>
    </row>
    <row r="124" spans="1:7" x14ac:dyDescent="0.3">
      <c r="A124" s="18">
        <v>46024</v>
      </c>
      <c r="B124" s="18" t="s">
        <v>873</v>
      </c>
      <c r="C124" s="18" t="s">
        <v>41</v>
      </c>
      <c r="D124" s="6" t="s">
        <v>53</v>
      </c>
      <c r="E124" s="6" t="s">
        <v>47</v>
      </c>
      <c r="F124" s="6" t="s">
        <v>659</v>
      </c>
      <c r="G124" s="7">
        <v>5422.67</v>
      </c>
    </row>
    <row r="125" spans="1:7" x14ac:dyDescent="0.3">
      <c r="A125" s="18">
        <v>46055</v>
      </c>
      <c r="B125" s="18" t="s">
        <v>873</v>
      </c>
      <c r="C125" s="18" t="s">
        <v>41</v>
      </c>
      <c r="D125" s="6" t="s">
        <v>53</v>
      </c>
      <c r="E125" s="6" t="s">
        <v>47</v>
      </c>
      <c r="F125" s="6" t="s">
        <v>659</v>
      </c>
      <c r="G125" s="7">
        <v>5480.17</v>
      </c>
    </row>
    <row r="126" spans="1:7" x14ac:dyDescent="0.3">
      <c r="A126" s="18">
        <v>46083</v>
      </c>
      <c r="B126" s="18" t="s">
        <v>873</v>
      </c>
      <c r="C126" s="18" t="s">
        <v>41</v>
      </c>
      <c r="D126" s="6" t="s">
        <v>53</v>
      </c>
      <c r="E126" s="6" t="s">
        <v>47</v>
      </c>
      <c r="F126" s="6" t="s">
        <v>659</v>
      </c>
      <c r="G126" s="7">
        <v>5385.55</v>
      </c>
    </row>
    <row r="127" spans="1:7" x14ac:dyDescent="0.3">
      <c r="A127" s="18">
        <v>46113</v>
      </c>
      <c r="B127" s="18" t="s">
        <v>873</v>
      </c>
      <c r="C127" s="18" t="s">
        <v>41</v>
      </c>
      <c r="D127" s="6" t="s">
        <v>53</v>
      </c>
      <c r="E127" s="6" t="s">
        <v>47</v>
      </c>
      <c r="F127" s="6" t="s">
        <v>659</v>
      </c>
      <c r="G127" s="7">
        <v>7134.05</v>
      </c>
    </row>
    <row r="128" spans="1:7" x14ac:dyDescent="0.3">
      <c r="A128" s="18">
        <v>46146</v>
      </c>
      <c r="B128" s="18" t="s">
        <v>873</v>
      </c>
      <c r="C128" s="18" t="s">
        <v>41</v>
      </c>
      <c r="D128" s="6" t="s">
        <v>53</v>
      </c>
      <c r="E128" s="6" t="s">
        <v>47</v>
      </c>
      <c r="F128" s="6" t="s">
        <v>659</v>
      </c>
      <c r="G128" s="3">
        <v>7136.16</v>
      </c>
    </row>
    <row r="129" spans="1:7" x14ac:dyDescent="0.3">
      <c r="A129" s="18">
        <v>46174</v>
      </c>
      <c r="B129" s="18" t="s">
        <v>873</v>
      </c>
      <c r="C129" s="18" t="s">
        <v>41</v>
      </c>
      <c r="D129" s="6" t="s">
        <v>53</v>
      </c>
      <c r="E129" s="6" t="s">
        <v>47</v>
      </c>
      <c r="F129" s="6" t="s">
        <v>659</v>
      </c>
      <c r="G129" s="3">
        <v>7213.57</v>
      </c>
    </row>
    <row r="130" spans="1:7" x14ac:dyDescent="0.3">
      <c r="A130" s="18">
        <v>46147</v>
      </c>
      <c r="B130" s="18" t="s">
        <v>873</v>
      </c>
      <c r="C130" s="18" t="s">
        <v>39</v>
      </c>
      <c r="D130" s="10" t="s">
        <v>64</v>
      </c>
      <c r="E130" s="8" t="s">
        <v>47</v>
      </c>
      <c r="F130" s="6" t="s">
        <v>659</v>
      </c>
      <c r="G130" s="7">
        <v>905.92</v>
      </c>
    </row>
    <row r="131" spans="1:7" x14ac:dyDescent="0.3">
      <c r="A131" s="18">
        <v>46027</v>
      </c>
      <c r="B131" s="18" t="s">
        <v>873</v>
      </c>
      <c r="C131" s="18" t="s">
        <v>39</v>
      </c>
      <c r="D131" s="10" t="s">
        <v>64</v>
      </c>
      <c r="E131" s="6" t="s">
        <v>47</v>
      </c>
      <c r="F131" s="6" t="s">
        <v>659</v>
      </c>
      <c r="G131" s="7">
        <v>581.32000000000005</v>
      </c>
    </row>
    <row r="132" spans="1:7" x14ac:dyDescent="0.3">
      <c r="A132" s="18">
        <v>46034</v>
      </c>
      <c r="B132" s="18" t="s">
        <v>873</v>
      </c>
      <c r="C132" s="18" t="s">
        <v>39</v>
      </c>
      <c r="D132" s="10" t="s">
        <v>64</v>
      </c>
      <c r="E132" s="6" t="s">
        <v>47</v>
      </c>
      <c r="F132" s="6" t="s">
        <v>659</v>
      </c>
      <c r="G132" s="7">
        <v>57.98</v>
      </c>
    </row>
    <row r="133" spans="1:7" x14ac:dyDescent="0.3">
      <c r="A133" s="18">
        <v>46058</v>
      </c>
      <c r="B133" s="18" t="s">
        <v>873</v>
      </c>
      <c r="C133" s="18" t="s">
        <v>39</v>
      </c>
      <c r="D133" s="10" t="s">
        <v>64</v>
      </c>
      <c r="E133" s="6" t="s">
        <v>47</v>
      </c>
      <c r="F133" s="6" t="s">
        <v>659</v>
      </c>
      <c r="G133" s="7">
        <v>898.81</v>
      </c>
    </row>
    <row r="134" spans="1:7" x14ac:dyDescent="0.3">
      <c r="A134" s="18">
        <v>46086</v>
      </c>
      <c r="B134" s="18" t="s">
        <v>873</v>
      </c>
      <c r="C134" s="18" t="s">
        <v>39</v>
      </c>
      <c r="D134" s="10" t="s">
        <v>64</v>
      </c>
      <c r="E134" s="6" t="s">
        <v>47</v>
      </c>
      <c r="F134" s="6" t="s">
        <v>659</v>
      </c>
      <c r="G134" s="7">
        <v>666.71</v>
      </c>
    </row>
    <row r="135" spans="1:7" x14ac:dyDescent="0.3">
      <c r="A135" s="18">
        <v>46113</v>
      </c>
      <c r="B135" s="18" t="s">
        <v>873</v>
      </c>
      <c r="C135" s="18" t="s">
        <v>39</v>
      </c>
      <c r="D135" s="10" t="s">
        <v>64</v>
      </c>
      <c r="E135" s="6" t="s">
        <v>47</v>
      </c>
      <c r="F135" s="6" t="s">
        <v>659</v>
      </c>
      <c r="G135" s="7">
        <v>617.57000000000005</v>
      </c>
    </row>
    <row r="136" spans="1:7" x14ac:dyDescent="0.3">
      <c r="A136" s="18">
        <v>46176</v>
      </c>
      <c r="B136" s="44" t="s">
        <v>873</v>
      </c>
      <c r="C136" s="18" t="s">
        <v>39</v>
      </c>
      <c r="D136" s="10" t="s">
        <v>64</v>
      </c>
      <c r="E136" s="10" t="s">
        <v>47</v>
      </c>
      <c r="F136" s="6" t="s">
        <v>659</v>
      </c>
      <c r="G136" s="7">
        <v>912.38</v>
      </c>
    </row>
    <row r="137" spans="1:7" x14ac:dyDescent="0.3">
      <c r="A137" s="18">
        <v>46077</v>
      </c>
      <c r="B137" s="18" t="s">
        <v>873</v>
      </c>
      <c r="C137" s="18" t="s">
        <v>39</v>
      </c>
      <c r="D137" s="6" t="s">
        <v>233</v>
      </c>
      <c r="E137" s="6" t="s">
        <v>47</v>
      </c>
      <c r="F137" s="6" t="s">
        <v>659</v>
      </c>
      <c r="G137" s="7">
        <v>928.26</v>
      </c>
    </row>
    <row r="138" spans="1:7" x14ac:dyDescent="0.3">
      <c r="A138" s="18">
        <v>46191</v>
      </c>
      <c r="B138" s="46" t="s">
        <v>873</v>
      </c>
      <c r="C138" s="46" t="s">
        <v>39</v>
      </c>
      <c r="D138" s="6" t="s">
        <v>40</v>
      </c>
      <c r="E138" s="6" t="s">
        <v>47</v>
      </c>
      <c r="F138" s="6" t="s">
        <v>659</v>
      </c>
      <c r="G138" s="7">
        <v>750.31</v>
      </c>
    </row>
    <row r="139" spans="1:7" x14ac:dyDescent="0.3">
      <c r="A139" s="18">
        <v>46042</v>
      </c>
      <c r="B139" s="18" t="s">
        <v>873</v>
      </c>
      <c r="C139" s="18" t="s">
        <v>39</v>
      </c>
      <c r="D139" s="6" t="s">
        <v>40</v>
      </c>
      <c r="E139" s="6" t="s">
        <v>47</v>
      </c>
      <c r="F139" s="6" t="s">
        <v>659</v>
      </c>
      <c r="G139" s="7">
        <v>1126.23</v>
      </c>
    </row>
    <row r="140" spans="1:7" x14ac:dyDescent="0.3">
      <c r="A140" s="18">
        <v>46076</v>
      </c>
      <c r="B140" s="18" t="s">
        <v>873</v>
      </c>
      <c r="C140" s="18" t="s">
        <v>39</v>
      </c>
      <c r="D140" s="6" t="s">
        <v>40</v>
      </c>
      <c r="E140" s="6" t="s">
        <v>47</v>
      </c>
      <c r="F140" s="6" t="s">
        <v>659</v>
      </c>
      <c r="G140" s="7">
        <v>760.75</v>
      </c>
    </row>
    <row r="141" spans="1:7" x14ac:dyDescent="0.3">
      <c r="A141" s="18">
        <v>46104</v>
      </c>
      <c r="B141" s="18" t="s">
        <v>873</v>
      </c>
      <c r="C141" s="18" t="s">
        <v>39</v>
      </c>
      <c r="D141" s="6" t="s">
        <v>40</v>
      </c>
      <c r="E141" s="6" t="s">
        <v>47</v>
      </c>
      <c r="F141" s="6" t="s">
        <v>659</v>
      </c>
      <c r="G141" s="7">
        <v>862.61</v>
      </c>
    </row>
    <row r="142" spans="1:7" x14ac:dyDescent="0.3">
      <c r="A142" s="18">
        <v>46113</v>
      </c>
      <c r="B142" s="18" t="s">
        <v>873</v>
      </c>
      <c r="C142" s="18" t="s">
        <v>39</v>
      </c>
      <c r="D142" s="6" t="s">
        <v>40</v>
      </c>
      <c r="E142" s="6" t="s">
        <v>47</v>
      </c>
      <c r="F142" s="6" t="s">
        <v>659</v>
      </c>
      <c r="G142" s="7">
        <v>794.99</v>
      </c>
    </row>
    <row r="143" spans="1:7" x14ac:dyDescent="0.3">
      <c r="A143" s="18">
        <v>46167</v>
      </c>
      <c r="B143" s="18" t="s">
        <v>873</v>
      </c>
      <c r="C143" s="18" t="s">
        <v>39</v>
      </c>
      <c r="D143" s="37" t="s">
        <v>40</v>
      </c>
      <c r="E143" s="37" t="s">
        <v>47</v>
      </c>
      <c r="F143" s="6" t="s">
        <v>659</v>
      </c>
      <c r="G143" s="9">
        <v>894.74</v>
      </c>
    </row>
    <row r="144" spans="1:7" x14ac:dyDescent="0.3">
      <c r="A144" s="18">
        <v>46027</v>
      </c>
      <c r="B144" s="18" t="s">
        <v>873</v>
      </c>
      <c r="C144" s="18" t="s">
        <v>45</v>
      </c>
      <c r="D144" s="6" t="s">
        <v>46</v>
      </c>
      <c r="E144" s="6" t="s">
        <v>47</v>
      </c>
      <c r="F144" s="6" t="s">
        <v>659</v>
      </c>
      <c r="G144" s="7">
        <v>250</v>
      </c>
    </row>
    <row r="145" spans="1:7" x14ac:dyDescent="0.3">
      <c r="A145" s="18">
        <v>46028</v>
      </c>
      <c r="B145" s="18" t="s">
        <v>873</v>
      </c>
      <c r="C145" s="18" t="s">
        <v>45</v>
      </c>
      <c r="D145" s="6" t="s">
        <v>46</v>
      </c>
      <c r="E145" s="6" t="s">
        <v>47</v>
      </c>
      <c r="F145" s="6" t="s">
        <v>659</v>
      </c>
      <c r="G145" s="7">
        <v>250</v>
      </c>
    </row>
    <row r="146" spans="1:7" x14ac:dyDescent="0.3">
      <c r="A146" s="18">
        <v>46030</v>
      </c>
      <c r="B146" s="18" t="s">
        <v>873</v>
      </c>
      <c r="C146" s="18" t="s">
        <v>45</v>
      </c>
      <c r="D146" s="6" t="s">
        <v>46</v>
      </c>
      <c r="E146" s="6" t="s">
        <v>47</v>
      </c>
      <c r="F146" s="6" t="s">
        <v>659</v>
      </c>
      <c r="G146" s="7">
        <v>250</v>
      </c>
    </row>
    <row r="147" spans="1:7" x14ac:dyDescent="0.3">
      <c r="A147" s="18">
        <v>46034</v>
      </c>
      <c r="B147" s="18" t="s">
        <v>873</v>
      </c>
      <c r="C147" s="18" t="s">
        <v>45</v>
      </c>
      <c r="D147" s="6" t="s">
        <v>46</v>
      </c>
      <c r="E147" s="6" t="s">
        <v>47</v>
      </c>
      <c r="F147" s="6" t="s">
        <v>659</v>
      </c>
      <c r="G147" s="7">
        <v>250</v>
      </c>
    </row>
    <row r="148" spans="1:7" x14ac:dyDescent="0.3">
      <c r="A148" s="18">
        <v>46035</v>
      </c>
      <c r="B148" s="18" t="s">
        <v>873</v>
      </c>
      <c r="C148" s="18" t="s">
        <v>45</v>
      </c>
      <c r="D148" s="6" t="s">
        <v>46</v>
      </c>
      <c r="E148" s="6" t="s">
        <v>47</v>
      </c>
      <c r="F148" s="6" t="s">
        <v>659</v>
      </c>
      <c r="G148" s="7">
        <v>250</v>
      </c>
    </row>
    <row r="149" spans="1:7" x14ac:dyDescent="0.3">
      <c r="A149" s="18">
        <v>46037</v>
      </c>
      <c r="B149" s="18" t="s">
        <v>873</v>
      </c>
      <c r="C149" s="18" t="s">
        <v>45</v>
      </c>
      <c r="D149" s="6" t="s">
        <v>46</v>
      </c>
      <c r="E149" s="6" t="s">
        <v>47</v>
      </c>
      <c r="F149" s="6" t="s">
        <v>659</v>
      </c>
      <c r="G149" s="7">
        <v>250</v>
      </c>
    </row>
    <row r="150" spans="1:7" x14ac:dyDescent="0.3">
      <c r="A150" s="18">
        <v>46041</v>
      </c>
      <c r="B150" s="18" t="s">
        <v>873</v>
      </c>
      <c r="C150" s="18" t="s">
        <v>45</v>
      </c>
      <c r="D150" s="6" t="s">
        <v>46</v>
      </c>
      <c r="E150" s="6" t="s">
        <v>47</v>
      </c>
      <c r="F150" s="6" t="s">
        <v>659</v>
      </c>
      <c r="G150" s="7">
        <v>250</v>
      </c>
    </row>
    <row r="151" spans="1:7" x14ac:dyDescent="0.3">
      <c r="A151" s="18">
        <v>46042</v>
      </c>
      <c r="B151" s="18" t="s">
        <v>873</v>
      </c>
      <c r="C151" s="18" t="s">
        <v>45</v>
      </c>
      <c r="D151" s="6" t="s">
        <v>46</v>
      </c>
      <c r="E151" s="6" t="s">
        <v>47</v>
      </c>
      <c r="F151" s="6" t="s">
        <v>659</v>
      </c>
      <c r="G151" s="7">
        <v>250</v>
      </c>
    </row>
    <row r="152" spans="1:7" x14ac:dyDescent="0.3">
      <c r="A152" s="18">
        <v>46044</v>
      </c>
      <c r="B152" s="18" t="s">
        <v>873</v>
      </c>
      <c r="C152" s="18" t="s">
        <v>45</v>
      </c>
      <c r="D152" s="6" t="s">
        <v>46</v>
      </c>
      <c r="E152" s="6" t="s">
        <v>47</v>
      </c>
      <c r="F152" s="6" t="s">
        <v>659</v>
      </c>
      <c r="G152" s="7">
        <v>250</v>
      </c>
    </row>
    <row r="153" spans="1:7" x14ac:dyDescent="0.3">
      <c r="A153" s="18">
        <v>46048</v>
      </c>
      <c r="B153" s="18" t="s">
        <v>873</v>
      </c>
      <c r="C153" s="18" t="s">
        <v>45</v>
      </c>
      <c r="D153" s="6" t="s">
        <v>46</v>
      </c>
      <c r="E153" s="6" t="s">
        <v>47</v>
      </c>
      <c r="F153" s="6" t="s">
        <v>659</v>
      </c>
      <c r="G153" s="7">
        <v>250</v>
      </c>
    </row>
    <row r="154" spans="1:7" x14ac:dyDescent="0.3">
      <c r="A154" s="18">
        <v>46049</v>
      </c>
      <c r="B154" s="18" t="s">
        <v>873</v>
      </c>
      <c r="C154" s="18" t="s">
        <v>45</v>
      </c>
      <c r="D154" s="6" t="s">
        <v>46</v>
      </c>
      <c r="E154" s="6" t="s">
        <v>47</v>
      </c>
      <c r="F154" s="6" t="s">
        <v>659</v>
      </c>
      <c r="G154" s="7">
        <v>250</v>
      </c>
    </row>
    <row r="155" spans="1:7" x14ac:dyDescent="0.3">
      <c r="A155" s="18">
        <v>46051</v>
      </c>
      <c r="B155" s="18" t="s">
        <v>873</v>
      </c>
      <c r="C155" s="18" t="s">
        <v>45</v>
      </c>
      <c r="D155" s="6" t="s">
        <v>46</v>
      </c>
      <c r="E155" s="6" t="s">
        <v>47</v>
      </c>
      <c r="F155" s="6" t="s">
        <v>659</v>
      </c>
      <c r="G155" s="7">
        <v>250</v>
      </c>
    </row>
    <row r="156" spans="1:7" x14ac:dyDescent="0.3">
      <c r="A156" s="18">
        <v>46055</v>
      </c>
      <c r="B156" s="18" t="s">
        <v>873</v>
      </c>
      <c r="C156" s="18" t="s">
        <v>45</v>
      </c>
      <c r="D156" s="6" t="s">
        <v>46</v>
      </c>
      <c r="E156" s="6" t="s">
        <v>47</v>
      </c>
      <c r="F156" s="6" t="s">
        <v>659</v>
      </c>
      <c r="G156" s="7">
        <v>250</v>
      </c>
    </row>
    <row r="157" spans="1:7" x14ac:dyDescent="0.3">
      <c r="A157" s="18">
        <v>46056</v>
      </c>
      <c r="B157" s="18" t="s">
        <v>873</v>
      </c>
      <c r="C157" s="18" t="s">
        <v>45</v>
      </c>
      <c r="D157" s="6" t="s">
        <v>46</v>
      </c>
      <c r="E157" s="6" t="s">
        <v>47</v>
      </c>
      <c r="F157" s="6" t="s">
        <v>659</v>
      </c>
      <c r="G157" s="7">
        <v>250</v>
      </c>
    </row>
    <row r="158" spans="1:7" x14ac:dyDescent="0.3">
      <c r="A158" s="18">
        <v>46058</v>
      </c>
      <c r="B158" s="18" t="s">
        <v>873</v>
      </c>
      <c r="C158" s="18" t="s">
        <v>45</v>
      </c>
      <c r="D158" s="6" t="s">
        <v>46</v>
      </c>
      <c r="E158" s="6" t="s">
        <v>47</v>
      </c>
      <c r="F158" s="6" t="s">
        <v>659</v>
      </c>
      <c r="G158" s="7">
        <v>250</v>
      </c>
    </row>
    <row r="159" spans="1:7" x14ac:dyDescent="0.3">
      <c r="A159" s="18">
        <v>46062</v>
      </c>
      <c r="B159" s="18" t="s">
        <v>873</v>
      </c>
      <c r="C159" s="18" t="s">
        <v>45</v>
      </c>
      <c r="D159" s="6" t="s">
        <v>46</v>
      </c>
      <c r="E159" s="6" t="s">
        <v>47</v>
      </c>
      <c r="F159" s="6" t="s">
        <v>659</v>
      </c>
      <c r="G159" s="7">
        <v>250</v>
      </c>
    </row>
    <row r="160" spans="1:7" x14ac:dyDescent="0.3">
      <c r="A160" s="18">
        <v>46063</v>
      </c>
      <c r="B160" s="18" t="s">
        <v>873</v>
      </c>
      <c r="C160" s="18" t="s">
        <v>45</v>
      </c>
      <c r="D160" s="6" t="s">
        <v>46</v>
      </c>
      <c r="E160" s="6" t="s">
        <v>47</v>
      </c>
      <c r="F160" s="6" t="s">
        <v>659</v>
      </c>
      <c r="G160" s="7">
        <v>250</v>
      </c>
    </row>
    <row r="161" spans="1:7" x14ac:dyDescent="0.3">
      <c r="A161" s="18">
        <v>46065</v>
      </c>
      <c r="B161" s="18" t="s">
        <v>873</v>
      </c>
      <c r="C161" s="18" t="s">
        <v>45</v>
      </c>
      <c r="D161" s="6" t="s">
        <v>46</v>
      </c>
      <c r="E161" s="6" t="s">
        <v>47</v>
      </c>
      <c r="F161" s="6" t="s">
        <v>659</v>
      </c>
      <c r="G161" s="7">
        <v>250</v>
      </c>
    </row>
    <row r="162" spans="1:7" x14ac:dyDescent="0.3">
      <c r="A162" s="18">
        <v>46069</v>
      </c>
      <c r="B162" s="18" t="s">
        <v>873</v>
      </c>
      <c r="C162" s="18" t="s">
        <v>45</v>
      </c>
      <c r="D162" s="6" t="s">
        <v>46</v>
      </c>
      <c r="E162" s="6" t="s">
        <v>47</v>
      </c>
      <c r="F162" s="6" t="s">
        <v>659</v>
      </c>
      <c r="G162" s="7">
        <v>250</v>
      </c>
    </row>
    <row r="163" spans="1:7" x14ac:dyDescent="0.3">
      <c r="A163" s="18">
        <v>46072</v>
      </c>
      <c r="B163" s="18" t="s">
        <v>873</v>
      </c>
      <c r="C163" s="18" t="s">
        <v>45</v>
      </c>
      <c r="D163" s="6" t="s">
        <v>46</v>
      </c>
      <c r="E163" s="6" t="s">
        <v>47</v>
      </c>
      <c r="F163" s="6" t="s">
        <v>659</v>
      </c>
      <c r="G163" s="7">
        <v>250</v>
      </c>
    </row>
    <row r="164" spans="1:7" x14ac:dyDescent="0.3">
      <c r="A164" s="18">
        <v>46076</v>
      </c>
      <c r="B164" s="18" t="s">
        <v>873</v>
      </c>
      <c r="C164" s="18" t="s">
        <v>45</v>
      </c>
      <c r="D164" s="6" t="s">
        <v>46</v>
      </c>
      <c r="E164" s="6" t="s">
        <v>47</v>
      </c>
      <c r="F164" s="6" t="s">
        <v>659</v>
      </c>
      <c r="G164" s="7">
        <v>250</v>
      </c>
    </row>
    <row r="165" spans="1:7" x14ac:dyDescent="0.3">
      <c r="A165" s="18">
        <v>46077</v>
      </c>
      <c r="B165" s="18" t="s">
        <v>873</v>
      </c>
      <c r="C165" s="18" t="s">
        <v>45</v>
      </c>
      <c r="D165" s="6" t="s">
        <v>46</v>
      </c>
      <c r="E165" s="6" t="s">
        <v>47</v>
      </c>
      <c r="F165" s="6" t="s">
        <v>659</v>
      </c>
      <c r="G165" s="7">
        <v>250</v>
      </c>
    </row>
    <row r="166" spans="1:7" x14ac:dyDescent="0.3">
      <c r="A166" s="18">
        <v>46079</v>
      </c>
      <c r="B166" s="18" t="s">
        <v>873</v>
      </c>
      <c r="C166" s="18" t="s">
        <v>45</v>
      </c>
      <c r="D166" s="6" t="s">
        <v>46</v>
      </c>
      <c r="E166" s="6" t="s">
        <v>47</v>
      </c>
      <c r="F166" s="6" t="s">
        <v>659</v>
      </c>
      <c r="G166" s="7">
        <v>250</v>
      </c>
    </row>
    <row r="167" spans="1:7" x14ac:dyDescent="0.3">
      <c r="A167" s="18">
        <v>46083</v>
      </c>
      <c r="B167" s="18" t="s">
        <v>873</v>
      </c>
      <c r="C167" s="18" t="s">
        <v>45</v>
      </c>
      <c r="D167" s="6" t="s">
        <v>46</v>
      </c>
      <c r="E167" s="6" t="s">
        <v>47</v>
      </c>
      <c r="F167" s="6" t="s">
        <v>659</v>
      </c>
      <c r="G167" s="7">
        <v>250</v>
      </c>
    </row>
    <row r="168" spans="1:7" x14ac:dyDescent="0.3">
      <c r="A168" s="18">
        <v>46084</v>
      </c>
      <c r="B168" s="18" t="s">
        <v>873</v>
      </c>
      <c r="C168" s="18" t="s">
        <v>45</v>
      </c>
      <c r="D168" s="6" t="s">
        <v>46</v>
      </c>
      <c r="E168" s="6" t="s">
        <v>47</v>
      </c>
      <c r="F168" s="6" t="s">
        <v>659</v>
      </c>
      <c r="G168" s="7">
        <v>250</v>
      </c>
    </row>
    <row r="169" spans="1:7" x14ac:dyDescent="0.3">
      <c r="A169" s="18">
        <v>46086</v>
      </c>
      <c r="B169" s="18" t="s">
        <v>873</v>
      </c>
      <c r="C169" s="18" t="s">
        <v>45</v>
      </c>
      <c r="D169" s="6" t="s">
        <v>46</v>
      </c>
      <c r="E169" s="6" t="s">
        <v>47</v>
      </c>
      <c r="F169" s="6" t="s">
        <v>659</v>
      </c>
      <c r="G169" s="7">
        <v>250</v>
      </c>
    </row>
    <row r="170" spans="1:7" x14ac:dyDescent="0.3">
      <c r="A170" s="18">
        <v>46090</v>
      </c>
      <c r="B170" s="18" t="s">
        <v>873</v>
      </c>
      <c r="C170" s="18" t="s">
        <v>45</v>
      </c>
      <c r="D170" s="6" t="s">
        <v>46</v>
      </c>
      <c r="E170" s="6" t="s">
        <v>47</v>
      </c>
      <c r="F170" s="6" t="s">
        <v>659</v>
      </c>
      <c r="G170" s="7">
        <v>250</v>
      </c>
    </row>
    <row r="171" spans="1:7" x14ac:dyDescent="0.3">
      <c r="A171" s="18">
        <v>46091</v>
      </c>
      <c r="B171" s="18" t="s">
        <v>873</v>
      </c>
      <c r="C171" s="18" t="s">
        <v>45</v>
      </c>
      <c r="D171" s="6" t="s">
        <v>46</v>
      </c>
      <c r="E171" s="6" t="s">
        <v>47</v>
      </c>
      <c r="F171" s="6" t="s">
        <v>659</v>
      </c>
      <c r="G171" s="7">
        <v>250</v>
      </c>
    </row>
    <row r="172" spans="1:7" x14ac:dyDescent="0.3">
      <c r="A172" s="18">
        <v>46093</v>
      </c>
      <c r="B172" s="18" t="s">
        <v>873</v>
      </c>
      <c r="C172" s="18" t="s">
        <v>45</v>
      </c>
      <c r="D172" s="6" t="s">
        <v>46</v>
      </c>
      <c r="E172" s="6" t="s">
        <v>47</v>
      </c>
      <c r="F172" s="6" t="s">
        <v>659</v>
      </c>
      <c r="G172" s="7">
        <v>250</v>
      </c>
    </row>
    <row r="173" spans="1:7" x14ac:dyDescent="0.3">
      <c r="A173" s="18">
        <v>46097</v>
      </c>
      <c r="B173" s="18" t="s">
        <v>873</v>
      </c>
      <c r="C173" s="18" t="s">
        <v>45</v>
      </c>
      <c r="D173" s="6" t="s">
        <v>46</v>
      </c>
      <c r="E173" s="6" t="s">
        <v>47</v>
      </c>
      <c r="F173" s="6" t="s">
        <v>659</v>
      </c>
      <c r="G173" s="7">
        <v>250</v>
      </c>
    </row>
    <row r="174" spans="1:7" x14ac:dyDescent="0.3">
      <c r="A174" s="18">
        <v>46098</v>
      </c>
      <c r="B174" s="18" t="s">
        <v>873</v>
      </c>
      <c r="C174" s="18" t="s">
        <v>45</v>
      </c>
      <c r="D174" s="6" t="s">
        <v>46</v>
      </c>
      <c r="E174" s="6" t="s">
        <v>47</v>
      </c>
      <c r="F174" s="6" t="s">
        <v>659</v>
      </c>
      <c r="G174" s="7">
        <v>250</v>
      </c>
    </row>
    <row r="175" spans="1:7" x14ac:dyDescent="0.3">
      <c r="A175" s="18">
        <v>46100</v>
      </c>
      <c r="B175" s="18" t="s">
        <v>873</v>
      </c>
      <c r="C175" s="18" t="s">
        <v>45</v>
      </c>
      <c r="D175" s="6" t="s">
        <v>46</v>
      </c>
      <c r="E175" s="6" t="s">
        <v>47</v>
      </c>
      <c r="F175" s="6" t="s">
        <v>659</v>
      </c>
      <c r="G175" s="7">
        <v>250</v>
      </c>
    </row>
    <row r="176" spans="1:7" x14ac:dyDescent="0.3">
      <c r="A176" s="18">
        <v>46104</v>
      </c>
      <c r="B176" s="18" t="s">
        <v>873</v>
      </c>
      <c r="C176" s="18" t="s">
        <v>45</v>
      </c>
      <c r="D176" s="6" t="s">
        <v>46</v>
      </c>
      <c r="E176" s="6" t="s">
        <v>47</v>
      </c>
      <c r="F176" s="6" t="s">
        <v>659</v>
      </c>
      <c r="G176" s="7">
        <v>250</v>
      </c>
    </row>
    <row r="177" spans="1:7" x14ac:dyDescent="0.3">
      <c r="A177" s="18">
        <v>46105</v>
      </c>
      <c r="B177" s="18" t="s">
        <v>873</v>
      </c>
      <c r="C177" s="18" t="s">
        <v>45</v>
      </c>
      <c r="D177" s="6" t="s">
        <v>46</v>
      </c>
      <c r="E177" s="6" t="s">
        <v>47</v>
      </c>
      <c r="F177" s="6" t="s">
        <v>659</v>
      </c>
      <c r="G177" s="7">
        <v>250</v>
      </c>
    </row>
    <row r="178" spans="1:7" x14ac:dyDescent="0.3">
      <c r="A178" s="18">
        <v>46107</v>
      </c>
      <c r="B178" s="18" t="s">
        <v>873</v>
      </c>
      <c r="C178" s="18" t="s">
        <v>45</v>
      </c>
      <c r="D178" s="6" t="s">
        <v>46</v>
      </c>
      <c r="E178" s="6" t="s">
        <v>47</v>
      </c>
      <c r="F178" s="6" t="s">
        <v>659</v>
      </c>
      <c r="G178" s="7">
        <v>250</v>
      </c>
    </row>
    <row r="179" spans="1:7" x14ac:dyDescent="0.3">
      <c r="A179" s="18">
        <v>46111</v>
      </c>
      <c r="B179" s="18" t="s">
        <v>873</v>
      </c>
      <c r="C179" s="18" t="s">
        <v>45</v>
      </c>
      <c r="D179" s="6" t="s">
        <v>46</v>
      </c>
      <c r="E179" s="6" t="s">
        <v>47</v>
      </c>
      <c r="F179" s="6" t="s">
        <v>659</v>
      </c>
      <c r="G179" s="7">
        <v>250</v>
      </c>
    </row>
    <row r="180" spans="1:7" x14ac:dyDescent="0.3">
      <c r="A180" s="18">
        <v>46112</v>
      </c>
      <c r="B180" s="18" t="s">
        <v>873</v>
      </c>
      <c r="C180" s="18" t="s">
        <v>45</v>
      </c>
      <c r="D180" s="6" t="s">
        <v>46</v>
      </c>
      <c r="E180" s="6" t="s">
        <v>47</v>
      </c>
      <c r="F180" s="6" t="s">
        <v>659</v>
      </c>
      <c r="G180" s="7">
        <v>250</v>
      </c>
    </row>
    <row r="181" spans="1:7" x14ac:dyDescent="0.3">
      <c r="A181" s="18">
        <v>46113</v>
      </c>
      <c r="B181" s="18" t="s">
        <v>873</v>
      </c>
      <c r="C181" s="18" t="s">
        <v>45</v>
      </c>
      <c r="D181" s="6" t="s">
        <v>46</v>
      </c>
      <c r="E181" s="6" t="s">
        <v>47</v>
      </c>
      <c r="F181" s="6" t="s">
        <v>659</v>
      </c>
      <c r="G181" s="7">
        <v>250</v>
      </c>
    </row>
    <row r="182" spans="1:7" x14ac:dyDescent="0.3">
      <c r="A182" s="18">
        <v>46113</v>
      </c>
      <c r="B182" s="18" t="s">
        <v>873</v>
      </c>
      <c r="C182" s="18" t="s">
        <v>45</v>
      </c>
      <c r="D182" s="6" t="s">
        <v>46</v>
      </c>
      <c r="E182" s="6" t="s">
        <v>47</v>
      </c>
      <c r="F182" s="6" t="s">
        <v>659</v>
      </c>
      <c r="G182" s="7">
        <v>250</v>
      </c>
    </row>
    <row r="183" spans="1:7" x14ac:dyDescent="0.3">
      <c r="A183" s="18">
        <v>46113</v>
      </c>
      <c r="B183" s="18" t="s">
        <v>873</v>
      </c>
      <c r="C183" s="18" t="s">
        <v>45</v>
      </c>
      <c r="D183" s="6" t="s">
        <v>46</v>
      </c>
      <c r="E183" s="6" t="s">
        <v>47</v>
      </c>
      <c r="F183" s="6" t="s">
        <v>659</v>
      </c>
      <c r="G183" s="7">
        <v>250</v>
      </c>
    </row>
    <row r="184" spans="1:7" x14ac:dyDescent="0.3">
      <c r="A184" s="18">
        <v>46113</v>
      </c>
      <c r="B184" s="18" t="s">
        <v>873</v>
      </c>
      <c r="C184" s="18" t="s">
        <v>45</v>
      </c>
      <c r="D184" s="6" t="s">
        <v>46</v>
      </c>
      <c r="E184" s="6" t="s">
        <v>47</v>
      </c>
      <c r="F184" s="6" t="s">
        <v>659</v>
      </c>
      <c r="G184" s="7">
        <v>250</v>
      </c>
    </row>
    <row r="185" spans="1:7" x14ac:dyDescent="0.3">
      <c r="A185" s="18">
        <v>46113</v>
      </c>
      <c r="B185" s="18" t="s">
        <v>873</v>
      </c>
      <c r="C185" s="18" t="s">
        <v>45</v>
      </c>
      <c r="D185" s="6" t="s">
        <v>46</v>
      </c>
      <c r="E185" s="6" t="s">
        <v>47</v>
      </c>
      <c r="F185" s="6" t="s">
        <v>659</v>
      </c>
      <c r="G185" s="7">
        <v>250</v>
      </c>
    </row>
    <row r="186" spans="1:7" x14ac:dyDescent="0.3">
      <c r="A186" s="18">
        <v>46113</v>
      </c>
      <c r="B186" s="18" t="s">
        <v>873</v>
      </c>
      <c r="C186" s="18" t="s">
        <v>45</v>
      </c>
      <c r="D186" s="6" t="s">
        <v>46</v>
      </c>
      <c r="E186" s="6" t="s">
        <v>47</v>
      </c>
      <c r="F186" s="6" t="s">
        <v>659</v>
      </c>
      <c r="G186" s="7">
        <v>250</v>
      </c>
    </row>
    <row r="187" spans="1:7" x14ac:dyDescent="0.3">
      <c r="A187" s="18">
        <v>46113</v>
      </c>
      <c r="B187" s="18" t="s">
        <v>873</v>
      </c>
      <c r="C187" s="18" t="s">
        <v>45</v>
      </c>
      <c r="D187" s="6" t="s">
        <v>46</v>
      </c>
      <c r="E187" s="6" t="s">
        <v>47</v>
      </c>
      <c r="F187" s="6" t="s">
        <v>659</v>
      </c>
      <c r="G187" s="7">
        <v>250</v>
      </c>
    </row>
    <row r="188" spans="1:7" x14ac:dyDescent="0.3">
      <c r="A188" s="18">
        <v>46113</v>
      </c>
      <c r="B188" s="18" t="s">
        <v>873</v>
      </c>
      <c r="C188" s="18" t="s">
        <v>45</v>
      </c>
      <c r="D188" s="6" t="s">
        <v>46</v>
      </c>
      <c r="E188" s="6" t="s">
        <v>47</v>
      </c>
      <c r="F188" s="6" t="s">
        <v>659</v>
      </c>
      <c r="G188" s="7">
        <v>250</v>
      </c>
    </row>
    <row r="189" spans="1:7" x14ac:dyDescent="0.3">
      <c r="A189" s="18">
        <v>46113</v>
      </c>
      <c r="B189" s="18" t="s">
        <v>873</v>
      </c>
      <c r="C189" s="18" t="s">
        <v>45</v>
      </c>
      <c r="D189" s="6" t="s">
        <v>46</v>
      </c>
      <c r="E189" s="6" t="s">
        <v>47</v>
      </c>
      <c r="F189" s="6" t="s">
        <v>659</v>
      </c>
      <c r="G189" s="7">
        <v>250</v>
      </c>
    </row>
    <row r="190" spans="1:7" x14ac:dyDescent="0.3">
      <c r="A190" s="18">
        <v>46113</v>
      </c>
      <c r="B190" s="18" t="s">
        <v>873</v>
      </c>
      <c r="C190" s="18" t="s">
        <v>45</v>
      </c>
      <c r="D190" s="6" t="s">
        <v>46</v>
      </c>
      <c r="E190" s="6" t="s">
        <v>47</v>
      </c>
      <c r="F190" s="6" t="s">
        <v>659</v>
      </c>
      <c r="G190" s="7">
        <v>250</v>
      </c>
    </row>
    <row r="191" spans="1:7" x14ac:dyDescent="0.3">
      <c r="A191" s="18">
        <v>46113</v>
      </c>
      <c r="B191" s="18" t="s">
        <v>873</v>
      </c>
      <c r="C191" s="18" t="s">
        <v>45</v>
      </c>
      <c r="D191" s="6" t="s">
        <v>46</v>
      </c>
      <c r="E191" s="6" t="s">
        <v>47</v>
      </c>
      <c r="F191" s="6" t="s">
        <v>659</v>
      </c>
      <c r="G191" s="7">
        <v>250</v>
      </c>
    </row>
    <row r="192" spans="1:7" x14ac:dyDescent="0.3">
      <c r="A192" s="18">
        <v>46113</v>
      </c>
      <c r="B192" s="18" t="s">
        <v>873</v>
      </c>
      <c r="C192" s="18" t="s">
        <v>45</v>
      </c>
      <c r="D192" s="6" t="s">
        <v>46</v>
      </c>
      <c r="E192" s="6" t="s">
        <v>47</v>
      </c>
      <c r="F192" s="6" t="s">
        <v>659</v>
      </c>
      <c r="G192" s="7">
        <v>250</v>
      </c>
    </row>
    <row r="193" spans="1:7" x14ac:dyDescent="0.3">
      <c r="A193" s="18">
        <v>46147</v>
      </c>
      <c r="B193" s="18" t="s">
        <v>873</v>
      </c>
      <c r="C193" s="18" t="s">
        <v>45</v>
      </c>
      <c r="D193" s="6" t="s">
        <v>46</v>
      </c>
      <c r="E193" s="6" t="s">
        <v>47</v>
      </c>
      <c r="F193" s="6" t="s">
        <v>659</v>
      </c>
      <c r="G193" s="3">
        <v>250</v>
      </c>
    </row>
    <row r="194" spans="1:7" x14ac:dyDescent="0.3">
      <c r="A194" s="18">
        <v>46149</v>
      </c>
      <c r="B194" s="18" t="s">
        <v>873</v>
      </c>
      <c r="C194" s="18" t="s">
        <v>45</v>
      </c>
      <c r="D194" s="6" t="s">
        <v>46</v>
      </c>
      <c r="E194" s="6" t="s">
        <v>47</v>
      </c>
      <c r="F194" s="6" t="s">
        <v>659</v>
      </c>
      <c r="G194" s="3">
        <v>250</v>
      </c>
    </row>
    <row r="195" spans="1:7" x14ac:dyDescent="0.3">
      <c r="A195" s="18">
        <v>46156</v>
      </c>
      <c r="B195" s="18" t="s">
        <v>873</v>
      </c>
      <c r="C195" s="18" t="s">
        <v>45</v>
      </c>
      <c r="D195" s="6" t="s">
        <v>46</v>
      </c>
      <c r="E195" s="6" t="s">
        <v>47</v>
      </c>
      <c r="F195" s="6" t="s">
        <v>659</v>
      </c>
      <c r="G195" s="7">
        <v>1000</v>
      </c>
    </row>
    <row r="196" spans="1:7" x14ac:dyDescent="0.3">
      <c r="A196" s="18">
        <v>46163</v>
      </c>
      <c r="B196" s="18" t="s">
        <v>873</v>
      </c>
      <c r="C196" s="18" t="s">
        <v>45</v>
      </c>
      <c r="D196" s="6" t="s">
        <v>46</v>
      </c>
      <c r="E196" s="6" t="s">
        <v>47</v>
      </c>
      <c r="F196" s="6" t="s">
        <v>659</v>
      </c>
      <c r="G196" s="9">
        <v>750</v>
      </c>
    </row>
    <row r="197" spans="1:7" x14ac:dyDescent="0.3">
      <c r="A197" s="18">
        <v>46170</v>
      </c>
      <c r="B197" s="18" t="s">
        <v>873</v>
      </c>
      <c r="C197" s="18" t="s">
        <v>45</v>
      </c>
      <c r="D197" s="6" t="s">
        <v>46</v>
      </c>
      <c r="E197" s="6" t="s">
        <v>47</v>
      </c>
      <c r="F197" s="6" t="s">
        <v>659</v>
      </c>
      <c r="G197" s="9">
        <v>750</v>
      </c>
    </row>
    <row r="198" spans="1:7" x14ac:dyDescent="0.3">
      <c r="A198" s="18">
        <v>46176</v>
      </c>
      <c r="B198" s="18" t="s">
        <v>873</v>
      </c>
      <c r="C198" s="18" t="s">
        <v>45</v>
      </c>
      <c r="D198" s="6" t="s">
        <v>46</v>
      </c>
      <c r="E198" s="6" t="s">
        <v>47</v>
      </c>
      <c r="F198" s="6" t="s">
        <v>659</v>
      </c>
      <c r="G198" s="9">
        <v>750</v>
      </c>
    </row>
    <row r="199" spans="1:7" x14ac:dyDescent="0.3">
      <c r="A199" s="18">
        <v>46184</v>
      </c>
      <c r="B199" s="18" t="s">
        <v>873</v>
      </c>
      <c r="C199" s="18" t="s">
        <v>45</v>
      </c>
      <c r="D199" s="6" t="s">
        <v>46</v>
      </c>
      <c r="E199" s="6" t="s">
        <v>47</v>
      </c>
      <c r="F199" s="6" t="s">
        <v>659</v>
      </c>
      <c r="G199" s="3">
        <v>500</v>
      </c>
    </row>
    <row r="200" spans="1:7" x14ac:dyDescent="0.3">
      <c r="A200" s="18">
        <v>46191</v>
      </c>
      <c r="B200" s="18" t="s">
        <v>873</v>
      </c>
      <c r="C200" s="18" t="s">
        <v>45</v>
      </c>
      <c r="D200" s="6" t="s">
        <v>46</v>
      </c>
      <c r="E200" s="6" t="s">
        <v>47</v>
      </c>
      <c r="F200" s="6" t="s">
        <v>659</v>
      </c>
      <c r="G200" s="7">
        <v>750</v>
      </c>
    </row>
    <row r="201" spans="1:7" x14ac:dyDescent="0.3">
      <c r="A201" s="18">
        <v>46198</v>
      </c>
      <c r="B201" s="18" t="s">
        <v>873</v>
      </c>
      <c r="C201" s="18" t="s">
        <v>45</v>
      </c>
      <c r="D201" s="6" t="s">
        <v>46</v>
      </c>
      <c r="E201" s="6" t="s">
        <v>47</v>
      </c>
      <c r="F201" s="6" t="s">
        <v>659</v>
      </c>
      <c r="G201" s="3">
        <v>750</v>
      </c>
    </row>
    <row r="202" spans="1:7" x14ac:dyDescent="0.3">
      <c r="A202" s="18">
        <v>46066</v>
      </c>
      <c r="B202" s="18" t="s">
        <v>873</v>
      </c>
      <c r="C202" s="18" t="s">
        <v>79</v>
      </c>
      <c r="D202" s="6" t="s">
        <v>291</v>
      </c>
      <c r="E202" s="6" t="s">
        <v>47</v>
      </c>
      <c r="F202" s="6" t="s">
        <v>659</v>
      </c>
      <c r="G202" s="7">
        <v>3729.96</v>
      </c>
    </row>
    <row r="203" spans="1:7" x14ac:dyDescent="0.3">
      <c r="A203" s="18">
        <v>46097</v>
      </c>
      <c r="B203" s="18" t="s">
        <v>873</v>
      </c>
      <c r="C203" s="18" t="s">
        <v>79</v>
      </c>
      <c r="D203" s="6" t="s">
        <v>291</v>
      </c>
      <c r="E203" s="6" t="s">
        <v>47</v>
      </c>
      <c r="F203" s="6" t="s">
        <v>659</v>
      </c>
      <c r="G203" s="7">
        <v>3729.96</v>
      </c>
    </row>
    <row r="204" spans="1:7" x14ac:dyDescent="0.3">
      <c r="A204" s="18">
        <v>46113</v>
      </c>
      <c r="B204" s="18" t="s">
        <v>873</v>
      </c>
      <c r="C204" s="18" t="s">
        <v>79</v>
      </c>
      <c r="D204" s="6" t="s">
        <v>291</v>
      </c>
      <c r="E204" s="6" t="s">
        <v>47</v>
      </c>
      <c r="F204" s="6" t="s">
        <v>659</v>
      </c>
      <c r="G204" s="7">
        <v>3729.96</v>
      </c>
    </row>
    <row r="205" spans="1:7" x14ac:dyDescent="0.3">
      <c r="A205" s="18">
        <v>46148</v>
      </c>
      <c r="B205" s="18" t="s">
        <v>873</v>
      </c>
      <c r="C205" s="18" t="s">
        <v>79</v>
      </c>
      <c r="D205" s="10" t="s">
        <v>291</v>
      </c>
      <c r="E205" s="6" t="s">
        <v>47</v>
      </c>
      <c r="F205" s="6" t="s">
        <v>659</v>
      </c>
      <c r="G205" s="3">
        <v>3729.96</v>
      </c>
    </row>
    <row r="206" spans="1:7" x14ac:dyDescent="0.3">
      <c r="A206" s="18">
        <v>46185</v>
      </c>
      <c r="B206" s="46" t="s">
        <v>873</v>
      </c>
      <c r="C206" s="46" t="s">
        <v>79</v>
      </c>
      <c r="D206" s="10" t="s">
        <v>291</v>
      </c>
      <c r="E206" s="6" t="s">
        <v>47</v>
      </c>
      <c r="F206" s="6" t="s">
        <v>659</v>
      </c>
      <c r="G206" s="3">
        <v>3729.96</v>
      </c>
    </row>
    <row r="207" spans="1:7" x14ac:dyDescent="0.3">
      <c r="A207" s="18">
        <v>46064</v>
      </c>
      <c r="B207" s="18" t="s">
        <v>873</v>
      </c>
      <c r="C207" s="18" t="s">
        <v>58</v>
      </c>
      <c r="D207" s="6" t="s">
        <v>223</v>
      </c>
      <c r="E207" s="6" t="s">
        <v>47</v>
      </c>
      <c r="F207" s="6" t="s">
        <v>659</v>
      </c>
      <c r="G207" s="7">
        <v>980</v>
      </c>
    </row>
    <row r="208" spans="1:7" x14ac:dyDescent="0.3">
      <c r="A208" s="18">
        <v>46085</v>
      </c>
      <c r="B208" s="18" t="s">
        <v>873</v>
      </c>
      <c r="C208" s="18" t="s">
        <v>58</v>
      </c>
      <c r="D208" s="6" t="s">
        <v>223</v>
      </c>
      <c r="E208" s="6" t="s">
        <v>47</v>
      </c>
      <c r="F208" s="6" t="s">
        <v>659</v>
      </c>
      <c r="G208" s="7">
        <v>700</v>
      </c>
    </row>
    <row r="209" spans="1:7" x14ac:dyDescent="0.3">
      <c r="A209" s="18">
        <v>46101</v>
      </c>
      <c r="B209" s="18" t="s">
        <v>873</v>
      </c>
      <c r="C209" s="18" t="s">
        <v>58</v>
      </c>
      <c r="D209" s="6" t="s">
        <v>22</v>
      </c>
      <c r="E209" s="6" t="s">
        <v>47</v>
      </c>
      <c r="F209" s="6" t="s">
        <v>659</v>
      </c>
      <c r="G209" s="7">
        <v>200</v>
      </c>
    </row>
    <row r="210" spans="1:7" x14ac:dyDescent="0.3">
      <c r="A210" s="18">
        <v>46163</v>
      </c>
      <c r="B210" s="18" t="s">
        <v>873</v>
      </c>
      <c r="C210" s="18" t="s">
        <v>58</v>
      </c>
      <c r="D210" s="6" t="s">
        <v>187</v>
      </c>
      <c r="E210" s="6" t="s">
        <v>47</v>
      </c>
      <c r="F210" s="6" t="s">
        <v>659</v>
      </c>
      <c r="G210" s="7">
        <v>380</v>
      </c>
    </row>
    <row r="211" spans="1:7" x14ac:dyDescent="0.3">
      <c r="A211" s="18">
        <v>46073</v>
      </c>
      <c r="B211" s="18" t="s">
        <v>873</v>
      </c>
      <c r="C211" s="18" t="s">
        <v>58</v>
      </c>
      <c r="D211" s="6" t="s">
        <v>229</v>
      </c>
      <c r="E211" s="6" t="s">
        <v>47</v>
      </c>
      <c r="F211" s="6" t="s">
        <v>659</v>
      </c>
      <c r="G211" s="7">
        <v>1000</v>
      </c>
    </row>
    <row r="212" spans="1:7" x14ac:dyDescent="0.3">
      <c r="A212" s="18">
        <v>46076</v>
      </c>
      <c r="B212" s="18" t="s">
        <v>873</v>
      </c>
      <c r="C212" s="18" t="s">
        <v>58</v>
      </c>
      <c r="D212" s="6" t="s">
        <v>251</v>
      </c>
      <c r="E212" s="6" t="s">
        <v>47</v>
      </c>
      <c r="F212" s="6" t="s">
        <v>659</v>
      </c>
      <c r="G212" s="7">
        <v>1000</v>
      </c>
    </row>
    <row r="213" spans="1:7" x14ac:dyDescent="0.3">
      <c r="A213" s="18">
        <v>46077</v>
      </c>
      <c r="B213" s="18" t="s">
        <v>873</v>
      </c>
      <c r="C213" s="18" t="s">
        <v>58</v>
      </c>
      <c r="D213" s="6" t="s">
        <v>251</v>
      </c>
      <c r="E213" s="6" t="s">
        <v>47</v>
      </c>
      <c r="F213" s="6" t="s">
        <v>659</v>
      </c>
      <c r="G213" s="7">
        <v>1350</v>
      </c>
    </row>
    <row r="214" spans="1:7" x14ac:dyDescent="0.3">
      <c r="A214" s="18">
        <v>46113</v>
      </c>
      <c r="B214" s="18" t="s">
        <v>873</v>
      </c>
      <c r="C214" s="18" t="s">
        <v>81</v>
      </c>
      <c r="D214" s="6" t="s">
        <v>735</v>
      </c>
      <c r="E214" s="6" t="s">
        <v>47</v>
      </c>
      <c r="F214" s="6" t="s">
        <v>656</v>
      </c>
      <c r="G214" s="7">
        <v>33.020000000000003</v>
      </c>
    </row>
    <row r="215" spans="1:7" x14ac:dyDescent="0.3">
      <c r="A215" s="18">
        <v>46149</v>
      </c>
      <c r="B215" s="18" t="s">
        <v>873</v>
      </c>
      <c r="C215" s="18" t="s">
        <v>81</v>
      </c>
      <c r="D215" s="6" t="s">
        <v>885</v>
      </c>
      <c r="E215" s="6" t="s">
        <v>47</v>
      </c>
      <c r="F215" s="6" t="s">
        <v>656</v>
      </c>
      <c r="G215" s="7">
        <v>157.47</v>
      </c>
    </row>
    <row r="216" spans="1:7" x14ac:dyDescent="0.3">
      <c r="A216" s="18">
        <v>46028</v>
      </c>
      <c r="B216" s="18" t="s">
        <v>873</v>
      </c>
      <c r="C216" s="18" t="s">
        <v>81</v>
      </c>
      <c r="D216" s="6" t="s">
        <v>211</v>
      </c>
      <c r="E216" s="6" t="s">
        <v>57</v>
      </c>
      <c r="F216" s="6" t="s">
        <v>656</v>
      </c>
      <c r="G216" s="7">
        <v>11.04</v>
      </c>
    </row>
    <row r="217" spans="1:7" x14ac:dyDescent="0.3">
      <c r="A217" s="18">
        <v>46113</v>
      </c>
      <c r="B217" s="18" t="s">
        <v>873</v>
      </c>
      <c r="C217" s="18" t="s">
        <v>81</v>
      </c>
      <c r="D217" s="6" t="s">
        <v>547</v>
      </c>
      <c r="E217" s="6" t="s">
        <v>47</v>
      </c>
      <c r="F217" s="6" t="s">
        <v>656</v>
      </c>
      <c r="G217" s="7">
        <v>10</v>
      </c>
    </row>
    <row r="218" spans="1:7" x14ac:dyDescent="0.3">
      <c r="A218" s="18">
        <v>46113</v>
      </c>
      <c r="B218" s="18" t="s">
        <v>873</v>
      </c>
      <c r="C218" s="18" t="s">
        <v>81</v>
      </c>
      <c r="D218" s="6" t="s">
        <v>407</v>
      </c>
      <c r="E218" s="6" t="s">
        <v>47</v>
      </c>
      <c r="F218" s="6" t="s">
        <v>656</v>
      </c>
      <c r="G218" s="7">
        <v>10</v>
      </c>
    </row>
    <row r="219" spans="1:7" x14ac:dyDescent="0.3">
      <c r="A219" s="18">
        <v>46113</v>
      </c>
      <c r="B219" s="18" t="s">
        <v>873</v>
      </c>
      <c r="C219" s="18" t="s">
        <v>81</v>
      </c>
      <c r="D219" s="6" t="s">
        <v>767</v>
      </c>
      <c r="E219" s="6" t="s">
        <v>47</v>
      </c>
      <c r="F219" s="6" t="s">
        <v>656</v>
      </c>
      <c r="G219" s="7">
        <v>44.93</v>
      </c>
    </row>
    <row r="220" spans="1:7" x14ac:dyDescent="0.3">
      <c r="A220" s="18">
        <v>46027</v>
      </c>
      <c r="B220" s="18" t="s">
        <v>873</v>
      </c>
      <c r="C220" s="18" t="s">
        <v>81</v>
      </c>
      <c r="D220" s="6" t="s">
        <v>153</v>
      </c>
      <c r="E220" s="6" t="s">
        <v>47</v>
      </c>
      <c r="F220" s="6" t="s">
        <v>656</v>
      </c>
      <c r="G220" s="7">
        <v>997.89</v>
      </c>
    </row>
    <row r="221" spans="1:7" x14ac:dyDescent="0.3">
      <c r="A221" s="18">
        <v>46093</v>
      </c>
      <c r="B221" s="18" t="s">
        <v>873</v>
      </c>
      <c r="C221" s="18" t="s">
        <v>81</v>
      </c>
      <c r="D221" s="6" t="s">
        <v>553</v>
      </c>
      <c r="E221" s="6" t="s">
        <v>47</v>
      </c>
      <c r="F221" s="6" t="s">
        <v>656</v>
      </c>
      <c r="G221" s="7">
        <v>52.6</v>
      </c>
    </row>
    <row r="222" spans="1:7" x14ac:dyDescent="0.3">
      <c r="A222" s="18">
        <v>46073</v>
      </c>
      <c r="B222" s="18" t="s">
        <v>873</v>
      </c>
      <c r="C222" s="18" t="s">
        <v>81</v>
      </c>
      <c r="D222" s="6" t="s">
        <v>390</v>
      </c>
      <c r="E222" s="6" t="s">
        <v>47</v>
      </c>
      <c r="F222" s="6" t="s">
        <v>656</v>
      </c>
      <c r="G222" s="7">
        <v>73.36</v>
      </c>
    </row>
    <row r="223" spans="1:7" x14ac:dyDescent="0.3">
      <c r="A223" s="18">
        <v>46027</v>
      </c>
      <c r="B223" s="18" t="s">
        <v>873</v>
      </c>
      <c r="C223" s="18" t="s">
        <v>81</v>
      </c>
      <c r="D223" s="6" t="s">
        <v>341</v>
      </c>
      <c r="E223" s="6" t="s">
        <v>47</v>
      </c>
      <c r="F223" s="6" t="s">
        <v>656</v>
      </c>
      <c r="G223" s="7">
        <v>447.93</v>
      </c>
    </row>
    <row r="224" spans="1:7" x14ac:dyDescent="0.3">
      <c r="A224" s="18">
        <v>46030</v>
      </c>
      <c r="B224" s="18" t="s">
        <v>873</v>
      </c>
      <c r="C224" s="18" t="s">
        <v>81</v>
      </c>
      <c r="D224" s="6" t="s">
        <v>341</v>
      </c>
      <c r="E224" s="6" t="s">
        <v>47</v>
      </c>
      <c r="F224" s="6" t="s">
        <v>656</v>
      </c>
      <c r="G224" s="7">
        <v>182.23</v>
      </c>
    </row>
    <row r="225" spans="1:7" x14ac:dyDescent="0.3">
      <c r="A225" s="18">
        <v>46148</v>
      </c>
      <c r="B225" s="18" t="s">
        <v>873</v>
      </c>
      <c r="C225" s="18" t="s">
        <v>81</v>
      </c>
      <c r="D225" s="6" t="s">
        <v>341</v>
      </c>
      <c r="E225" s="6" t="s">
        <v>47</v>
      </c>
      <c r="F225" s="6" t="s">
        <v>656</v>
      </c>
      <c r="G225" s="7">
        <v>924.44</v>
      </c>
    </row>
    <row r="226" spans="1:7" x14ac:dyDescent="0.3">
      <c r="A226" s="18">
        <v>46024</v>
      </c>
      <c r="B226" s="18" t="s">
        <v>873</v>
      </c>
      <c r="C226" s="18" t="s">
        <v>81</v>
      </c>
      <c r="D226" s="6" t="s">
        <v>447</v>
      </c>
      <c r="E226" s="6" t="s">
        <v>47</v>
      </c>
      <c r="F226" s="6" t="s">
        <v>659</v>
      </c>
      <c r="G226" s="7">
        <v>1580</v>
      </c>
    </row>
    <row r="227" spans="1:7" x14ac:dyDescent="0.3">
      <c r="A227" s="18">
        <v>46113</v>
      </c>
      <c r="B227" s="18" t="s">
        <v>873</v>
      </c>
      <c r="C227" s="18" t="s">
        <v>81</v>
      </c>
      <c r="D227" s="6" t="s">
        <v>733</v>
      </c>
      <c r="E227" s="6" t="s">
        <v>47</v>
      </c>
      <c r="F227" s="6" t="s">
        <v>656</v>
      </c>
      <c r="G227" s="7">
        <v>80.400000000000006</v>
      </c>
    </row>
    <row r="228" spans="1:7" x14ac:dyDescent="0.3">
      <c r="A228" s="18">
        <v>46041</v>
      </c>
      <c r="B228" s="18" t="s">
        <v>873</v>
      </c>
      <c r="C228" s="18" t="s">
        <v>81</v>
      </c>
      <c r="D228" s="6" t="s">
        <v>381</v>
      </c>
      <c r="E228" s="6" t="s">
        <v>47</v>
      </c>
      <c r="F228" s="6" t="s">
        <v>656</v>
      </c>
      <c r="G228" s="7">
        <v>53.23</v>
      </c>
    </row>
    <row r="229" spans="1:7" x14ac:dyDescent="0.3">
      <c r="A229" s="18">
        <v>46058</v>
      </c>
      <c r="B229" s="18" t="s">
        <v>873</v>
      </c>
      <c r="C229" s="18" t="s">
        <v>81</v>
      </c>
      <c r="D229" s="6" t="s">
        <v>381</v>
      </c>
      <c r="E229" s="6" t="s">
        <v>47</v>
      </c>
      <c r="F229" s="6" t="s">
        <v>656</v>
      </c>
      <c r="G229" s="7">
        <v>33.9</v>
      </c>
    </row>
    <row r="230" spans="1:7" x14ac:dyDescent="0.3">
      <c r="A230" s="18">
        <v>46072</v>
      </c>
      <c r="B230" s="18" t="s">
        <v>873</v>
      </c>
      <c r="C230" s="18" t="s">
        <v>81</v>
      </c>
      <c r="D230" s="6" t="s">
        <v>381</v>
      </c>
      <c r="E230" s="6" t="s">
        <v>47</v>
      </c>
      <c r="F230" s="6" t="s">
        <v>656</v>
      </c>
      <c r="G230" s="7">
        <v>193.99</v>
      </c>
    </row>
    <row r="231" spans="1:7" x14ac:dyDescent="0.3">
      <c r="A231" s="18">
        <v>46072</v>
      </c>
      <c r="B231" s="18" t="s">
        <v>873</v>
      </c>
      <c r="C231" s="18" t="s">
        <v>81</v>
      </c>
      <c r="D231" s="6" t="s">
        <v>381</v>
      </c>
      <c r="E231" s="6" t="s">
        <v>47</v>
      </c>
      <c r="F231" s="6" t="s">
        <v>656</v>
      </c>
      <c r="G231" s="7">
        <v>491.86</v>
      </c>
    </row>
    <row r="232" spans="1:7" x14ac:dyDescent="0.3">
      <c r="A232" s="18">
        <v>46074</v>
      </c>
      <c r="B232" s="18" t="s">
        <v>873</v>
      </c>
      <c r="C232" s="18" t="s">
        <v>81</v>
      </c>
      <c r="D232" s="6" t="s">
        <v>381</v>
      </c>
      <c r="E232" s="6" t="s">
        <v>47</v>
      </c>
      <c r="F232" s="6" t="s">
        <v>656</v>
      </c>
      <c r="G232" s="7">
        <v>52.21</v>
      </c>
    </row>
    <row r="233" spans="1:7" x14ac:dyDescent="0.3">
      <c r="A233" s="18">
        <v>46074</v>
      </c>
      <c r="B233" s="18" t="s">
        <v>873</v>
      </c>
      <c r="C233" s="18" t="s">
        <v>81</v>
      </c>
      <c r="D233" s="6" t="s">
        <v>381</v>
      </c>
      <c r="E233" s="6" t="s">
        <v>47</v>
      </c>
      <c r="F233" s="6" t="s">
        <v>656</v>
      </c>
      <c r="G233" s="7">
        <v>229.64</v>
      </c>
    </row>
    <row r="234" spans="1:7" x14ac:dyDescent="0.3">
      <c r="A234" s="18">
        <v>46075</v>
      </c>
      <c r="B234" s="18" t="s">
        <v>873</v>
      </c>
      <c r="C234" s="18" t="s">
        <v>81</v>
      </c>
      <c r="D234" s="6" t="s">
        <v>381</v>
      </c>
      <c r="E234" s="6" t="s">
        <v>47</v>
      </c>
      <c r="F234" s="6" t="s">
        <v>656</v>
      </c>
      <c r="G234" s="7">
        <v>101.31</v>
      </c>
    </row>
    <row r="235" spans="1:7" x14ac:dyDescent="0.3">
      <c r="A235" s="18">
        <v>46078</v>
      </c>
      <c r="B235" s="18" t="s">
        <v>873</v>
      </c>
      <c r="C235" s="18" t="s">
        <v>81</v>
      </c>
      <c r="D235" s="6" t="s">
        <v>381</v>
      </c>
      <c r="E235" s="6" t="s">
        <v>47</v>
      </c>
      <c r="F235" s="6" t="s">
        <v>656</v>
      </c>
      <c r="G235" s="7">
        <v>511.07</v>
      </c>
    </row>
    <row r="236" spans="1:7" x14ac:dyDescent="0.3">
      <c r="A236" s="18">
        <v>46113</v>
      </c>
      <c r="B236" s="18" t="s">
        <v>873</v>
      </c>
      <c r="C236" s="18" t="s">
        <v>81</v>
      </c>
      <c r="D236" s="6" t="s">
        <v>381</v>
      </c>
      <c r="E236" s="6" t="s">
        <v>47</v>
      </c>
      <c r="F236" s="6" t="s">
        <v>656</v>
      </c>
      <c r="G236" s="7">
        <v>162.32</v>
      </c>
    </row>
    <row r="237" spans="1:7" x14ac:dyDescent="0.3">
      <c r="A237" s="18">
        <v>46113</v>
      </c>
      <c r="B237" s="18" t="s">
        <v>873</v>
      </c>
      <c r="C237" s="18" t="s">
        <v>81</v>
      </c>
      <c r="D237" s="6" t="s">
        <v>381</v>
      </c>
      <c r="E237" s="6" t="s">
        <v>47</v>
      </c>
      <c r="F237" s="6" t="s">
        <v>656</v>
      </c>
      <c r="G237" s="7">
        <v>493.7</v>
      </c>
    </row>
    <row r="238" spans="1:7" x14ac:dyDescent="0.3">
      <c r="A238" s="18">
        <v>46113</v>
      </c>
      <c r="B238" s="18" t="s">
        <v>873</v>
      </c>
      <c r="C238" s="18" t="s">
        <v>81</v>
      </c>
      <c r="D238" s="6" t="s">
        <v>381</v>
      </c>
      <c r="E238" s="6" t="s">
        <v>47</v>
      </c>
      <c r="F238" s="6" t="s">
        <v>656</v>
      </c>
      <c r="G238" s="7">
        <v>87.42</v>
      </c>
    </row>
    <row r="239" spans="1:7" x14ac:dyDescent="0.3">
      <c r="A239" s="18">
        <v>46113</v>
      </c>
      <c r="B239" s="18" t="s">
        <v>873</v>
      </c>
      <c r="C239" s="18" t="s">
        <v>81</v>
      </c>
      <c r="D239" s="6" t="s">
        <v>381</v>
      </c>
      <c r="E239" s="6" t="s">
        <v>47</v>
      </c>
      <c r="F239" s="6" t="s">
        <v>656</v>
      </c>
      <c r="G239" s="7">
        <v>391.05</v>
      </c>
    </row>
    <row r="240" spans="1:7" x14ac:dyDescent="0.3">
      <c r="A240" s="18">
        <v>46113</v>
      </c>
      <c r="B240" s="18" t="s">
        <v>873</v>
      </c>
      <c r="C240" s="18" t="s">
        <v>81</v>
      </c>
      <c r="D240" s="6" t="s">
        <v>381</v>
      </c>
      <c r="E240" s="6" t="s">
        <v>47</v>
      </c>
      <c r="F240" s="6" t="s">
        <v>656</v>
      </c>
      <c r="G240" s="7">
        <v>160.66</v>
      </c>
    </row>
    <row r="241" spans="1:7" x14ac:dyDescent="0.3">
      <c r="A241" s="18">
        <v>46113</v>
      </c>
      <c r="B241" s="18" t="s">
        <v>873</v>
      </c>
      <c r="C241" s="18" t="s">
        <v>81</v>
      </c>
      <c r="D241" s="6" t="s">
        <v>381</v>
      </c>
      <c r="E241" s="6" t="s">
        <v>47</v>
      </c>
      <c r="F241" s="6" t="s">
        <v>656</v>
      </c>
      <c r="G241" s="7">
        <v>106.78</v>
      </c>
    </row>
    <row r="242" spans="1:7" x14ac:dyDescent="0.3">
      <c r="A242" s="18">
        <v>46113</v>
      </c>
      <c r="B242" s="18" t="s">
        <v>873</v>
      </c>
      <c r="C242" s="18" t="s">
        <v>81</v>
      </c>
      <c r="D242" s="6" t="s">
        <v>381</v>
      </c>
      <c r="E242" s="6" t="s">
        <v>47</v>
      </c>
      <c r="F242" s="6" t="s">
        <v>656</v>
      </c>
      <c r="G242" s="7">
        <v>252.61</v>
      </c>
    </row>
    <row r="243" spans="1:7" x14ac:dyDescent="0.3">
      <c r="A243" s="18">
        <v>46149</v>
      </c>
      <c r="B243" s="18" t="s">
        <v>873</v>
      </c>
      <c r="C243" s="18" t="s">
        <v>81</v>
      </c>
      <c r="D243" s="6" t="s">
        <v>381</v>
      </c>
      <c r="E243" s="6" t="s">
        <v>47</v>
      </c>
      <c r="F243" s="6" t="s">
        <v>656</v>
      </c>
      <c r="G243" s="7">
        <v>129.22999999999999</v>
      </c>
    </row>
    <row r="244" spans="1:7" x14ac:dyDescent="0.3">
      <c r="A244" s="18">
        <v>46154</v>
      </c>
      <c r="B244" s="18" t="s">
        <v>873</v>
      </c>
      <c r="C244" s="18" t="s">
        <v>81</v>
      </c>
      <c r="D244" s="6" t="s">
        <v>381</v>
      </c>
      <c r="E244" s="6" t="s">
        <v>47</v>
      </c>
      <c r="F244" s="6" t="s">
        <v>656</v>
      </c>
      <c r="G244" s="7">
        <v>173.79</v>
      </c>
    </row>
    <row r="245" spans="1:7" x14ac:dyDescent="0.3">
      <c r="A245" s="18">
        <v>46161</v>
      </c>
      <c r="B245" s="18" t="s">
        <v>873</v>
      </c>
      <c r="C245" s="18" t="s">
        <v>81</v>
      </c>
      <c r="D245" s="6" t="s">
        <v>381</v>
      </c>
      <c r="E245" s="6" t="s">
        <v>47</v>
      </c>
      <c r="F245" s="6" t="s">
        <v>656</v>
      </c>
      <c r="G245" s="7">
        <v>118.9</v>
      </c>
    </row>
    <row r="246" spans="1:7" x14ac:dyDescent="0.3">
      <c r="A246" s="18">
        <v>46190</v>
      </c>
      <c r="B246" s="18" t="s">
        <v>873</v>
      </c>
      <c r="C246" s="18" t="s">
        <v>81</v>
      </c>
      <c r="D246" s="6" t="s">
        <v>381</v>
      </c>
      <c r="E246" s="6" t="s">
        <v>47</v>
      </c>
      <c r="F246" s="6" t="s">
        <v>656</v>
      </c>
      <c r="G246" s="7">
        <v>726.58</v>
      </c>
    </row>
    <row r="247" spans="1:7" x14ac:dyDescent="0.3">
      <c r="A247" s="18">
        <v>46190</v>
      </c>
      <c r="B247" s="18" t="s">
        <v>873</v>
      </c>
      <c r="C247" s="18" t="s">
        <v>81</v>
      </c>
      <c r="D247" s="6" t="s">
        <v>381</v>
      </c>
      <c r="E247" s="6" t="s">
        <v>47</v>
      </c>
      <c r="F247" s="6" t="s">
        <v>656</v>
      </c>
      <c r="G247" s="7">
        <v>102.69</v>
      </c>
    </row>
    <row r="248" spans="1:7" x14ac:dyDescent="0.3">
      <c r="A248" s="18">
        <v>46194</v>
      </c>
      <c r="B248" s="18" t="s">
        <v>873</v>
      </c>
      <c r="C248" s="18" t="s">
        <v>81</v>
      </c>
      <c r="D248" s="6" t="s">
        <v>381</v>
      </c>
      <c r="E248" s="6" t="s">
        <v>47</v>
      </c>
      <c r="F248" s="6" t="s">
        <v>656</v>
      </c>
      <c r="G248" s="7">
        <v>458.42</v>
      </c>
    </row>
    <row r="249" spans="1:7" x14ac:dyDescent="0.3">
      <c r="A249" s="18">
        <v>46197</v>
      </c>
      <c r="B249" s="18" t="s">
        <v>873</v>
      </c>
      <c r="C249" s="18" t="s">
        <v>81</v>
      </c>
      <c r="D249" s="6" t="s">
        <v>381</v>
      </c>
      <c r="E249" s="6" t="s">
        <v>47</v>
      </c>
      <c r="F249" s="6" t="s">
        <v>656</v>
      </c>
      <c r="G249" s="7">
        <v>48.22</v>
      </c>
    </row>
    <row r="250" spans="1:7" x14ac:dyDescent="0.3">
      <c r="A250" s="18">
        <v>46200</v>
      </c>
      <c r="B250" s="18" t="s">
        <v>873</v>
      </c>
      <c r="C250" s="18" t="s">
        <v>81</v>
      </c>
      <c r="D250" s="6" t="s">
        <v>381</v>
      </c>
      <c r="E250" s="6" t="s">
        <v>47</v>
      </c>
      <c r="F250" s="6" t="s">
        <v>656</v>
      </c>
      <c r="G250" s="7">
        <v>170.18</v>
      </c>
    </row>
    <row r="251" spans="1:7" x14ac:dyDescent="0.3">
      <c r="A251" s="18">
        <v>46200</v>
      </c>
      <c r="B251" s="18" t="s">
        <v>873</v>
      </c>
      <c r="C251" s="18" t="s">
        <v>81</v>
      </c>
      <c r="D251" s="6" t="s">
        <v>381</v>
      </c>
      <c r="E251" s="6" t="s">
        <v>47</v>
      </c>
      <c r="F251" s="6" t="s">
        <v>656</v>
      </c>
      <c r="G251" s="7">
        <v>68</v>
      </c>
    </row>
    <row r="252" spans="1:7" x14ac:dyDescent="0.3">
      <c r="A252" s="18">
        <v>46201</v>
      </c>
      <c r="B252" s="18" t="s">
        <v>873</v>
      </c>
      <c r="C252" s="18" t="s">
        <v>81</v>
      </c>
      <c r="D252" s="6" t="s">
        <v>381</v>
      </c>
      <c r="E252" s="6" t="s">
        <v>47</v>
      </c>
      <c r="F252" s="6" t="s">
        <v>656</v>
      </c>
      <c r="G252" s="7">
        <v>256.39999999999998</v>
      </c>
    </row>
    <row r="253" spans="1:7" x14ac:dyDescent="0.3">
      <c r="A253" s="18">
        <v>46113</v>
      </c>
      <c r="B253" s="18" t="s">
        <v>873</v>
      </c>
      <c r="C253" s="18" t="s">
        <v>81</v>
      </c>
      <c r="D253" s="6" t="s">
        <v>574</v>
      </c>
      <c r="E253" s="6" t="s">
        <v>47</v>
      </c>
      <c r="F253" s="6" t="s">
        <v>656</v>
      </c>
      <c r="G253" s="7">
        <v>830.55</v>
      </c>
    </row>
    <row r="254" spans="1:7" x14ac:dyDescent="0.3">
      <c r="A254" s="18">
        <v>46113</v>
      </c>
      <c r="B254" s="18" t="s">
        <v>873</v>
      </c>
      <c r="C254" s="18" t="s">
        <v>81</v>
      </c>
      <c r="D254" s="6" t="s">
        <v>236</v>
      </c>
      <c r="E254" s="6" t="s">
        <v>47</v>
      </c>
      <c r="F254" s="6" t="s">
        <v>656</v>
      </c>
      <c r="G254" s="7">
        <v>38.72</v>
      </c>
    </row>
    <row r="255" spans="1:7" x14ac:dyDescent="0.3">
      <c r="A255" s="18">
        <v>46113</v>
      </c>
      <c r="B255" s="18" t="s">
        <v>873</v>
      </c>
      <c r="C255" s="18" t="s">
        <v>81</v>
      </c>
      <c r="D255" s="6" t="s">
        <v>236</v>
      </c>
      <c r="E255" s="6" t="s">
        <v>47</v>
      </c>
      <c r="F255" s="6" t="s">
        <v>656</v>
      </c>
      <c r="G255" s="7">
        <v>237.94</v>
      </c>
    </row>
    <row r="256" spans="1:7" x14ac:dyDescent="0.3">
      <c r="A256" s="18">
        <v>46090</v>
      </c>
      <c r="B256" s="18" t="s">
        <v>873</v>
      </c>
      <c r="C256" s="18" t="s">
        <v>81</v>
      </c>
      <c r="D256" s="6" t="s">
        <v>546</v>
      </c>
      <c r="E256" s="6" t="s">
        <v>47</v>
      </c>
      <c r="F256" s="6" t="s">
        <v>656</v>
      </c>
      <c r="G256" s="7">
        <v>114.6</v>
      </c>
    </row>
    <row r="257" spans="1:7" x14ac:dyDescent="0.3">
      <c r="A257" s="18">
        <v>46113</v>
      </c>
      <c r="B257" s="18" t="s">
        <v>873</v>
      </c>
      <c r="C257" s="18" t="s">
        <v>81</v>
      </c>
      <c r="D257" s="6" t="s">
        <v>546</v>
      </c>
      <c r="E257" s="6" t="s">
        <v>47</v>
      </c>
      <c r="F257" s="6" t="s">
        <v>656</v>
      </c>
      <c r="G257" s="7">
        <v>146.06</v>
      </c>
    </row>
    <row r="258" spans="1:7" x14ac:dyDescent="0.3">
      <c r="A258" s="18">
        <v>46113</v>
      </c>
      <c r="B258" s="18" t="s">
        <v>873</v>
      </c>
      <c r="C258" s="18" t="s">
        <v>81</v>
      </c>
      <c r="D258" s="6" t="s">
        <v>546</v>
      </c>
      <c r="E258" s="6" t="s">
        <v>47</v>
      </c>
      <c r="F258" s="6" t="s">
        <v>656</v>
      </c>
      <c r="G258" s="7">
        <v>354.6</v>
      </c>
    </row>
    <row r="259" spans="1:7" x14ac:dyDescent="0.3">
      <c r="A259" s="18">
        <v>46146</v>
      </c>
      <c r="B259" s="18" t="s">
        <v>873</v>
      </c>
      <c r="C259" s="18" t="s">
        <v>81</v>
      </c>
      <c r="D259" s="6" t="s">
        <v>546</v>
      </c>
      <c r="E259" s="6" t="s">
        <v>47</v>
      </c>
      <c r="F259" s="6" t="s">
        <v>656</v>
      </c>
      <c r="G259" s="7">
        <v>63.11</v>
      </c>
    </row>
    <row r="260" spans="1:7" x14ac:dyDescent="0.3">
      <c r="A260" s="18">
        <v>46153</v>
      </c>
      <c r="B260" s="18" t="s">
        <v>873</v>
      </c>
      <c r="C260" s="18" t="s">
        <v>81</v>
      </c>
      <c r="D260" s="6" t="s">
        <v>546</v>
      </c>
      <c r="E260" s="6" t="s">
        <v>47</v>
      </c>
      <c r="F260" s="6" t="s">
        <v>656</v>
      </c>
      <c r="G260" s="7">
        <v>271.07</v>
      </c>
    </row>
    <row r="261" spans="1:7" x14ac:dyDescent="0.3">
      <c r="A261" s="18">
        <v>46160</v>
      </c>
      <c r="B261" s="18" t="s">
        <v>873</v>
      </c>
      <c r="C261" s="18" t="s">
        <v>81</v>
      </c>
      <c r="D261" s="6" t="s">
        <v>546</v>
      </c>
      <c r="E261" s="6" t="s">
        <v>47</v>
      </c>
      <c r="F261" s="6" t="s">
        <v>656</v>
      </c>
      <c r="G261" s="7">
        <v>50.73</v>
      </c>
    </row>
    <row r="262" spans="1:7" x14ac:dyDescent="0.3">
      <c r="A262" s="18">
        <v>46188</v>
      </c>
      <c r="B262" s="18" t="s">
        <v>873</v>
      </c>
      <c r="C262" s="18" t="s">
        <v>81</v>
      </c>
      <c r="D262" s="6" t="s">
        <v>546</v>
      </c>
      <c r="E262" s="6" t="s">
        <v>47</v>
      </c>
      <c r="F262" s="6" t="s">
        <v>656</v>
      </c>
      <c r="G262" s="7">
        <v>509.67</v>
      </c>
    </row>
    <row r="263" spans="1:7" x14ac:dyDescent="0.3">
      <c r="A263" s="18">
        <v>46195</v>
      </c>
      <c r="B263" s="18" t="s">
        <v>873</v>
      </c>
      <c r="C263" s="18" t="s">
        <v>81</v>
      </c>
      <c r="D263" s="6" t="s">
        <v>546</v>
      </c>
      <c r="E263" s="6" t="s">
        <v>47</v>
      </c>
      <c r="F263" s="6" t="s">
        <v>656</v>
      </c>
      <c r="G263" s="7">
        <v>661.58</v>
      </c>
    </row>
    <row r="264" spans="1:7" x14ac:dyDescent="0.3">
      <c r="A264" s="18">
        <v>46029</v>
      </c>
      <c r="B264" s="18" t="s">
        <v>873</v>
      </c>
      <c r="C264" s="18" t="s">
        <v>199</v>
      </c>
      <c r="D264" s="6" t="s">
        <v>350</v>
      </c>
      <c r="E264" s="6" t="s">
        <v>47</v>
      </c>
      <c r="F264" s="6" t="s">
        <v>656</v>
      </c>
      <c r="G264" s="7">
        <v>125.13</v>
      </c>
    </row>
    <row r="265" spans="1:7" x14ac:dyDescent="0.3">
      <c r="A265" s="18">
        <v>46062</v>
      </c>
      <c r="B265" s="18" t="s">
        <v>873</v>
      </c>
      <c r="C265" s="18" t="s">
        <v>199</v>
      </c>
      <c r="D265" s="6" t="s">
        <v>350</v>
      </c>
      <c r="E265" s="6" t="s">
        <v>47</v>
      </c>
      <c r="F265" s="6" t="s">
        <v>656</v>
      </c>
      <c r="G265" s="7">
        <v>125.13</v>
      </c>
    </row>
    <row r="266" spans="1:7" x14ac:dyDescent="0.3">
      <c r="A266" s="18">
        <v>46090</v>
      </c>
      <c r="B266" s="18" t="s">
        <v>873</v>
      </c>
      <c r="C266" s="18" t="s">
        <v>199</v>
      </c>
      <c r="D266" s="6" t="s">
        <v>350</v>
      </c>
      <c r="E266" s="6" t="s">
        <v>47</v>
      </c>
      <c r="F266" s="6" t="s">
        <v>656</v>
      </c>
      <c r="G266" s="7">
        <v>125.13</v>
      </c>
    </row>
    <row r="267" spans="1:7" x14ac:dyDescent="0.3">
      <c r="A267" s="18">
        <v>46113</v>
      </c>
      <c r="B267" s="18" t="s">
        <v>873</v>
      </c>
      <c r="C267" s="18" t="s">
        <v>199</v>
      </c>
      <c r="D267" s="6" t="s">
        <v>350</v>
      </c>
      <c r="E267" s="6" t="s">
        <v>47</v>
      </c>
      <c r="F267" s="6" t="s">
        <v>656</v>
      </c>
      <c r="G267" s="7">
        <v>125.13</v>
      </c>
    </row>
    <row r="268" spans="1:7" x14ac:dyDescent="0.3">
      <c r="A268" s="18">
        <v>46149</v>
      </c>
      <c r="B268" s="18" t="s">
        <v>873</v>
      </c>
      <c r="C268" s="18" t="s">
        <v>199</v>
      </c>
      <c r="D268" s="6" t="s">
        <v>350</v>
      </c>
      <c r="E268" s="6" t="s">
        <v>47</v>
      </c>
      <c r="F268" s="6" t="s">
        <v>656</v>
      </c>
      <c r="G268" s="7">
        <v>125.13</v>
      </c>
    </row>
    <row r="269" spans="1:7" x14ac:dyDescent="0.3">
      <c r="A269" s="18">
        <v>46182</v>
      </c>
      <c r="B269" s="18" t="s">
        <v>873</v>
      </c>
      <c r="C269" s="18" t="s">
        <v>199</v>
      </c>
      <c r="D269" s="6" t="s">
        <v>350</v>
      </c>
      <c r="E269" s="6" t="s">
        <v>47</v>
      </c>
      <c r="F269" s="6" t="s">
        <v>656</v>
      </c>
      <c r="G269" s="7">
        <v>125.13</v>
      </c>
    </row>
    <row r="270" spans="1:7" x14ac:dyDescent="0.3">
      <c r="A270" s="18">
        <v>46024</v>
      </c>
      <c r="B270" s="18" t="s">
        <v>619</v>
      </c>
      <c r="C270" s="18" t="s">
        <v>41</v>
      </c>
      <c r="D270" s="6" t="s">
        <v>613</v>
      </c>
      <c r="E270" s="6" t="s">
        <v>47</v>
      </c>
      <c r="F270" s="6" t="s">
        <v>659</v>
      </c>
      <c r="G270" s="7">
        <v>3737.65</v>
      </c>
    </row>
    <row r="271" spans="1:7" x14ac:dyDescent="0.3">
      <c r="A271" s="18">
        <v>46055</v>
      </c>
      <c r="B271" s="18" t="s">
        <v>619</v>
      </c>
      <c r="C271" s="18" t="s">
        <v>41</v>
      </c>
      <c r="D271" s="6" t="s">
        <v>613</v>
      </c>
      <c r="E271" s="6" t="s">
        <v>47</v>
      </c>
      <c r="F271" s="6" t="s">
        <v>659</v>
      </c>
      <c r="G271" s="7">
        <v>3737.65</v>
      </c>
    </row>
    <row r="272" spans="1:7" x14ac:dyDescent="0.3">
      <c r="A272" s="18">
        <v>46083</v>
      </c>
      <c r="B272" s="18" t="s">
        <v>619</v>
      </c>
      <c r="C272" s="18" t="s">
        <v>41</v>
      </c>
      <c r="D272" s="6" t="s">
        <v>613</v>
      </c>
      <c r="E272" s="6" t="s">
        <v>47</v>
      </c>
      <c r="F272" s="6" t="s">
        <v>659</v>
      </c>
      <c r="G272" s="7">
        <v>3737.65</v>
      </c>
    </row>
    <row r="273" spans="1:7" x14ac:dyDescent="0.3">
      <c r="A273" s="18">
        <v>46024</v>
      </c>
      <c r="B273" s="18" t="s">
        <v>619</v>
      </c>
      <c r="C273" s="18" t="s">
        <v>41</v>
      </c>
      <c r="D273" s="6" t="s">
        <v>53</v>
      </c>
      <c r="E273" s="6" t="s">
        <v>47</v>
      </c>
      <c r="F273" s="6" t="s">
        <v>659</v>
      </c>
      <c r="G273" s="7">
        <v>2132.29</v>
      </c>
    </row>
    <row r="274" spans="1:7" x14ac:dyDescent="0.3">
      <c r="A274" s="18">
        <v>46055</v>
      </c>
      <c r="B274" s="18" t="s">
        <v>619</v>
      </c>
      <c r="C274" s="18" t="s">
        <v>41</v>
      </c>
      <c r="D274" s="6" t="s">
        <v>53</v>
      </c>
      <c r="E274" s="6" t="s">
        <v>47</v>
      </c>
      <c r="F274" s="6" t="s">
        <v>659</v>
      </c>
      <c r="G274" s="7">
        <v>1594.12</v>
      </c>
    </row>
    <row r="275" spans="1:7" x14ac:dyDescent="0.3">
      <c r="A275" s="18">
        <v>46084</v>
      </c>
      <c r="B275" s="18" t="s">
        <v>619</v>
      </c>
      <c r="C275" s="18" t="s">
        <v>41</v>
      </c>
      <c r="D275" s="6" t="s">
        <v>53</v>
      </c>
      <c r="E275" s="6" t="s">
        <v>47</v>
      </c>
      <c r="F275" s="6" t="s">
        <v>659</v>
      </c>
      <c r="G275" s="7">
        <v>1433.71</v>
      </c>
    </row>
    <row r="276" spans="1:7" x14ac:dyDescent="0.3">
      <c r="A276" s="18">
        <v>46042</v>
      </c>
      <c r="B276" s="18" t="s">
        <v>619</v>
      </c>
      <c r="C276" s="18" t="s">
        <v>39</v>
      </c>
      <c r="D276" s="6" t="s">
        <v>93</v>
      </c>
      <c r="E276" s="6" t="s">
        <v>47</v>
      </c>
      <c r="F276" s="6" t="s">
        <v>659</v>
      </c>
      <c r="G276" s="7">
        <v>153.22</v>
      </c>
    </row>
    <row r="277" spans="1:7" x14ac:dyDescent="0.3">
      <c r="A277" s="18">
        <v>46072</v>
      </c>
      <c r="B277" s="18" t="s">
        <v>619</v>
      </c>
      <c r="C277" s="18" t="s">
        <v>39</v>
      </c>
      <c r="D277" s="6" t="s">
        <v>93</v>
      </c>
      <c r="E277" s="6" t="s">
        <v>47</v>
      </c>
      <c r="F277" s="6" t="s">
        <v>659</v>
      </c>
      <c r="G277" s="7">
        <v>117.35</v>
      </c>
    </row>
    <row r="278" spans="1:7" x14ac:dyDescent="0.3">
      <c r="A278" s="18">
        <v>46101</v>
      </c>
      <c r="B278" s="18" t="s">
        <v>619</v>
      </c>
      <c r="C278" s="18" t="s">
        <v>39</v>
      </c>
      <c r="D278" s="6" t="s">
        <v>93</v>
      </c>
      <c r="E278" s="6" t="s">
        <v>47</v>
      </c>
      <c r="F278" s="6" t="s">
        <v>659</v>
      </c>
      <c r="G278" s="7">
        <v>155.62</v>
      </c>
    </row>
    <row r="279" spans="1:7" x14ac:dyDescent="0.3">
      <c r="A279" s="18">
        <v>46113</v>
      </c>
      <c r="B279" s="18" t="s">
        <v>619</v>
      </c>
      <c r="C279" s="18" t="s">
        <v>39</v>
      </c>
      <c r="D279" s="6" t="s">
        <v>93</v>
      </c>
      <c r="E279" s="6" t="s">
        <v>47</v>
      </c>
      <c r="F279" s="6" t="s">
        <v>659</v>
      </c>
      <c r="G279" s="7">
        <v>169.78</v>
      </c>
    </row>
    <row r="280" spans="1:7" x14ac:dyDescent="0.3">
      <c r="A280" s="18">
        <v>46035</v>
      </c>
      <c r="B280" s="18" t="s">
        <v>619</v>
      </c>
      <c r="C280" s="18" t="s">
        <v>39</v>
      </c>
      <c r="D280" s="6" t="s">
        <v>40</v>
      </c>
      <c r="E280" s="6" t="s">
        <v>47</v>
      </c>
      <c r="F280" s="6" t="s">
        <v>659</v>
      </c>
      <c r="G280" s="7">
        <v>818.76</v>
      </c>
    </row>
    <row r="281" spans="1:7" x14ac:dyDescent="0.3">
      <c r="A281" s="18">
        <v>46065</v>
      </c>
      <c r="B281" s="18" t="s">
        <v>619</v>
      </c>
      <c r="C281" s="18" t="s">
        <v>39</v>
      </c>
      <c r="D281" s="6" t="s">
        <v>40</v>
      </c>
      <c r="E281" s="6" t="s">
        <v>47</v>
      </c>
      <c r="F281" s="6" t="s">
        <v>659</v>
      </c>
      <c r="G281" s="7">
        <v>702.62</v>
      </c>
    </row>
    <row r="282" spans="1:7" x14ac:dyDescent="0.3">
      <c r="A282" s="18">
        <v>46093</v>
      </c>
      <c r="B282" s="18" t="s">
        <v>619</v>
      </c>
      <c r="C282" s="18" t="s">
        <v>39</v>
      </c>
      <c r="D282" s="6" t="s">
        <v>40</v>
      </c>
      <c r="E282" s="6" t="s">
        <v>47</v>
      </c>
      <c r="F282" s="6" t="s">
        <v>659</v>
      </c>
      <c r="G282" s="7">
        <v>602.15</v>
      </c>
    </row>
    <row r="283" spans="1:7" x14ac:dyDescent="0.3">
      <c r="A283" s="18">
        <v>46113</v>
      </c>
      <c r="B283" s="18" t="s">
        <v>619</v>
      </c>
      <c r="C283" s="18" t="s">
        <v>39</v>
      </c>
      <c r="D283" s="6" t="s">
        <v>40</v>
      </c>
      <c r="E283" s="6" t="s">
        <v>47</v>
      </c>
      <c r="F283" s="6" t="s">
        <v>659</v>
      </c>
      <c r="G283" s="7">
        <v>691.06</v>
      </c>
    </row>
    <row r="284" spans="1:7" x14ac:dyDescent="0.3">
      <c r="A284" s="18">
        <v>46148</v>
      </c>
      <c r="B284" s="18" t="s">
        <v>619</v>
      </c>
      <c r="C284" s="18" t="s">
        <v>39</v>
      </c>
      <c r="D284" s="6" t="s">
        <v>40</v>
      </c>
      <c r="E284" s="6" t="s">
        <v>47</v>
      </c>
      <c r="F284" s="6" t="s">
        <v>659</v>
      </c>
      <c r="G284" s="7">
        <v>625.21</v>
      </c>
    </row>
    <row r="285" spans="1:7" x14ac:dyDescent="0.3">
      <c r="A285" s="18">
        <v>46034</v>
      </c>
      <c r="B285" s="18" t="s">
        <v>619</v>
      </c>
      <c r="C285" s="18" t="s">
        <v>39</v>
      </c>
      <c r="D285" s="6" t="s">
        <v>215</v>
      </c>
      <c r="E285" s="6" t="s">
        <v>47</v>
      </c>
      <c r="F285" s="6" t="s">
        <v>659</v>
      </c>
      <c r="G285" s="7">
        <v>5.99</v>
      </c>
    </row>
    <row r="286" spans="1:7" x14ac:dyDescent="0.3">
      <c r="A286" s="18">
        <v>46091</v>
      </c>
      <c r="B286" s="18" t="s">
        <v>619</v>
      </c>
      <c r="C286" s="18" t="s">
        <v>39</v>
      </c>
      <c r="D286" s="6" t="s">
        <v>215</v>
      </c>
      <c r="E286" s="6" t="s">
        <v>47</v>
      </c>
      <c r="F286" s="6" t="s">
        <v>659</v>
      </c>
      <c r="G286" s="7">
        <v>12.83</v>
      </c>
    </row>
    <row r="287" spans="1:7" x14ac:dyDescent="0.3">
      <c r="A287" s="18">
        <v>46034</v>
      </c>
      <c r="B287" s="18" t="s">
        <v>619</v>
      </c>
      <c r="C287" s="18" t="s">
        <v>39</v>
      </c>
      <c r="D287" s="6" t="s">
        <v>69</v>
      </c>
      <c r="E287" s="6" t="s">
        <v>47</v>
      </c>
      <c r="F287" s="6" t="s">
        <v>659</v>
      </c>
      <c r="G287" s="7">
        <v>353.91</v>
      </c>
    </row>
    <row r="288" spans="1:7" x14ac:dyDescent="0.3">
      <c r="A288" s="18">
        <v>46063</v>
      </c>
      <c r="B288" s="18" t="s">
        <v>619</v>
      </c>
      <c r="C288" s="18" t="s">
        <v>39</v>
      </c>
      <c r="D288" s="6" t="s">
        <v>69</v>
      </c>
      <c r="E288" s="6" t="s">
        <v>47</v>
      </c>
      <c r="F288" s="6" t="s">
        <v>659</v>
      </c>
      <c r="G288" s="7">
        <v>346.55</v>
      </c>
    </row>
    <row r="289" spans="1:7" x14ac:dyDescent="0.3">
      <c r="A289" s="18">
        <v>46098</v>
      </c>
      <c r="B289" s="18" t="s">
        <v>619</v>
      </c>
      <c r="C289" s="18" t="s">
        <v>39</v>
      </c>
      <c r="D289" s="6" t="s">
        <v>69</v>
      </c>
      <c r="E289" s="6" t="s">
        <v>47</v>
      </c>
      <c r="F289" s="6" t="s">
        <v>659</v>
      </c>
      <c r="G289" s="7">
        <v>346.55</v>
      </c>
    </row>
    <row r="290" spans="1:7" s="1" customFormat="1" x14ac:dyDescent="0.3">
      <c r="A290" s="18">
        <v>46113</v>
      </c>
      <c r="B290" s="18" t="s">
        <v>619</v>
      </c>
      <c r="C290" s="18" t="s">
        <v>39</v>
      </c>
      <c r="D290" s="6" t="s">
        <v>69</v>
      </c>
      <c r="E290" s="6" t="s">
        <v>47</v>
      </c>
      <c r="F290" s="6" t="s">
        <v>659</v>
      </c>
      <c r="G290" s="7">
        <v>353.91</v>
      </c>
    </row>
    <row r="291" spans="1:7" s="1" customFormat="1" x14ac:dyDescent="0.3">
      <c r="A291" s="18">
        <v>46056</v>
      </c>
      <c r="B291" s="18" t="s">
        <v>619</v>
      </c>
      <c r="C291" s="18" t="s">
        <v>45</v>
      </c>
      <c r="D291" s="6" t="s">
        <v>23</v>
      </c>
      <c r="E291" s="6" t="s">
        <v>47</v>
      </c>
      <c r="F291" s="6" t="s">
        <v>659</v>
      </c>
      <c r="G291" s="7">
        <v>320.7</v>
      </c>
    </row>
    <row r="292" spans="1:7" s="1" customFormat="1" x14ac:dyDescent="0.3">
      <c r="A292" s="18">
        <v>46062</v>
      </c>
      <c r="B292" s="18" t="s">
        <v>619</v>
      </c>
      <c r="C292" s="18" t="s">
        <v>45</v>
      </c>
      <c r="D292" s="6" t="s">
        <v>23</v>
      </c>
      <c r="E292" s="6" t="s">
        <v>47</v>
      </c>
      <c r="F292" s="6" t="s">
        <v>659</v>
      </c>
      <c r="G292" s="7">
        <v>100</v>
      </c>
    </row>
    <row r="293" spans="1:7" s="1" customFormat="1" x14ac:dyDescent="0.3">
      <c r="A293" s="18">
        <v>46072</v>
      </c>
      <c r="B293" s="18" t="s">
        <v>619</v>
      </c>
      <c r="C293" s="18" t="s">
        <v>45</v>
      </c>
      <c r="D293" s="6" t="s">
        <v>23</v>
      </c>
      <c r="E293" s="6" t="s">
        <v>47</v>
      </c>
      <c r="F293" s="6" t="s">
        <v>659</v>
      </c>
      <c r="G293" s="7">
        <v>330.7</v>
      </c>
    </row>
    <row r="294" spans="1:7" s="1" customFormat="1" x14ac:dyDescent="0.3">
      <c r="A294" s="18">
        <v>46087</v>
      </c>
      <c r="B294" s="18" t="s">
        <v>619</v>
      </c>
      <c r="C294" s="18" t="s">
        <v>45</v>
      </c>
      <c r="D294" s="6" t="s">
        <v>23</v>
      </c>
      <c r="E294" s="6" t="s">
        <v>47</v>
      </c>
      <c r="F294" s="6" t="s">
        <v>659</v>
      </c>
      <c r="G294" s="7">
        <v>300</v>
      </c>
    </row>
    <row r="295" spans="1:7" s="1" customFormat="1" x14ac:dyDescent="0.3">
      <c r="A295" s="18">
        <v>46104</v>
      </c>
      <c r="B295" s="18" t="s">
        <v>619</v>
      </c>
      <c r="C295" s="18" t="s">
        <v>45</v>
      </c>
      <c r="D295" s="6" t="s">
        <v>23</v>
      </c>
      <c r="E295" s="6" t="s">
        <v>47</v>
      </c>
      <c r="F295" s="6" t="s">
        <v>659</v>
      </c>
      <c r="G295" s="7">
        <v>328</v>
      </c>
    </row>
    <row r="296" spans="1:7" s="1" customFormat="1" x14ac:dyDescent="0.3">
      <c r="A296" s="18">
        <v>46113</v>
      </c>
      <c r="B296" s="18" t="s">
        <v>619</v>
      </c>
      <c r="C296" s="18" t="s">
        <v>45</v>
      </c>
      <c r="D296" s="6" t="s">
        <v>778</v>
      </c>
      <c r="E296" s="6" t="s">
        <v>47</v>
      </c>
      <c r="F296" s="6" t="s">
        <v>659</v>
      </c>
      <c r="G296" s="7">
        <v>800</v>
      </c>
    </row>
    <row r="297" spans="1:7" s="1" customFormat="1" x14ac:dyDescent="0.3">
      <c r="A297" s="18">
        <v>46034</v>
      </c>
      <c r="B297" s="18" t="s">
        <v>619</v>
      </c>
      <c r="C297" s="18" t="s">
        <v>45</v>
      </c>
      <c r="D297" s="6" t="s">
        <v>82</v>
      </c>
      <c r="E297" s="6" t="s">
        <v>47</v>
      </c>
      <c r="F297" s="6" t="s">
        <v>659</v>
      </c>
      <c r="G297" s="7">
        <v>1000</v>
      </c>
    </row>
    <row r="298" spans="1:7" s="1" customFormat="1" x14ac:dyDescent="0.3">
      <c r="A298" s="18">
        <v>46063</v>
      </c>
      <c r="B298" s="18" t="s">
        <v>619</v>
      </c>
      <c r="C298" s="18" t="s">
        <v>45</v>
      </c>
      <c r="D298" s="6" t="s">
        <v>82</v>
      </c>
      <c r="E298" s="6" t="s">
        <v>47</v>
      </c>
      <c r="F298" s="6" t="s">
        <v>659</v>
      </c>
      <c r="G298" s="7">
        <v>1000</v>
      </c>
    </row>
    <row r="299" spans="1:7" s="1" customFormat="1" x14ac:dyDescent="0.3">
      <c r="A299" s="18">
        <v>46091</v>
      </c>
      <c r="B299" s="18" t="s">
        <v>619</v>
      </c>
      <c r="C299" s="18" t="s">
        <v>45</v>
      </c>
      <c r="D299" s="6" t="s">
        <v>82</v>
      </c>
      <c r="E299" s="6" t="s">
        <v>47</v>
      </c>
      <c r="F299" s="6" t="s">
        <v>659</v>
      </c>
      <c r="G299" s="7">
        <v>1000</v>
      </c>
    </row>
    <row r="300" spans="1:7" s="1" customFormat="1" x14ac:dyDescent="0.3">
      <c r="A300" s="18">
        <v>46113</v>
      </c>
      <c r="B300" s="18" t="s">
        <v>619</v>
      </c>
      <c r="C300" s="18" t="s">
        <v>79</v>
      </c>
      <c r="D300" s="6" t="s">
        <v>796</v>
      </c>
      <c r="E300" s="6" t="s">
        <v>47</v>
      </c>
      <c r="F300" s="6" t="s">
        <v>659</v>
      </c>
      <c r="G300" s="7">
        <v>827.89</v>
      </c>
    </row>
    <row r="301" spans="1:7" s="1" customFormat="1" x14ac:dyDescent="0.3">
      <c r="A301" s="18">
        <v>46093</v>
      </c>
      <c r="B301" s="18" t="s">
        <v>619</v>
      </c>
      <c r="C301" s="18" t="s">
        <v>79</v>
      </c>
      <c r="D301" s="6" t="s">
        <v>290</v>
      </c>
      <c r="E301" s="6" t="s">
        <v>47</v>
      </c>
      <c r="F301" s="6" t="s">
        <v>659</v>
      </c>
      <c r="G301" s="7">
        <v>773.59</v>
      </c>
    </row>
    <row r="302" spans="1:7" s="1" customFormat="1" x14ac:dyDescent="0.3">
      <c r="A302" s="18">
        <v>46108</v>
      </c>
      <c r="B302" s="18" t="s">
        <v>619</v>
      </c>
      <c r="C302" s="18" t="s">
        <v>58</v>
      </c>
      <c r="D302" s="6" t="s">
        <v>100</v>
      </c>
      <c r="E302" s="6" t="s">
        <v>47</v>
      </c>
      <c r="F302" s="6" t="s">
        <v>659</v>
      </c>
      <c r="G302" s="7">
        <v>300</v>
      </c>
    </row>
    <row r="303" spans="1:7" s="1" customFormat="1" x14ac:dyDescent="0.3">
      <c r="A303" s="18">
        <v>46108</v>
      </c>
      <c r="B303" s="18" t="s">
        <v>619</v>
      </c>
      <c r="C303" s="18" t="s">
        <v>58</v>
      </c>
      <c r="D303" s="6" t="s">
        <v>101</v>
      </c>
      <c r="E303" s="6" t="s">
        <v>47</v>
      </c>
      <c r="F303" s="6" t="s">
        <v>659</v>
      </c>
      <c r="G303" s="7">
        <v>313</v>
      </c>
    </row>
    <row r="304" spans="1:7" s="1" customFormat="1" x14ac:dyDescent="0.3">
      <c r="A304" s="18">
        <v>46094</v>
      </c>
      <c r="B304" s="18" t="s">
        <v>619</v>
      </c>
      <c r="C304" s="18" t="s">
        <v>58</v>
      </c>
      <c r="D304" s="6" t="s">
        <v>84</v>
      </c>
      <c r="E304" s="6" t="s">
        <v>47</v>
      </c>
      <c r="F304" s="6" t="s">
        <v>659</v>
      </c>
      <c r="G304" s="7">
        <v>500</v>
      </c>
    </row>
    <row r="305" spans="1:7" s="1" customFormat="1" x14ac:dyDescent="0.3">
      <c r="A305" s="18">
        <v>46113</v>
      </c>
      <c r="B305" s="18" t="s">
        <v>619</v>
      </c>
      <c r="C305" s="18" t="s">
        <v>58</v>
      </c>
      <c r="D305" s="6" t="s">
        <v>84</v>
      </c>
      <c r="E305" s="6" t="s">
        <v>47</v>
      </c>
      <c r="F305" s="6" t="s">
        <v>659</v>
      </c>
      <c r="G305" s="7">
        <v>500</v>
      </c>
    </row>
    <row r="306" spans="1:7" s="1" customFormat="1" x14ac:dyDescent="0.3">
      <c r="A306" s="18">
        <v>46087</v>
      </c>
      <c r="B306" s="18" t="s">
        <v>619</v>
      </c>
      <c r="C306" s="18" t="s">
        <v>58</v>
      </c>
      <c r="D306" s="6" t="s">
        <v>7</v>
      </c>
      <c r="E306" s="6" t="s">
        <v>47</v>
      </c>
      <c r="F306" s="6" t="s">
        <v>659</v>
      </c>
      <c r="G306" s="7">
        <v>250</v>
      </c>
    </row>
    <row r="307" spans="1:7" s="1" customFormat="1" x14ac:dyDescent="0.3">
      <c r="A307" s="18">
        <v>46028</v>
      </c>
      <c r="B307" s="18" t="s">
        <v>619</v>
      </c>
      <c r="C307" s="18" t="s">
        <v>81</v>
      </c>
      <c r="D307" s="6" t="s">
        <v>349</v>
      </c>
      <c r="E307" s="6" t="s">
        <v>47</v>
      </c>
      <c r="F307" s="6" t="s">
        <v>656</v>
      </c>
      <c r="G307" s="7">
        <v>32.4</v>
      </c>
    </row>
    <row r="308" spans="1:7" s="1" customFormat="1" x14ac:dyDescent="0.3">
      <c r="A308" s="18">
        <v>46082</v>
      </c>
      <c r="B308" s="18" t="s">
        <v>619</v>
      </c>
      <c r="C308" s="18" t="s">
        <v>81</v>
      </c>
      <c r="D308" s="6" t="s">
        <v>349</v>
      </c>
      <c r="E308" s="6" t="s">
        <v>47</v>
      </c>
      <c r="F308" s="6" t="s">
        <v>656</v>
      </c>
      <c r="G308" s="7">
        <v>77.8</v>
      </c>
    </row>
    <row r="309" spans="1:7" s="1" customFormat="1" x14ac:dyDescent="0.3">
      <c r="A309" s="18">
        <v>46086</v>
      </c>
      <c r="B309" s="18" t="s">
        <v>619</v>
      </c>
      <c r="C309" s="18" t="s">
        <v>81</v>
      </c>
      <c r="D309" s="6" t="s">
        <v>349</v>
      </c>
      <c r="E309" s="6" t="s">
        <v>47</v>
      </c>
      <c r="F309" s="6" t="s">
        <v>656</v>
      </c>
      <c r="G309" s="7">
        <v>168.57</v>
      </c>
    </row>
    <row r="310" spans="1:7" s="1" customFormat="1" x14ac:dyDescent="0.3">
      <c r="A310" s="18">
        <v>46087</v>
      </c>
      <c r="B310" s="18" t="s">
        <v>619</v>
      </c>
      <c r="C310" s="18" t="s">
        <v>81</v>
      </c>
      <c r="D310" s="6" t="s">
        <v>349</v>
      </c>
      <c r="E310" s="6" t="s">
        <v>47</v>
      </c>
      <c r="F310" s="6" t="s">
        <v>656</v>
      </c>
      <c r="G310" s="7">
        <v>3.39</v>
      </c>
    </row>
    <row r="311" spans="1:7" s="1" customFormat="1" x14ac:dyDescent="0.3">
      <c r="A311" s="18">
        <v>46100</v>
      </c>
      <c r="B311" s="18" t="s">
        <v>619</v>
      </c>
      <c r="C311" s="18" t="s">
        <v>81</v>
      </c>
      <c r="D311" s="6" t="s">
        <v>349</v>
      </c>
      <c r="E311" s="6" t="s">
        <v>47</v>
      </c>
      <c r="F311" s="6" t="s">
        <v>656</v>
      </c>
      <c r="G311" s="7">
        <v>139.33000000000001</v>
      </c>
    </row>
    <row r="312" spans="1:7" s="1" customFormat="1" x14ac:dyDescent="0.3">
      <c r="A312" s="18">
        <v>46101</v>
      </c>
      <c r="B312" s="18" t="s">
        <v>619</v>
      </c>
      <c r="C312" s="18" t="s">
        <v>81</v>
      </c>
      <c r="D312" s="6" t="s">
        <v>349</v>
      </c>
      <c r="E312" s="6" t="s">
        <v>47</v>
      </c>
      <c r="F312" s="6" t="s">
        <v>656</v>
      </c>
      <c r="G312" s="7">
        <v>97.9</v>
      </c>
    </row>
    <row r="313" spans="1:7" s="1" customFormat="1" x14ac:dyDescent="0.3">
      <c r="A313" s="18">
        <v>46041</v>
      </c>
      <c r="B313" s="18" t="s">
        <v>619</v>
      </c>
      <c r="C313" s="18" t="s">
        <v>199</v>
      </c>
      <c r="D313" s="6" t="s">
        <v>213</v>
      </c>
      <c r="E313" s="6" t="s">
        <v>47</v>
      </c>
      <c r="F313" s="6" t="s">
        <v>660</v>
      </c>
      <c r="G313" s="7">
        <v>82.81</v>
      </c>
    </row>
    <row r="314" spans="1:7" s="1" customFormat="1" x14ac:dyDescent="0.3">
      <c r="A314" s="18">
        <v>46063</v>
      </c>
      <c r="B314" s="18" t="s">
        <v>619</v>
      </c>
      <c r="C314" s="18" t="s">
        <v>199</v>
      </c>
      <c r="D314" s="6" t="s">
        <v>213</v>
      </c>
      <c r="E314" s="6" t="s">
        <v>47</v>
      </c>
      <c r="F314" s="6" t="s">
        <v>660</v>
      </c>
      <c r="G314" s="7">
        <v>82.81</v>
      </c>
    </row>
    <row r="315" spans="1:7" s="1" customFormat="1" x14ac:dyDescent="0.3">
      <c r="A315" s="18">
        <v>46091</v>
      </c>
      <c r="B315" s="18" t="s">
        <v>619</v>
      </c>
      <c r="C315" s="18" t="s">
        <v>199</v>
      </c>
      <c r="D315" s="6" t="s">
        <v>213</v>
      </c>
      <c r="E315" s="6" t="s">
        <v>47</v>
      </c>
      <c r="F315" s="6" t="s">
        <v>660</v>
      </c>
      <c r="G315" s="7">
        <v>82.81</v>
      </c>
    </row>
    <row r="316" spans="1:7" s="1" customFormat="1" x14ac:dyDescent="0.3">
      <c r="A316" s="18">
        <v>46122</v>
      </c>
      <c r="B316" s="18" t="s">
        <v>619</v>
      </c>
      <c r="C316" s="18" t="s">
        <v>199</v>
      </c>
      <c r="D316" s="6" t="s">
        <v>213</v>
      </c>
      <c r="E316" s="6" t="s">
        <v>47</v>
      </c>
      <c r="F316" s="6" t="s">
        <v>660</v>
      </c>
      <c r="G316" s="7">
        <v>82.81</v>
      </c>
    </row>
    <row r="317" spans="1:7" s="1" customFormat="1" x14ac:dyDescent="0.3">
      <c r="A317" s="18">
        <v>46147</v>
      </c>
      <c r="B317" s="18" t="s">
        <v>619</v>
      </c>
      <c r="C317" s="18" t="s">
        <v>199</v>
      </c>
      <c r="D317" s="6" t="s">
        <v>213</v>
      </c>
      <c r="E317" s="6" t="s">
        <v>47</v>
      </c>
      <c r="F317" s="6" t="s">
        <v>660</v>
      </c>
      <c r="G317" s="7">
        <v>82.81</v>
      </c>
    </row>
    <row r="318" spans="1:7" s="1" customFormat="1" x14ac:dyDescent="0.3">
      <c r="A318" s="18">
        <v>46027</v>
      </c>
      <c r="B318" s="18" t="s">
        <v>620</v>
      </c>
      <c r="C318" s="18" t="s">
        <v>41</v>
      </c>
      <c r="D318" s="6" t="s">
        <v>53</v>
      </c>
      <c r="E318" s="6" t="s">
        <v>47</v>
      </c>
      <c r="F318" s="6" t="s">
        <v>659</v>
      </c>
      <c r="G318" s="7">
        <v>936.43</v>
      </c>
    </row>
    <row r="319" spans="1:7" s="1" customFormat="1" x14ac:dyDescent="0.3">
      <c r="A319" s="18">
        <v>46058</v>
      </c>
      <c r="B319" s="18" t="s">
        <v>620</v>
      </c>
      <c r="C319" s="18" t="s">
        <v>41</v>
      </c>
      <c r="D319" s="6" t="s">
        <v>53</v>
      </c>
      <c r="E319" s="6" t="s">
        <v>47</v>
      </c>
      <c r="F319" s="6" t="s">
        <v>659</v>
      </c>
      <c r="G319" s="7">
        <v>927.43</v>
      </c>
    </row>
    <row r="320" spans="1:7" s="1" customFormat="1" x14ac:dyDescent="0.3">
      <c r="A320" s="18">
        <v>46086</v>
      </c>
      <c r="B320" s="18" t="s">
        <v>620</v>
      </c>
      <c r="C320" s="18" t="s">
        <v>41</v>
      </c>
      <c r="D320" s="6" t="s">
        <v>53</v>
      </c>
      <c r="E320" s="6" t="s">
        <v>47</v>
      </c>
      <c r="F320" s="6" t="s">
        <v>659</v>
      </c>
      <c r="G320" s="7">
        <v>941.16</v>
      </c>
    </row>
    <row r="321" spans="1:7" s="1" customFormat="1" x14ac:dyDescent="0.3">
      <c r="A321" s="18">
        <v>46113</v>
      </c>
      <c r="B321" s="18" t="s">
        <v>620</v>
      </c>
      <c r="C321" s="18" t="s">
        <v>41</v>
      </c>
      <c r="D321" s="6" t="s">
        <v>53</v>
      </c>
      <c r="E321" s="6" t="s">
        <v>47</v>
      </c>
      <c r="F321" s="6" t="s">
        <v>659</v>
      </c>
      <c r="G321" s="7">
        <v>941.45</v>
      </c>
    </row>
    <row r="322" spans="1:7" s="1" customFormat="1" x14ac:dyDescent="0.3">
      <c r="A322" s="18">
        <v>46147</v>
      </c>
      <c r="B322" s="18" t="s">
        <v>620</v>
      </c>
      <c r="C322" s="18" t="s">
        <v>41</v>
      </c>
      <c r="D322" s="6" t="s">
        <v>53</v>
      </c>
      <c r="E322" s="6" t="s">
        <v>47</v>
      </c>
      <c r="F322" s="6" t="s">
        <v>659</v>
      </c>
      <c r="G322" s="9">
        <v>943.56</v>
      </c>
    </row>
    <row r="323" spans="1:7" s="1" customFormat="1" x14ac:dyDescent="0.3">
      <c r="A323" s="18">
        <v>46176</v>
      </c>
      <c r="B323" s="18" t="s">
        <v>620</v>
      </c>
      <c r="C323" s="18" t="s">
        <v>41</v>
      </c>
      <c r="D323" s="6" t="s">
        <v>53</v>
      </c>
      <c r="E323" s="6" t="s">
        <v>47</v>
      </c>
      <c r="F323" s="6" t="s">
        <v>659</v>
      </c>
      <c r="G323" s="9">
        <v>939.23</v>
      </c>
    </row>
    <row r="324" spans="1:7" s="1" customFormat="1" x14ac:dyDescent="0.3">
      <c r="A324" s="18">
        <v>46037</v>
      </c>
      <c r="B324" s="18" t="s">
        <v>620</v>
      </c>
      <c r="C324" s="18" t="s">
        <v>88</v>
      </c>
      <c r="D324" s="6" t="s">
        <v>89</v>
      </c>
      <c r="E324" s="6" t="s">
        <v>47</v>
      </c>
      <c r="F324" s="6" t="s">
        <v>659</v>
      </c>
      <c r="G324" s="7">
        <v>3085.73</v>
      </c>
    </row>
    <row r="325" spans="1:7" s="1" customFormat="1" x14ac:dyDescent="0.3">
      <c r="A325" s="18">
        <v>46066</v>
      </c>
      <c r="B325" s="18" t="s">
        <v>620</v>
      </c>
      <c r="C325" s="18" t="s">
        <v>88</v>
      </c>
      <c r="D325" s="6" t="s">
        <v>89</v>
      </c>
      <c r="E325" s="6" t="s">
        <v>47</v>
      </c>
      <c r="F325" s="6" t="s">
        <v>659</v>
      </c>
      <c r="G325" s="7">
        <v>3084.79</v>
      </c>
    </row>
    <row r="326" spans="1:7" s="1" customFormat="1" x14ac:dyDescent="0.3">
      <c r="A326" s="18">
        <v>46097</v>
      </c>
      <c r="B326" s="18" t="s">
        <v>620</v>
      </c>
      <c r="C326" s="18" t="s">
        <v>88</v>
      </c>
      <c r="D326" s="6" t="s">
        <v>89</v>
      </c>
      <c r="E326" s="6" t="s">
        <v>47</v>
      </c>
      <c r="F326" s="6" t="s">
        <v>659</v>
      </c>
      <c r="G326" s="7">
        <v>3083.86</v>
      </c>
    </row>
    <row r="327" spans="1:7" s="1" customFormat="1" x14ac:dyDescent="0.3">
      <c r="A327" s="18">
        <v>46113</v>
      </c>
      <c r="B327" s="18" t="s">
        <v>620</v>
      </c>
      <c r="C327" s="18" t="s">
        <v>88</v>
      </c>
      <c r="D327" s="6" t="s">
        <v>89</v>
      </c>
      <c r="E327" s="6" t="s">
        <v>47</v>
      </c>
      <c r="F327" s="6" t="s">
        <v>659</v>
      </c>
      <c r="G327" s="7">
        <v>3082.94</v>
      </c>
    </row>
    <row r="328" spans="1:7" s="1" customFormat="1" x14ac:dyDescent="0.3">
      <c r="A328" s="18">
        <v>46157</v>
      </c>
      <c r="B328" s="18" t="s">
        <v>620</v>
      </c>
      <c r="C328" s="18" t="s">
        <v>88</v>
      </c>
      <c r="D328" s="6" t="s">
        <v>89</v>
      </c>
      <c r="E328" s="6" t="s">
        <v>47</v>
      </c>
      <c r="F328" s="6" t="s">
        <v>659</v>
      </c>
      <c r="G328" s="7">
        <v>3082</v>
      </c>
    </row>
    <row r="329" spans="1:7" s="1" customFormat="1" x14ac:dyDescent="0.3">
      <c r="A329" s="18">
        <v>46188</v>
      </c>
      <c r="B329" s="18" t="s">
        <v>620</v>
      </c>
      <c r="C329" s="18" t="s">
        <v>88</v>
      </c>
      <c r="D329" s="6" t="s">
        <v>89</v>
      </c>
      <c r="E329" s="6" t="s">
        <v>47</v>
      </c>
      <c r="F329" s="6" t="s">
        <v>659</v>
      </c>
      <c r="G329" s="7">
        <v>3081.07</v>
      </c>
    </row>
    <row r="330" spans="1:7" s="1" customFormat="1" x14ac:dyDescent="0.3">
      <c r="A330" s="18">
        <v>46062</v>
      </c>
      <c r="B330" s="18" t="s">
        <v>620</v>
      </c>
      <c r="C330" s="18" t="s">
        <v>79</v>
      </c>
      <c r="D330" s="6" t="s">
        <v>288</v>
      </c>
      <c r="E330" s="6" t="s">
        <v>47</v>
      </c>
      <c r="F330" s="6" t="s">
        <v>659</v>
      </c>
      <c r="G330" s="7">
        <v>305.3</v>
      </c>
    </row>
    <row r="331" spans="1:7" s="1" customFormat="1" x14ac:dyDescent="0.3">
      <c r="A331" s="18">
        <v>46090</v>
      </c>
      <c r="B331" s="18" t="s">
        <v>620</v>
      </c>
      <c r="C331" s="18" t="s">
        <v>79</v>
      </c>
      <c r="D331" s="6" t="s">
        <v>288</v>
      </c>
      <c r="E331" s="6" t="s">
        <v>47</v>
      </c>
      <c r="F331" s="6" t="s">
        <v>659</v>
      </c>
      <c r="G331" s="7">
        <v>305.3</v>
      </c>
    </row>
    <row r="332" spans="1:7" s="1" customFormat="1" x14ac:dyDescent="0.3">
      <c r="A332" s="18">
        <v>46113</v>
      </c>
      <c r="B332" s="18" t="s">
        <v>620</v>
      </c>
      <c r="C332" s="18" t="s">
        <v>79</v>
      </c>
      <c r="D332" s="6" t="s">
        <v>288</v>
      </c>
      <c r="E332" s="6" t="s">
        <v>47</v>
      </c>
      <c r="F332" s="6" t="s">
        <v>659</v>
      </c>
      <c r="G332" s="7">
        <v>305.3</v>
      </c>
    </row>
    <row r="333" spans="1:7" s="1" customFormat="1" x14ac:dyDescent="0.3">
      <c r="A333" s="18">
        <v>46147</v>
      </c>
      <c r="B333" s="18" t="s">
        <v>620</v>
      </c>
      <c r="C333" s="18" t="s">
        <v>79</v>
      </c>
      <c r="D333" s="6" t="s">
        <v>288</v>
      </c>
      <c r="E333" s="6" t="s">
        <v>47</v>
      </c>
      <c r="F333" s="6" t="s">
        <v>659</v>
      </c>
      <c r="G333" s="9">
        <v>305.3</v>
      </c>
    </row>
    <row r="334" spans="1:7" s="1" customFormat="1" x14ac:dyDescent="0.3">
      <c r="A334" s="18">
        <v>46182</v>
      </c>
      <c r="B334" s="18" t="s">
        <v>620</v>
      </c>
      <c r="C334" s="18" t="s">
        <v>79</v>
      </c>
      <c r="D334" s="6" t="s">
        <v>288</v>
      </c>
      <c r="E334" s="6" t="s">
        <v>47</v>
      </c>
      <c r="F334" s="6" t="s">
        <v>659</v>
      </c>
      <c r="G334" s="9">
        <v>305.3</v>
      </c>
    </row>
    <row r="335" spans="1:7" s="1" customFormat="1" x14ac:dyDescent="0.3">
      <c r="A335" s="18">
        <v>46042</v>
      </c>
      <c r="B335" s="18" t="s">
        <v>621</v>
      </c>
      <c r="C335" s="18" t="s">
        <v>41</v>
      </c>
      <c r="D335" s="6" t="s">
        <v>53</v>
      </c>
      <c r="E335" s="6" t="s">
        <v>47</v>
      </c>
      <c r="F335" s="6" t="s">
        <v>659</v>
      </c>
      <c r="G335" s="7">
        <v>1977.89</v>
      </c>
    </row>
    <row r="336" spans="1:7" s="1" customFormat="1" x14ac:dyDescent="0.3">
      <c r="A336" s="18">
        <v>46056</v>
      </c>
      <c r="B336" s="18" t="s">
        <v>621</v>
      </c>
      <c r="C336" s="18" t="s">
        <v>41</v>
      </c>
      <c r="D336" s="6" t="s">
        <v>53</v>
      </c>
      <c r="E336" s="6" t="s">
        <v>47</v>
      </c>
      <c r="F336" s="6" t="s">
        <v>659</v>
      </c>
      <c r="G336" s="7">
        <v>1884.89</v>
      </c>
    </row>
    <row r="337" spans="1:7" s="1" customFormat="1" x14ac:dyDescent="0.3">
      <c r="A337" s="18">
        <v>46084</v>
      </c>
      <c r="B337" s="18" t="s">
        <v>621</v>
      </c>
      <c r="C337" s="18" t="s">
        <v>41</v>
      </c>
      <c r="D337" s="6" t="s">
        <v>53</v>
      </c>
      <c r="E337" s="6" t="s">
        <v>47</v>
      </c>
      <c r="F337" s="6" t="s">
        <v>659</v>
      </c>
      <c r="G337" s="7">
        <v>1863.22</v>
      </c>
    </row>
    <row r="338" spans="1:7" s="1" customFormat="1" x14ac:dyDescent="0.3">
      <c r="A338" s="18">
        <v>46113</v>
      </c>
      <c r="B338" s="18" t="s">
        <v>621</v>
      </c>
      <c r="C338" s="18" t="s">
        <v>41</v>
      </c>
      <c r="D338" s="6" t="s">
        <v>53</v>
      </c>
      <c r="E338" s="6" t="s">
        <v>47</v>
      </c>
      <c r="F338" s="6" t="s">
        <v>659</v>
      </c>
      <c r="G338" s="7">
        <v>1897.07</v>
      </c>
    </row>
    <row r="339" spans="1:7" s="1" customFormat="1" x14ac:dyDescent="0.3">
      <c r="A339" s="18">
        <v>46113</v>
      </c>
      <c r="B339" s="18" t="s">
        <v>621</v>
      </c>
      <c r="C339" s="18" t="s">
        <v>41</v>
      </c>
      <c r="D339" s="6" t="s">
        <v>53</v>
      </c>
      <c r="E339" s="6" t="s">
        <v>47</v>
      </c>
      <c r="F339" s="6" t="s">
        <v>659</v>
      </c>
      <c r="G339" s="7">
        <v>500.03</v>
      </c>
    </row>
    <row r="340" spans="1:7" s="1" customFormat="1" x14ac:dyDescent="0.3">
      <c r="A340" s="18">
        <v>46176</v>
      </c>
      <c r="B340" s="18" t="s">
        <v>621</v>
      </c>
      <c r="C340" s="18" t="s">
        <v>41</v>
      </c>
      <c r="D340" s="6" t="s">
        <v>53</v>
      </c>
      <c r="E340" s="6" t="s">
        <v>47</v>
      </c>
      <c r="F340" s="6" t="s">
        <v>659</v>
      </c>
      <c r="G340" s="7">
        <f>67.8+179.63+62.47+167.43+43.45</f>
        <v>520.78</v>
      </c>
    </row>
    <row r="341" spans="1:7" s="1" customFormat="1" x14ac:dyDescent="0.3">
      <c r="A341" s="18">
        <v>46188</v>
      </c>
      <c r="B341" s="46" t="s">
        <v>621</v>
      </c>
      <c r="C341" s="46" t="s">
        <v>39</v>
      </c>
      <c r="D341" s="8" t="s">
        <v>996</v>
      </c>
      <c r="E341" s="8" t="s">
        <v>47</v>
      </c>
      <c r="F341" s="6" t="s">
        <v>659</v>
      </c>
      <c r="G341" s="9">
        <v>0</v>
      </c>
    </row>
    <row r="342" spans="1:7" s="1" customFormat="1" x14ac:dyDescent="0.3">
      <c r="A342" s="18">
        <v>46048</v>
      </c>
      <c r="B342" s="18" t="s">
        <v>621</v>
      </c>
      <c r="C342" s="18" t="s">
        <v>39</v>
      </c>
      <c r="D342" s="6" t="s">
        <v>40</v>
      </c>
      <c r="E342" s="6" t="s">
        <v>47</v>
      </c>
      <c r="F342" s="6" t="s">
        <v>659</v>
      </c>
      <c r="G342" s="7">
        <v>310.91000000000003</v>
      </c>
    </row>
    <row r="343" spans="1:7" s="1" customFormat="1" x14ac:dyDescent="0.3">
      <c r="A343" s="18">
        <v>46091</v>
      </c>
      <c r="B343" s="18" t="s">
        <v>621</v>
      </c>
      <c r="C343" s="18" t="s">
        <v>39</v>
      </c>
      <c r="D343" s="6" t="s">
        <v>40</v>
      </c>
      <c r="E343" s="6" t="s">
        <v>47</v>
      </c>
      <c r="F343" s="6" t="s">
        <v>659</v>
      </c>
      <c r="G343" s="7">
        <v>90.89</v>
      </c>
    </row>
    <row r="344" spans="1:7" s="1" customFormat="1" x14ac:dyDescent="0.3">
      <c r="A344" s="18">
        <v>46104</v>
      </c>
      <c r="B344" s="18" t="s">
        <v>621</v>
      </c>
      <c r="C344" s="18" t="s">
        <v>39</v>
      </c>
      <c r="D344" s="6" t="s">
        <v>40</v>
      </c>
      <c r="E344" s="6" t="s">
        <v>47</v>
      </c>
      <c r="F344" s="6" t="s">
        <v>659</v>
      </c>
      <c r="G344" s="7">
        <v>89.88</v>
      </c>
    </row>
    <row r="345" spans="1:7" s="1" customFormat="1" x14ac:dyDescent="0.3">
      <c r="A345" s="18">
        <v>46113</v>
      </c>
      <c r="B345" s="18" t="s">
        <v>621</v>
      </c>
      <c r="C345" s="18" t="s">
        <v>39</v>
      </c>
      <c r="D345" s="6" t="s">
        <v>40</v>
      </c>
      <c r="E345" s="6" t="s">
        <v>47</v>
      </c>
      <c r="F345" s="6" t="s">
        <v>659</v>
      </c>
      <c r="G345" s="7">
        <v>94.71</v>
      </c>
    </row>
    <row r="346" spans="1:7" s="1" customFormat="1" x14ac:dyDescent="0.3">
      <c r="A346" s="18">
        <v>46163</v>
      </c>
      <c r="B346" s="18" t="s">
        <v>621</v>
      </c>
      <c r="C346" s="18" t="s">
        <v>39</v>
      </c>
      <c r="D346" s="6" t="s">
        <v>40</v>
      </c>
      <c r="E346" s="6" t="s">
        <v>47</v>
      </c>
      <c r="F346" s="6" t="s">
        <v>659</v>
      </c>
      <c r="G346" s="9">
        <v>102.5</v>
      </c>
    </row>
    <row r="347" spans="1:7" s="1" customFormat="1" x14ac:dyDescent="0.3">
      <c r="A347" s="18">
        <v>46065</v>
      </c>
      <c r="B347" s="18" t="s">
        <v>621</v>
      </c>
      <c r="C347" s="18" t="s">
        <v>79</v>
      </c>
      <c r="D347" s="6" t="s">
        <v>292</v>
      </c>
      <c r="E347" s="6" t="s">
        <v>47</v>
      </c>
      <c r="F347" s="6" t="s">
        <v>659</v>
      </c>
      <c r="G347" s="7">
        <v>464.37</v>
      </c>
    </row>
    <row r="348" spans="1:7" s="1" customFormat="1" x14ac:dyDescent="0.3">
      <c r="A348" s="18">
        <v>46093</v>
      </c>
      <c r="B348" s="18" t="s">
        <v>621</v>
      </c>
      <c r="C348" s="18" t="s">
        <v>79</v>
      </c>
      <c r="D348" s="6" t="s">
        <v>292</v>
      </c>
      <c r="E348" s="6" t="s">
        <v>47</v>
      </c>
      <c r="F348" s="6" t="s">
        <v>659</v>
      </c>
      <c r="G348" s="7">
        <v>464.37</v>
      </c>
    </row>
    <row r="349" spans="1:7" s="1" customFormat="1" x14ac:dyDescent="0.3">
      <c r="A349" s="18">
        <v>46113</v>
      </c>
      <c r="B349" s="18" t="s">
        <v>621</v>
      </c>
      <c r="C349" s="18" t="s">
        <v>79</v>
      </c>
      <c r="D349" s="6" t="s">
        <v>292</v>
      </c>
      <c r="E349" s="6" t="s">
        <v>47</v>
      </c>
      <c r="F349" s="6" t="s">
        <v>659</v>
      </c>
      <c r="G349" s="7">
        <v>464.37</v>
      </c>
    </row>
    <row r="350" spans="1:7" s="1" customFormat="1" x14ac:dyDescent="0.3">
      <c r="A350" s="18">
        <v>46186</v>
      </c>
      <c r="B350" s="47" t="s">
        <v>621</v>
      </c>
      <c r="C350" s="47" t="s">
        <v>79</v>
      </c>
      <c r="D350" s="10" t="s">
        <v>292</v>
      </c>
      <c r="E350" s="6" t="s">
        <v>47</v>
      </c>
      <c r="F350" s="6" t="s">
        <v>659</v>
      </c>
      <c r="G350" s="3">
        <v>0</v>
      </c>
    </row>
    <row r="351" spans="1:7" s="1" customFormat="1" x14ac:dyDescent="0.3">
      <c r="A351" s="18">
        <v>46087</v>
      </c>
      <c r="B351" s="18" t="s">
        <v>621</v>
      </c>
      <c r="C351" s="18" t="s">
        <v>58</v>
      </c>
      <c r="D351" s="6" t="s">
        <v>73</v>
      </c>
      <c r="E351" s="6" t="s">
        <v>47</v>
      </c>
      <c r="F351" s="6" t="s">
        <v>659</v>
      </c>
      <c r="G351" s="7">
        <v>650</v>
      </c>
    </row>
    <row r="352" spans="1:7" s="1" customFormat="1" x14ac:dyDescent="0.3">
      <c r="A352" s="18">
        <v>46104</v>
      </c>
      <c r="B352" s="18" t="s">
        <v>621</v>
      </c>
      <c r="C352" s="18" t="s">
        <v>58</v>
      </c>
      <c r="D352" s="6" t="s">
        <v>24</v>
      </c>
      <c r="E352" s="6" t="s">
        <v>47</v>
      </c>
      <c r="F352" s="6" t="s">
        <v>659</v>
      </c>
      <c r="G352" s="7">
        <v>400</v>
      </c>
    </row>
    <row r="353" spans="1:7" s="1" customFormat="1" x14ac:dyDescent="0.3">
      <c r="A353" s="18">
        <v>46113</v>
      </c>
      <c r="B353" s="18" t="s">
        <v>621</v>
      </c>
      <c r="C353" s="18" t="s">
        <v>58</v>
      </c>
      <c r="D353" s="6" t="s">
        <v>797</v>
      </c>
      <c r="E353" s="6" t="s">
        <v>47</v>
      </c>
      <c r="F353" s="6" t="s">
        <v>659</v>
      </c>
      <c r="G353" s="7">
        <v>553.4</v>
      </c>
    </row>
    <row r="354" spans="1:7" s="1" customFormat="1" x14ac:dyDescent="0.3">
      <c r="A354" s="18">
        <v>46113</v>
      </c>
      <c r="B354" s="18" t="s">
        <v>621</v>
      </c>
      <c r="C354" s="18" t="s">
        <v>81</v>
      </c>
      <c r="D354" s="6" t="s">
        <v>780</v>
      </c>
      <c r="E354" s="6" t="s">
        <v>47</v>
      </c>
      <c r="F354" s="6" t="s">
        <v>659</v>
      </c>
      <c r="G354" s="7">
        <v>230.7</v>
      </c>
    </row>
    <row r="355" spans="1:7" s="1" customFormat="1" x14ac:dyDescent="0.3">
      <c r="A355" s="18">
        <v>46034</v>
      </c>
      <c r="B355" s="18" t="s">
        <v>48</v>
      </c>
      <c r="C355" s="18" t="s">
        <v>70</v>
      </c>
      <c r="D355" s="6" t="s">
        <v>90</v>
      </c>
      <c r="E355" s="6" t="s">
        <v>13</v>
      </c>
      <c r="F355" s="6" t="s">
        <v>659</v>
      </c>
      <c r="G355" s="7">
        <v>7850</v>
      </c>
    </row>
    <row r="356" spans="1:7" s="1" customFormat="1" x14ac:dyDescent="0.3">
      <c r="A356" s="18">
        <v>46063</v>
      </c>
      <c r="B356" s="18" t="s">
        <v>48</v>
      </c>
      <c r="C356" s="18" t="s">
        <v>70</v>
      </c>
      <c r="D356" s="6" t="s">
        <v>90</v>
      </c>
      <c r="E356" s="6" t="s">
        <v>13</v>
      </c>
      <c r="F356" s="6" t="s">
        <v>659</v>
      </c>
      <c r="G356" s="7">
        <v>7850</v>
      </c>
    </row>
    <row r="357" spans="1:7" s="1" customFormat="1" x14ac:dyDescent="0.3">
      <c r="A357" s="18">
        <v>46097</v>
      </c>
      <c r="B357" s="18" t="s">
        <v>48</v>
      </c>
      <c r="C357" s="18" t="s">
        <v>70</v>
      </c>
      <c r="D357" s="6" t="s">
        <v>90</v>
      </c>
      <c r="E357" s="6" t="s">
        <v>13</v>
      </c>
      <c r="F357" s="6" t="s">
        <v>659</v>
      </c>
      <c r="G357" s="7">
        <v>11734.52</v>
      </c>
    </row>
    <row r="358" spans="1:7" s="1" customFormat="1" x14ac:dyDescent="0.3">
      <c r="A358" s="18">
        <v>46113</v>
      </c>
      <c r="B358" s="18" t="s">
        <v>48</v>
      </c>
      <c r="C358" s="18" t="s">
        <v>70</v>
      </c>
      <c r="D358" s="6" t="s">
        <v>90</v>
      </c>
      <c r="E358" s="6" t="s">
        <v>13</v>
      </c>
      <c r="F358" s="6" t="s">
        <v>659</v>
      </c>
      <c r="G358" s="7">
        <v>11734.52</v>
      </c>
    </row>
    <row r="359" spans="1:7" s="1" customFormat="1" x14ac:dyDescent="0.3">
      <c r="A359" s="18">
        <v>46153</v>
      </c>
      <c r="B359" s="18" t="s">
        <v>48</v>
      </c>
      <c r="C359" s="18" t="s">
        <v>70</v>
      </c>
      <c r="D359" s="10" t="s">
        <v>90</v>
      </c>
      <c r="E359" s="10" t="s">
        <v>13</v>
      </c>
      <c r="F359" s="6" t="s">
        <v>659</v>
      </c>
      <c r="G359" s="36">
        <v>11734.52</v>
      </c>
    </row>
    <row r="360" spans="1:7" s="1" customFormat="1" x14ac:dyDescent="0.3">
      <c r="A360" s="18">
        <v>46183</v>
      </c>
      <c r="B360" s="18" t="s">
        <v>48</v>
      </c>
      <c r="C360" s="18" t="s">
        <v>70</v>
      </c>
      <c r="D360" s="10" t="s">
        <v>90</v>
      </c>
      <c r="E360" s="10" t="s">
        <v>13</v>
      </c>
      <c r="F360" s="6" t="s">
        <v>659</v>
      </c>
      <c r="G360" s="36">
        <v>11734.52</v>
      </c>
    </row>
    <row r="361" spans="1:7" s="1" customFormat="1" x14ac:dyDescent="0.3">
      <c r="A361" s="18">
        <v>46027</v>
      </c>
      <c r="B361" s="18" t="s">
        <v>48</v>
      </c>
      <c r="C361" s="18" t="s">
        <v>70</v>
      </c>
      <c r="D361" s="6" t="s">
        <v>71</v>
      </c>
      <c r="E361" s="6" t="s">
        <v>50</v>
      </c>
      <c r="F361" s="6" t="s">
        <v>659</v>
      </c>
      <c r="G361" s="7">
        <v>4524.8900000000003</v>
      </c>
    </row>
    <row r="362" spans="1:7" s="1" customFormat="1" x14ac:dyDescent="0.3">
      <c r="A362" s="18">
        <v>46058</v>
      </c>
      <c r="B362" s="18" t="s">
        <v>48</v>
      </c>
      <c r="C362" s="18" t="s">
        <v>70</v>
      </c>
      <c r="D362" s="6" t="s">
        <v>71</v>
      </c>
      <c r="E362" s="6" t="s">
        <v>50</v>
      </c>
      <c r="F362" s="6" t="s">
        <v>659</v>
      </c>
      <c r="G362" s="7">
        <v>2329.54</v>
      </c>
    </row>
    <row r="363" spans="1:7" s="1" customFormat="1" x14ac:dyDescent="0.3">
      <c r="A363" s="18">
        <v>46086</v>
      </c>
      <c r="B363" s="18" t="s">
        <v>48</v>
      </c>
      <c r="C363" s="18" t="s">
        <v>70</v>
      </c>
      <c r="D363" s="6" t="s">
        <v>71</v>
      </c>
      <c r="E363" s="6" t="s">
        <v>50</v>
      </c>
      <c r="F363" s="6" t="s">
        <v>659</v>
      </c>
      <c r="G363" s="7">
        <v>2329.54</v>
      </c>
    </row>
    <row r="364" spans="1:7" s="1" customFormat="1" x14ac:dyDescent="0.3">
      <c r="A364" s="18">
        <v>46113</v>
      </c>
      <c r="B364" s="18" t="s">
        <v>48</v>
      </c>
      <c r="C364" s="18" t="s">
        <v>70</v>
      </c>
      <c r="D364" s="6" t="s">
        <v>71</v>
      </c>
      <c r="E364" s="6" t="s">
        <v>50</v>
      </c>
      <c r="F364" s="6" t="s">
        <v>659</v>
      </c>
      <c r="G364" s="7">
        <v>2329.54</v>
      </c>
    </row>
    <row r="365" spans="1:7" s="1" customFormat="1" x14ac:dyDescent="0.3">
      <c r="A365" s="18">
        <v>46147</v>
      </c>
      <c r="B365" s="18" t="s">
        <v>48</v>
      </c>
      <c r="C365" s="18" t="s">
        <v>70</v>
      </c>
      <c r="D365" s="6" t="s">
        <v>71</v>
      </c>
      <c r="E365" s="6" t="s">
        <v>50</v>
      </c>
      <c r="F365" s="6" t="s">
        <v>659</v>
      </c>
      <c r="G365" s="3">
        <v>2329.5500000000002</v>
      </c>
    </row>
    <row r="366" spans="1:7" s="1" customFormat="1" x14ac:dyDescent="0.3">
      <c r="A366" s="18">
        <v>46176</v>
      </c>
      <c r="B366" s="18" t="s">
        <v>48</v>
      </c>
      <c r="C366" s="18" t="s">
        <v>70</v>
      </c>
      <c r="D366" s="6" t="s">
        <v>71</v>
      </c>
      <c r="E366" s="6" t="s">
        <v>50</v>
      </c>
      <c r="F366" s="6" t="s">
        <v>659</v>
      </c>
      <c r="G366" s="3">
        <v>2329.5500000000002</v>
      </c>
    </row>
    <row r="367" spans="1:7" s="1" customFormat="1" x14ac:dyDescent="0.3">
      <c r="A367" s="18">
        <v>46037</v>
      </c>
      <c r="B367" s="18" t="s">
        <v>48</v>
      </c>
      <c r="C367" s="18" t="s">
        <v>85</v>
      </c>
      <c r="D367" s="6" t="s">
        <v>15</v>
      </c>
      <c r="E367" s="6" t="s">
        <v>50</v>
      </c>
      <c r="F367" s="6" t="s">
        <v>659</v>
      </c>
      <c r="G367" s="7">
        <v>2750</v>
      </c>
    </row>
    <row r="368" spans="1:7" s="1" customFormat="1" x14ac:dyDescent="0.3">
      <c r="A368" s="18">
        <v>46052</v>
      </c>
      <c r="B368" s="18" t="s">
        <v>48</v>
      </c>
      <c r="C368" s="18" t="s">
        <v>85</v>
      </c>
      <c r="D368" s="6" t="s">
        <v>15</v>
      </c>
      <c r="E368" s="6" t="s">
        <v>50</v>
      </c>
      <c r="F368" s="6" t="s">
        <v>659</v>
      </c>
      <c r="G368" s="7">
        <v>2750</v>
      </c>
    </row>
    <row r="369" spans="1:7" s="1" customFormat="1" x14ac:dyDescent="0.3">
      <c r="A369" s="18">
        <v>46066</v>
      </c>
      <c r="B369" s="18" t="s">
        <v>48</v>
      </c>
      <c r="C369" s="18" t="s">
        <v>85</v>
      </c>
      <c r="D369" s="6" t="s">
        <v>15</v>
      </c>
      <c r="E369" s="6" t="s">
        <v>50</v>
      </c>
      <c r="F369" s="6" t="s">
        <v>659</v>
      </c>
      <c r="G369" s="7">
        <v>2750</v>
      </c>
    </row>
    <row r="370" spans="1:7" s="1" customFormat="1" x14ac:dyDescent="0.3">
      <c r="A370" s="18">
        <v>46080</v>
      </c>
      <c r="B370" s="18" t="s">
        <v>48</v>
      </c>
      <c r="C370" s="18" t="s">
        <v>85</v>
      </c>
      <c r="D370" s="6" t="s">
        <v>15</v>
      </c>
      <c r="E370" s="6" t="s">
        <v>50</v>
      </c>
      <c r="F370" s="6" t="s">
        <v>659</v>
      </c>
      <c r="G370" s="7">
        <v>2750</v>
      </c>
    </row>
    <row r="371" spans="1:7" s="1" customFormat="1" x14ac:dyDescent="0.3">
      <c r="A371" s="18">
        <v>46094</v>
      </c>
      <c r="B371" s="18" t="s">
        <v>48</v>
      </c>
      <c r="C371" s="18" t="s">
        <v>85</v>
      </c>
      <c r="D371" s="6" t="s">
        <v>15</v>
      </c>
      <c r="E371" s="6" t="s">
        <v>50</v>
      </c>
      <c r="F371" s="6" t="s">
        <v>659</v>
      </c>
      <c r="G371" s="7">
        <v>2750</v>
      </c>
    </row>
    <row r="372" spans="1:7" s="1" customFormat="1" x14ac:dyDescent="0.3">
      <c r="A372" s="18">
        <v>46112</v>
      </c>
      <c r="B372" s="18" t="s">
        <v>48</v>
      </c>
      <c r="C372" s="18" t="s">
        <v>85</v>
      </c>
      <c r="D372" s="6" t="s">
        <v>15</v>
      </c>
      <c r="E372" s="6" t="s">
        <v>50</v>
      </c>
      <c r="F372" s="6" t="s">
        <v>659</v>
      </c>
      <c r="G372" s="7">
        <v>2750</v>
      </c>
    </row>
    <row r="373" spans="1:7" s="1" customFormat="1" x14ac:dyDescent="0.3">
      <c r="A373" s="18">
        <v>46113</v>
      </c>
      <c r="B373" s="18" t="s">
        <v>48</v>
      </c>
      <c r="C373" s="18" t="s">
        <v>85</v>
      </c>
      <c r="D373" s="6" t="s">
        <v>15</v>
      </c>
      <c r="E373" s="6" t="s">
        <v>50</v>
      </c>
      <c r="F373" s="6" t="s">
        <v>659</v>
      </c>
      <c r="G373" s="7">
        <v>2750</v>
      </c>
    </row>
    <row r="374" spans="1:7" s="1" customFormat="1" x14ac:dyDescent="0.3">
      <c r="A374" s="18">
        <v>46113</v>
      </c>
      <c r="B374" s="18" t="s">
        <v>48</v>
      </c>
      <c r="C374" s="18" t="s">
        <v>85</v>
      </c>
      <c r="D374" s="6" t="s">
        <v>15</v>
      </c>
      <c r="E374" s="6" t="s">
        <v>50</v>
      </c>
      <c r="F374" s="6" t="s">
        <v>659</v>
      </c>
      <c r="G374" s="7">
        <v>2750</v>
      </c>
    </row>
    <row r="375" spans="1:7" s="1" customFormat="1" x14ac:dyDescent="0.3">
      <c r="A375" s="18">
        <v>46157</v>
      </c>
      <c r="B375" s="18" t="s">
        <v>48</v>
      </c>
      <c r="C375" s="18" t="s">
        <v>85</v>
      </c>
      <c r="D375" s="6" t="s">
        <v>15</v>
      </c>
      <c r="E375" s="8" t="s">
        <v>50</v>
      </c>
      <c r="F375" s="6" t="s">
        <v>659</v>
      </c>
      <c r="G375" s="9">
        <v>2750</v>
      </c>
    </row>
    <row r="376" spans="1:7" s="1" customFormat="1" x14ac:dyDescent="0.3">
      <c r="A376" s="18">
        <v>46171</v>
      </c>
      <c r="B376" s="18" t="s">
        <v>48</v>
      </c>
      <c r="C376" s="18" t="s">
        <v>85</v>
      </c>
      <c r="D376" s="6" t="s">
        <v>15</v>
      </c>
      <c r="E376" s="8" t="s">
        <v>50</v>
      </c>
      <c r="F376" s="6" t="s">
        <v>659</v>
      </c>
      <c r="G376" s="9">
        <v>2750</v>
      </c>
    </row>
    <row r="377" spans="1:7" s="1" customFormat="1" x14ac:dyDescent="0.3">
      <c r="A377" s="18">
        <v>46188</v>
      </c>
      <c r="B377" s="18" t="s">
        <v>48</v>
      </c>
      <c r="C377" s="18" t="s">
        <v>85</v>
      </c>
      <c r="D377" s="6" t="s">
        <v>15</v>
      </c>
      <c r="E377" s="6" t="s">
        <v>50</v>
      </c>
      <c r="F377" s="6" t="s">
        <v>659</v>
      </c>
      <c r="G377" s="9">
        <v>2750</v>
      </c>
    </row>
    <row r="378" spans="1:7" s="1" customFormat="1" x14ac:dyDescent="0.3">
      <c r="A378" s="18">
        <v>46203</v>
      </c>
      <c r="B378" s="44" t="s">
        <v>48</v>
      </c>
      <c r="C378" s="44" t="s">
        <v>85</v>
      </c>
      <c r="D378" s="6" t="s">
        <v>15</v>
      </c>
      <c r="E378" s="6" t="s">
        <v>50</v>
      </c>
      <c r="F378" s="6" t="s">
        <v>659</v>
      </c>
      <c r="G378" s="3">
        <v>2750</v>
      </c>
    </row>
    <row r="379" spans="1:7" s="1" customFormat="1" x14ac:dyDescent="0.3">
      <c r="A379" s="18">
        <v>46037</v>
      </c>
      <c r="B379" s="18" t="s">
        <v>48</v>
      </c>
      <c r="C379" s="18" t="s">
        <v>85</v>
      </c>
      <c r="D379" s="6" t="s">
        <v>14</v>
      </c>
      <c r="E379" s="6" t="s">
        <v>13</v>
      </c>
      <c r="F379" s="6" t="s">
        <v>659</v>
      </c>
      <c r="G379" s="7">
        <v>2750</v>
      </c>
    </row>
    <row r="380" spans="1:7" s="1" customFormat="1" x14ac:dyDescent="0.3">
      <c r="A380" s="18">
        <v>46052</v>
      </c>
      <c r="B380" s="18" t="s">
        <v>48</v>
      </c>
      <c r="C380" s="18" t="s">
        <v>85</v>
      </c>
      <c r="D380" s="6" t="s">
        <v>14</v>
      </c>
      <c r="E380" s="6" t="s">
        <v>13</v>
      </c>
      <c r="F380" s="6" t="s">
        <v>659</v>
      </c>
      <c r="G380" s="7">
        <v>2750</v>
      </c>
    </row>
    <row r="381" spans="1:7" s="1" customFormat="1" x14ac:dyDescent="0.3">
      <c r="A381" s="18">
        <v>46066</v>
      </c>
      <c r="B381" s="18" t="s">
        <v>48</v>
      </c>
      <c r="C381" s="18" t="s">
        <v>85</v>
      </c>
      <c r="D381" s="6" t="s">
        <v>14</v>
      </c>
      <c r="E381" s="6" t="s">
        <v>13</v>
      </c>
      <c r="F381" s="6" t="s">
        <v>659</v>
      </c>
      <c r="G381" s="7">
        <v>2750</v>
      </c>
    </row>
    <row r="382" spans="1:7" s="1" customFormat="1" x14ac:dyDescent="0.3">
      <c r="A382" s="18">
        <v>46081</v>
      </c>
      <c r="B382" s="18" t="s">
        <v>48</v>
      </c>
      <c r="C382" s="18" t="s">
        <v>85</v>
      </c>
      <c r="D382" s="6" t="s">
        <v>14</v>
      </c>
      <c r="E382" s="6" t="s">
        <v>13</v>
      </c>
      <c r="F382" s="6" t="s">
        <v>659</v>
      </c>
      <c r="G382" s="7">
        <v>2750</v>
      </c>
    </row>
    <row r="383" spans="1:7" s="1" customFormat="1" x14ac:dyDescent="0.3">
      <c r="A383" s="18">
        <v>46094</v>
      </c>
      <c r="B383" s="18" t="s">
        <v>48</v>
      </c>
      <c r="C383" s="18" t="s">
        <v>85</v>
      </c>
      <c r="D383" s="6" t="s">
        <v>14</v>
      </c>
      <c r="E383" s="6" t="s">
        <v>13</v>
      </c>
      <c r="F383" s="6" t="s">
        <v>659</v>
      </c>
      <c r="G383" s="7">
        <v>2750</v>
      </c>
    </row>
    <row r="384" spans="1:7" s="1" customFormat="1" x14ac:dyDescent="0.3">
      <c r="A384" s="18">
        <v>46112</v>
      </c>
      <c r="B384" s="18" t="s">
        <v>48</v>
      </c>
      <c r="C384" s="18" t="s">
        <v>85</v>
      </c>
      <c r="D384" s="6" t="s">
        <v>14</v>
      </c>
      <c r="E384" s="6" t="s">
        <v>13</v>
      </c>
      <c r="F384" s="6" t="s">
        <v>659</v>
      </c>
      <c r="G384" s="7">
        <v>2750</v>
      </c>
    </row>
    <row r="385" spans="1:7" s="1" customFormat="1" x14ac:dyDescent="0.3">
      <c r="A385" s="18">
        <v>46113</v>
      </c>
      <c r="B385" s="18" t="s">
        <v>48</v>
      </c>
      <c r="C385" s="18" t="s">
        <v>85</v>
      </c>
      <c r="D385" s="6" t="s">
        <v>14</v>
      </c>
      <c r="E385" s="6" t="s">
        <v>13</v>
      </c>
      <c r="F385" s="6" t="s">
        <v>659</v>
      </c>
      <c r="G385" s="7">
        <v>2750</v>
      </c>
    </row>
    <row r="386" spans="1:7" s="1" customFormat="1" x14ac:dyDescent="0.3">
      <c r="A386" s="18">
        <v>46113</v>
      </c>
      <c r="B386" s="18" t="s">
        <v>48</v>
      </c>
      <c r="C386" s="18" t="s">
        <v>85</v>
      </c>
      <c r="D386" s="6" t="s">
        <v>14</v>
      </c>
      <c r="E386" s="6" t="s">
        <v>13</v>
      </c>
      <c r="F386" s="6" t="s">
        <v>659</v>
      </c>
      <c r="G386" s="7">
        <v>2750</v>
      </c>
    </row>
    <row r="387" spans="1:7" s="1" customFormat="1" x14ac:dyDescent="0.3">
      <c r="A387" s="18">
        <v>46157</v>
      </c>
      <c r="B387" s="18" t="s">
        <v>48</v>
      </c>
      <c r="C387" s="18" t="s">
        <v>85</v>
      </c>
      <c r="D387" s="6" t="s">
        <v>14</v>
      </c>
      <c r="E387" s="8" t="s">
        <v>13</v>
      </c>
      <c r="F387" s="6" t="s">
        <v>659</v>
      </c>
      <c r="G387" s="9">
        <f>2750</f>
        <v>2750</v>
      </c>
    </row>
    <row r="388" spans="1:7" s="1" customFormat="1" x14ac:dyDescent="0.3">
      <c r="A388" s="18">
        <v>46171</v>
      </c>
      <c r="B388" s="18" t="s">
        <v>48</v>
      </c>
      <c r="C388" s="18" t="s">
        <v>85</v>
      </c>
      <c r="D388" s="6" t="s">
        <v>14</v>
      </c>
      <c r="E388" s="6" t="s">
        <v>13</v>
      </c>
      <c r="F388" s="6" t="s">
        <v>659</v>
      </c>
      <c r="G388" s="9">
        <v>2750</v>
      </c>
    </row>
    <row r="389" spans="1:7" s="1" customFormat="1" x14ac:dyDescent="0.3">
      <c r="A389" s="18">
        <v>46188</v>
      </c>
      <c r="B389" s="18" t="s">
        <v>48</v>
      </c>
      <c r="C389" s="18" t="s">
        <v>85</v>
      </c>
      <c r="D389" s="6" t="s">
        <v>14</v>
      </c>
      <c r="E389" s="6" t="s">
        <v>13</v>
      </c>
      <c r="F389" s="6" t="s">
        <v>659</v>
      </c>
      <c r="G389" s="9">
        <f>2750</f>
        <v>2750</v>
      </c>
    </row>
    <row r="390" spans="1:7" s="1" customFormat="1" x14ac:dyDescent="0.3">
      <c r="A390" s="18">
        <v>46203</v>
      </c>
      <c r="B390" s="44" t="s">
        <v>48</v>
      </c>
      <c r="C390" s="44" t="s">
        <v>85</v>
      </c>
      <c r="D390" s="6" t="s">
        <v>14</v>
      </c>
      <c r="E390" s="6" t="s">
        <v>13</v>
      </c>
      <c r="F390" s="6" t="s">
        <v>659</v>
      </c>
      <c r="G390" s="3">
        <v>2750</v>
      </c>
    </row>
    <row r="391" spans="1:7" s="1" customFormat="1" x14ac:dyDescent="0.3">
      <c r="A391" s="18">
        <v>46034</v>
      </c>
      <c r="B391" s="18" t="s">
        <v>48</v>
      </c>
      <c r="C391" s="18" t="s">
        <v>77</v>
      </c>
      <c r="D391" s="6" t="s">
        <v>78</v>
      </c>
      <c r="E391" s="6" t="s">
        <v>50</v>
      </c>
      <c r="F391" s="6" t="s">
        <v>659</v>
      </c>
      <c r="G391" s="7">
        <v>115</v>
      </c>
    </row>
    <row r="392" spans="1:7" s="1" customFormat="1" x14ac:dyDescent="0.3">
      <c r="A392" s="18">
        <v>46034</v>
      </c>
      <c r="B392" s="18" t="s">
        <v>48</v>
      </c>
      <c r="C392" s="18" t="s">
        <v>77</v>
      </c>
      <c r="D392" s="6" t="s">
        <v>78</v>
      </c>
      <c r="E392" s="6" t="s">
        <v>13</v>
      </c>
      <c r="F392" s="6" t="s">
        <v>659</v>
      </c>
      <c r="G392" s="7">
        <v>115</v>
      </c>
    </row>
    <row r="393" spans="1:7" s="1" customFormat="1" x14ac:dyDescent="0.3">
      <c r="A393" s="18">
        <v>46062</v>
      </c>
      <c r="B393" s="18" t="s">
        <v>48</v>
      </c>
      <c r="C393" s="18" t="s">
        <v>77</v>
      </c>
      <c r="D393" s="6" t="s">
        <v>78</v>
      </c>
      <c r="E393" s="6" t="s">
        <v>50</v>
      </c>
      <c r="F393" s="6" t="s">
        <v>659</v>
      </c>
      <c r="G393" s="7">
        <v>86.25</v>
      </c>
    </row>
    <row r="394" spans="1:7" s="1" customFormat="1" x14ac:dyDescent="0.3">
      <c r="A394" s="18">
        <v>46062</v>
      </c>
      <c r="B394" s="18" t="s">
        <v>48</v>
      </c>
      <c r="C394" s="18" t="s">
        <v>77</v>
      </c>
      <c r="D394" s="6" t="s">
        <v>78</v>
      </c>
      <c r="E394" s="6" t="s">
        <v>13</v>
      </c>
      <c r="F394" s="6" t="s">
        <v>659</v>
      </c>
      <c r="G394" s="7">
        <v>86.25</v>
      </c>
    </row>
    <row r="395" spans="1:7" s="1" customFormat="1" x14ac:dyDescent="0.3">
      <c r="A395" s="18">
        <v>46090</v>
      </c>
      <c r="B395" s="18" t="s">
        <v>48</v>
      </c>
      <c r="C395" s="18" t="s">
        <v>77</v>
      </c>
      <c r="D395" s="6" t="s">
        <v>78</v>
      </c>
      <c r="E395" s="6" t="s">
        <v>50</v>
      </c>
      <c r="F395" s="6" t="s">
        <v>659</v>
      </c>
      <c r="G395" s="7">
        <v>86.25</v>
      </c>
    </row>
    <row r="396" spans="1:7" s="1" customFormat="1" x14ac:dyDescent="0.3">
      <c r="A396" s="18">
        <v>46090</v>
      </c>
      <c r="B396" s="18" t="s">
        <v>48</v>
      </c>
      <c r="C396" s="18" t="s">
        <v>77</v>
      </c>
      <c r="D396" s="6" t="s">
        <v>78</v>
      </c>
      <c r="E396" s="6" t="s">
        <v>13</v>
      </c>
      <c r="F396" s="6" t="s">
        <v>659</v>
      </c>
      <c r="G396" s="7">
        <v>86.25</v>
      </c>
    </row>
    <row r="397" spans="1:7" s="1" customFormat="1" x14ac:dyDescent="0.3">
      <c r="A397" s="18">
        <v>46113</v>
      </c>
      <c r="B397" s="18" t="s">
        <v>48</v>
      </c>
      <c r="C397" s="18" t="s">
        <v>77</v>
      </c>
      <c r="D397" s="6" t="s">
        <v>78</v>
      </c>
      <c r="E397" s="6" t="s">
        <v>50</v>
      </c>
      <c r="F397" s="6" t="s">
        <v>659</v>
      </c>
      <c r="G397" s="7">
        <v>123.75</v>
      </c>
    </row>
    <row r="398" spans="1:7" s="1" customFormat="1" x14ac:dyDescent="0.3">
      <c r="A398" s="18">
        <v>46113</v>
      </c>
      <c r="B398" s="18" t="s">
        <v>48</v>
      </c>
      <c r="C398" s="18" t="s">
        <v>77</v>
      </c>
      <c r="D398" s="6" t="s">
        <v>78</v>
      </c>
      <c r="E398" s="6" t="s">
        <v>13</v>
      </c>
      <c r="F398" s="6" t="s">
        <v>659</v>
      </c>
      <c r="G398" s="7">
        <v>123.75</v>
      </c>
    </row>
    <row r="399" spans="1:7" s="1" customFormat="1" x14ac:dyDescent="0.3">
      <c r="A399" s="18">
        <v>46113</v>
      </c>
      <c r="B399" s="18" t="s">
        <v>48</v>
      </c>
      <c r="C399" s="18" t="s">
        <v>77</v>
      </c>
      <c r="D399" s="6" t="s">
        <v>78</v>
      </c>
      <c r="E399" s="6" t="s">
        <v>50</v>
      </c>
      <c r="F399" s="6" t="s">
        <v>659</v>
      </c>
      <c r="G399" s="7">
        <v>840.16</v>
      </c>
    </row>
    <row r="400" spans="1:7" s="1" customFormat="1" x14ac:dyDescent="0.3">
      <c r="A400" s="18">
        <v>46113</v>
      </c>
      <c r="B400" s="18" t="s">
        <v>48</v>
      </c>
      <c r="C400" s="18" t="s">
        <v>77</v>
      </c>
      <c r="D400" s="6" t="s">
        <v>78</v>
      </c>
      <c r="E400" s="6" t="s">
        <v>13</v>
      </c>
      <c r="F400" s="6" t="s">
        <v>659</v>
      </c>
      <c r="G400" s="7">
        <v>840.16</v>
      </c>
    </row>
    <row r="401" spans="1:7" s="1" customFormat="1" x14ac:dyDescent="0.3">
      <c r="A401" s="18">
        <v>46113</v>
      </c>
      <c r="B401" s="18" t="s">
        <v>48</v>
      </c>
      <c r="C401" s="18" t="s">
        <v>77</v>
      </c>
      <c r="D401" s="6" t="s">
        <v>78</v>
      </c>
      <c r="E401" s="6" t="s">
        <v>50</v>
      </c>
      <c r="F401" s="6" t="s">
        <v>659</v>
      </c>
      <c r="G401" s="7">
        <v>67</v>
      </c>
    </row>
    <row r="402" spans="1:7" s="1" customFormat="1" x14ac:dyDescent="0.3">
      <c r="A402" s="18">
        <v>46113</v>
      </c>
      <c r="B402" s="18" t="s">
        <v>48</v>
      </c>
      <c r="C402" s="18" t="s">
        <v>77</v>
      </c>
      <c r="D402" s="6" t="s">
        <v>78</v>
      </c>
      <c r="E402" s="6" t="s">
        <v>13</v>
      </c>
      <c r="F402" s="6" t="s">
        <v>659</v>
      </c>
      <c r="G402" s="7">
        <v>67</v>
      </c>
    </row>
    <row r="403" spans="1:7" s="1" customFormat="1" x14ac:dyDescent="0.3">
      <c r="A403" s="18">
        <v>46148</v>
      </c>
      <c r="B403" s="18" t="s">
        <v>48</v>
      </c>
      <c r="C403" s="18" t="s">
        <v>77</v>
      </c>
      <c r="D403" s="6" t="s">
        <v>78</v>
      </c>
      <c r="E403" s="6" t="s">
        <v>13</v>
      </c>
      <c r="F403" s="6" t="s">
        <v>659</v>
      </c>
      <c r="G403" s="9">
        <v>113.1</v>
      </c>
    </row>
    <row r="404" spans="1:7" s="1" customFormat="1" x14ac:dyDescent="0.3">
      <c r="A404" s="18">
        <v>46148</v>
      </c>
      <c r="B404" s="18" t="s">
        <v>48</v>
      </c>
      <c r="C404" s="18" t="s">
        <v>77</v>
      </c>
      <c r="D404" s="6" t="s">
        <v>78</v>
      </c>
      <c r="E404" s="6" t="s">
        <v>50</v>
      </c>
      <c r="F404" s="6" t="s">
        <v>659</v>
      </c>
      <c r="G404" s="9">
        <v>113.1</v>
      </c>
    </row>
    <row r="405" spans="1:7" s="1" customFormat="1" x14ac:dyDescent="0.3">
      <c r="A405" s="18">
        <v>46181</v>
      </c>
      <c r="B405" s="18" t="s">
        <v>48</v>
      </c>
      <c r="C405" s="18" t="s">
        <v>77</v>
      </c>
      <c r="D405" s="6" t="s">
        <v>78</v>
      </c>
      <c r="E405" s="6" t="s">
        <v>50</v>
      </c>
      <c r="F405" s="6" t="s">
        <v>659</v>
      </c>
      <c r="G405" s="9">
        <v>299.75</v>
      </c>
    </row>
    <row r="406" spans="1:7" s="1" customFormat="1" x14ac:dyDescent="0.3">
      <c r="A406" s="18">
        <v>46181</v>
      </c>
      <c r="B406" s="18" t="s">
        <v>48</v>
      </c>
      <c r="C406" s="18" t="s">
        <v>77</v>
      </c>
      <c r="D406" s="6" t="s">
        <v>78</v>
      </c>
      <c r="E406" s="6" t="s">
        <v>13</v>
      </c>
      <c r="F406" s="6" t="s">
        <v>659</v>
      </c>
      <c r="G406" s="9">
        <v>299.75</v>
      </c>
    </row>
    <row r="407" spans="1:7" s="1" customFormat="1" x14ac:dyDescent="0.3">
      <c r="A407" s="18">
        <v>46185</v>
      </c>
      <c r="B407" s="46" t="s">
        <v>48</v>
      </c>
      <c r="C407" s="46" t="s">
        <v>77</v>
      </c>
      <c r="D407" s="10" t="s">
        <v>78</v>
      </c>
      <c r="E407" s="10" t="s">
        <v>13</v>
      </c>
      <c r="F407" s="6" t="s">
        <v>659</v>
      </c>
      <c r="G407" s="3">
        <v>92.5</v>
      </c>
    </row>
    <row r="408" spans="1:7" s="1" customFormat="1" x14ac:dyDescent="0.3">
      <c r="A408" s="18">
        <v>46185</v>
      </c>
      <c r="B408" s="46" t="s">
        <v>48</v>
      </c>
      <c r="C408" s="46" t="s">
        <v>77</v>
      </c>
      <c r="D408" s="10" t="s">
        <v>78</v>
      </c>
      <c r="E408" s="10" t="s">
        <v>50</v>
      </c>
      <c r="F408" s="6" t="s">
        <v>659</v>
      </c>
      <c r="G408" s="3">
        <v>92.5</v>
      </c>
    </row>
    <row r="409" spans="1:7" s="1" customFormat="1" x14ac:dyDescent="0.3">
      <c r="A409" s="18">
        <v>46034</v>
      </c>
      <c r="B409" s="18" t="s">
        <v>48</v>
      </c>
      <c r="C409" s="18" t="s">
        <v>74</v>
      </c>
      <c r="D409" s="6" t="s">
        <v>8</v>
      </c>
      <c r="E409" s="6" t="s">
        <v>50</v>
      </c>
      <c r="F409" s="6" t="s">
        <v>659</v>
      </c>
      <c r="G409" s="7">
        <v>1977</v>
      </c>
    </row>
    <row r="410" spans="1:7" s="1" customFormat="1" x14ac:dyDescent="0.3">
      <c r="A410" s="18">
        <v>46034</v>
      </c>
      <c r="B410" s="18" t="s">
        <v>48</v>
      </c>
      <c r="C410" s="18" t="s">
        <v>74</v>
      </c>
      <c r="D410" s="6" t="s">
        <v>8</v>
      </c>
      <c r="E410" s="6" t="s">
        <v>13</v>
      </c>
      <c r="F410" s="6" t="s">
        <v>659</v>
      </c>
      <c r="G410" s="7">
        <v>1977</v>
      </c>
    </row>
    <row r="411" spans="1:7" s="1" customFormat="1" x14ac:dyDescent="0.3">
      <c r="A411" s="18">
        <v>46062</v>
      </c>
      <c r="B411" s="18" t="s">
        <v>48</v>
      </c>
      <c r="C411" s="18" t="s">
        <v>74</v>
      </c>
      <c r="D411" s="6" t="s">
        <v>8</v>
      </c>
      <c r="E411" s="6" t="s">
        <v>50</v>
      </c>
      <c r="F411" s="6" t="s">
        <v>659</v>
      </c>
      <c r="G411" s="7">
        <v>1977</v>
      </c>
    </row>
    <row r="412" spans="1:7" s="1" customFormat="1" x14ac:dyDescent="0.3">
      <c r="A412" s="18">
        <v>46062</v>
      </c>
      <c r="B412" s="18" t="s">
        <v>48</v>
      </c>
      <c r="C412" s="18" t="s">
        <v>74</v>
      </c>
      <c r="D412" s="6" t="s">
        <v>8</v>
      </c>
      <c r="E412" s="6" t="s">
        <v>13</v>
      </c>
      <c r="F412" s="6" t="s">
        <v>659</v>
      </c>
      <c r="G412" s="7">
        <v>1977</v>
      </c>
    </row>
    <row r="413" spans="1:7" x14ac:dyDescent="0.3">
      <c r="A413" s="18">
        <v>46090</v>
      </c>
      <c r="B413" s="18" t="s">
        <v>48</v>
      </c>
      <c r="C413" s="18" t="s">
        <v>74</v>
      </c>
      <c r="D413" s="6" t="s">
        <v>8</v>
      </c>
      <c r="E413" s="6" t="s">
        <v>50</v>
      </c>
      <c r="F413" s="6" t="s">
        <v>659</v>
      </c>
      <c r="G413" s="7">
        <v>1977</v>
      </c>
    </row>
    <row r="414" spans="1:7" x14ac:dyDescent="0.3">
      <c r="A414" s="18">
        <v>46090</v>
      </c>
      <c r="B414" s="18" t="s">
        <v>48</v>
      </c>
      <c r="C414" s="18" t="s">
        <v>74</v>
      </c>
      <c r="D414" s="6" t="s">
        <v>8</v>
      </c>
      <c r="E414" s="6" t="s">
        <v>13</v>
      </c>
      <c r="F414" s="6" t="s">
        <v>659</v>
      </c>
      <c r="G414" s="7">
        <v>1977</v>
      </c>
    </row>
    <row r="415" spans="1:7" x14ac:dyDescent="0.3">
      <c r="A415" s="18">
        <v>46113</v>
      </c>
      <c r="B415" s="18" t="s">
        <v>48</v>
      </c>
      <c r="C415" s="18" t="s">
        <v>74</v>
      </c>
      <c r="D415" s="6" t="s">
        <v>8</v>
      </c>
      <c r="E415" s="6" t="s">
        <v>13</v>
      </c>
      <c r="F415" s="6" t="s">
        <v>659</v>
      </c>
      <c r="G415" s="7">
        <v>1977</v>
      </c>
    </row>
    <row r="416" spans="1:7" x14ac:dyDescent="0.3">
      <c r="A416" s="18">
        <v>46113</v>
      </c>
      <c r="B416" s="18" t="s">
        <v>48</v>
      </c>
      <c r="C416" s="18" t="s">
        <v>74</v>
      </c>
      <c r="D416" s="6" t="s">
        <v>8</v>
      </c>
      <c r="E416" s="6" t="s">
        <v>50</v>
      </c>
      <c r="F416" s="6" t="s">
        <v>659</v>
      </c>
      <c r="G416" s="7">
        <v>1977</v>
      </c>
    </row>
    <row r="417" spans="1:7" x14ac:dyDescent="0.3">
      <c r="A417" s="18">
        <v>46148</v>
      </c>
      <c r="B417" s="18" t="s">
        <v>48</v>
      </c>
      <c r="C417" s="18" t="s">
        <v>74</v>
      </c>
      <c r="D417" s="6" t="s">
        <v>8</v>
      </c>
      <c r="E417" s="6" t="s">
        <v>13</v>
      </c>
      <c r="F417" s="6" t="s">
        <v>659</v>
      </c>
      <c r="G417" s="7">
        <v>1977</v>
      </c>
    </row>
    <row r="418" spans="1:7" x14ac:dyDescent="0.3">
      <c r="A418" s="18">
        <v>46148</v>
      </c>
      <c r="B418" s="18" t="s">
        <v>48</v>
      </c>
      <c r="C418" s="18" t="s">
        <v>74</v>
      </c>
      <c r="D418" s="6" t="s">
        <v>8</v>
      </c>
      <c r="E418" s="6" t="s">
        <v>50</v>
      </c>
      <c r="F418" s="6" t="s">
        <v>659</v>
      </c>
      <c r="G418" s="7">
        <v>1977</v>
      </c>
    </row>
    <row r="419" spans="1:7" x14ac:dyDescent="0.3">
      <c r="A419" s="18">
        <v>46181</v>
      </c>
      <c r="B419" s="18" t="s">
        <v>48</v>
      </c>
      <c r="C419" s="18" t="s">
        <v>74</v>
      </c>
      <c r="D419" s="6" t="s">
        <v>8</v>
      </c>
      <c r="E419" s="6" t="s">
        <v>13</v>
      </c>
      <c r="F419" s="6" t="s">
        <v>659</v>
      </c>
      <c r="G419" s="9">
        <v>1977</v>
      </c>
    </row>
    <row r="420" spans="1:7" x14ac:dyDescent="0.3">
      <c r="A420" s="18">
        <v>46181</v>
      </c>
      <c r="B420" s="18" t="s">
        <v>48</v>
      </c>
      <c r="C420" s="18" t="s">
        <v>74</v>
      </c>
      <c r="D420" s="6" t="s">
        <v>8</v>
      </c>
      <c r="E420" s="6" t="s">
        <v>50</v>
      </c>
      <c r="F420" s="6" t="s">
        <v>659</v>
      </c>
      <c r="G420" s="9">
        <v>1977</v>
      </c>
    </row>
    <row r="421" spans="1:7" x14ac:dyDescent="0.3">
      <c r="A421" s="18">
        <v>46062</v>
      </c>
      <c r="B421" s="18" t="s">
        <v>48</v>
      </c>
      <c r="C421" s="18" t="s">
        <v>74</v>
      </c>
      <c r="D421" s="6" t="s">
        <v>299</v>
      </c>
      <c r="E421" s="6" t="s">
        <v>50</v>
      </c>
      <c r="F421" s="6" t="s">
        <v>659</v>
      </c>
      <c r="G421" s="7">
        <v>1387.93</v>
      </c>
    </row>
    <row r="422" spans="1:7" x14ac:dyDescent="0.3">
      <c r="A422" s="18">
        <v>46062</v>
      </c>
      <c r="B422" s="18" t="s">
        <v>48</v>
      </c>
      <c r="C422" s="18" t="s">
        <v>74</v>
      </c>
      <c r="D422" s="6" t="s">
        <v>299</v>
      </c>
      <c r="E422" s="6" t="s">
        <v>13</v>
      </c>
      <c r="F422" s="6" t="s">
        <v>659</v>
      </c>
      <c r="G422" s="7">
        <v>1387.93</v>
      </c>
    </row>
    <row r="423" spans="1:7" x14ac:dyDescent="0.3">
      <c r="A423" s="18">
        <v>46090</v>
      </c>
      <c r="B423" s="18" t="s">
        <v>48</v>
      </c>
      <c r="C423" s="18" t="s">
        <v>74</v>
      </c>
      <c r="D423" s="6" t="s">
        <v>299</v>
      </c>
      <c r="E423" s="6" t="s">
        <v>50</v>
      </c>
      <c r="F423" s="6" t="s">
        <v>659</v>
      </c>
      <c r="G423" s="7">
        <v>1387.93</v>
      </c>
    </row>
    <row r="424" spans="1:7" x14ac:dyDescent="0.3">
      <c r="A424" s="18">
        <v>46090</v>
      </c>
      <c r="B424" s="18" t="s">
        <v>48</v>
      </c>
      <c r="C424" s="18" t="s">
        <v>74</v>
      </c>
      <c r="D424" s="6" t="s">
        <v>299</v>
      </c>
      <c r="E424" s="6" t="s">
        <v>13</v>
      </c>
      <c r="F424" s="6" t="s">
        <v>659</v>
      </c>
      <c r="G424" s="7">
        <v>1387.93</v>
      </c>
    </row>
    <row r="425" spans="1:7" x14ac:dyDescent="0.3">
      <c r="A425" s="18">
        <v>46113</v>
      </c>
      <c r="B425" s="18" t="s">
        <v>48</v>
      </c>
      <c r="C425" s="18" t="s">
        <v>74</v>
      </c>
      <c r="D425" s="6" t="s">
        <v>299</v>
      </c>
      <c r="E425" s="6" t="s">
        <v>50</v>
      </c>
      <c r="F425" s="6" t="s">
        <v>659</v>
      </c>
      <c r="G425" s="7">
        <v>1387.93</v>
      </c>
    </row>
    <row r="426" spans="1:7" x14ac:dyDescent="0.3">
      <c r="A426" s="18">
        <v>46113</v>
      </c>
      <c r="B426" s="18" t="s">
        <v>48</v>
      </c>
      <c r="C426" s="18" t="s">
        <v>74</v>
      </c>
      <c r="D426" s="6" t="s">
        <v>299</v>
      </c>
      <c r="E426" s="6" t="s">
        <v>13</v>
      </c>
      <c r="F426" s="6" t="s">
        <v>659</v>
      </c>
      <c r="G426" s="7">
        <v>1387.93</v>
      </c>
    </row>
    <row r="427" spans="1:7" x14ac:dyDescent="0.3">
      <c r="A427" s="18">
        <v>46147</v>
      </c>
      <c r="B427" s="18" t="s">
        <v>48</v>
      </c>
      <c r="C427" s="18" t="s">
        <v>74</v>
      </c>
      <c r="D427" s="6" t="s">
        <v>299</v>
      </c>
      <c r="E427" s="6" t="s">
        <v>50</v>
      </c>
      <c r="F427" s="6" t="s">
        <v>659</v>
      </c>
      <c r="G427" s="9">
        <v>1387.93</v>
      </c>
    </row>
    <row r="428" spans="1:7" x14ac:dyDescent="0.3">
      <c r="A428" s="18">
        <v>46147</v>
      </c>
      <c r="B428" s="18" t="s">
        <v>48</v>
      </c>
      <c r="C428" s="18" t="s">
        <v>74</v>
      </c>
      <c r="D428" s="6" t="s">
        <v>299</v>
      </c>
      <c r="E428" s="6" t="s">
        <v>13</v>
      </c>
      <c r="F428" s="6" t="s">
        <v>659</v>
      </c>
      <c r="G428" s="9">
        <v>1387.93</v>
      </c>
    </row>
    <row r="429" spans="1:7" x14ac:dyDescent="0.3">
      <c r="A429" s="18">
        <v>46182</v>
      </c>
      <c r="B429" s="18" t="s">
        <v>48</v>
      </c>
      <c r="C429" s="18" t="s">
        <v>74</v>
      </c>
      <c r="D429" s="8" t="s">
        <v>973</v>
      </c>
      <c r="E429" s="8" t="s">
        <v>50</v>
      </c>
      <c r="F429" s="6" t="s">
        <v>659</v>
      </c>
      <c r="G429" s="9">
        <v>1387.93</v>
      </c>
    </row>
    <row r="430" spans="1:7" x14ac:dyDescent="0.3">
      <c r="A430" s="18">
        <v>46182</v>
      </c>
      <c r="B430" s="18" t="s">
        <v>48</v>
      </c>
      <c r="C430" s="18" t="s">
        <v>74</v>
      </c>
      <c r="D430" s="8" t="s">
        <v>973</v>
      </c>
      <c r="E430" s="8" t="s">
        <v>13</v>
      </c>
      <c r="F430" s="6" t="s">
        <v>659</v>
      </c>
      <c r="G430" s="9">
        <v>1387.93</v>
      </c>
    </row>
    <row r="431" spans="1:7" x14ac:dyDescent="0.3">
      <c r="A431" s="18">
        <v>46161</v>
      </c>
      <c r="B431" s="18" t="s">
        <v>48</v>
      </c>
      <c r="C431" s="18" t="s">
        <v>825</v>
      </c>
      <c r="D431" s="10" t="s">
        <v>827</v>
      </c>
      <c r="E431" s="10" t="s">
        <v>50</v>
      </c>
      <c r="F431" s="6" t="s">
        <v>659</v>
      </c>
      <c r="G431" s="3">
        <v>514</v>
      </c>
    </row>
    <row r="432" spans="1:7" x14ac:dyDescent="0.3">
      <c r="A432" s="18">
        <v>46167</v>
      </c>
      <c r="B432" s="18" t="s">
        <v>48</v>
      </c>
      <c r="C432" s="18" t="s">
        <v>825</v>
      </c>
      <c r="D432" s="37" t="s">
        <v>832</v>
      </c>
      <c r="E432" s="37" t="s">
        <v>50</v>
      </c>
      <c r="F432" s="6" t="s">
        <v>659</v>
      </c>
      <c r="G432" s="9">
        <v>7000</v>
      </c>
    </row>
    <row r="433" spans="1:7" x14ac:dyDescent="0.3">
      <c r="A433" s="18">
        <v>46161</v>
      </c>
      <c r="B433" s="18" t="s">
        <v>48</v>
      </c>
      <c r="C433" s="18" t="s">
        <v>825</v>
      </c>
      <c r="D433" s="10" t="s">
        <v>826</v>
      </c>
      <c r="E433" s="10" t="s">
        <v>50</v>
      </c>
      <c r="F433" s="6" t="s">
        <v>659</v>
      </c>
      <c r="G433" s="3">
        <v>1435</v>
      </c>
    </row>
    <row r="434" spans="1:7" x14ac:dyDescent="0.3">
      <c r="A434" s="18">
        <v>46113</v>
      </c>
      <c r="B434" s="18" t="s">
        <v>48</v>
      </c>
      <c r="C434" s="18" t="s">
        <v>137</v>
      </c>
      <c r="D434" s="18" t="s">
        <v>872</v>
      </c>
      <c r="E434" s="6" t="s">
        <v>13</v>
      </c>
      <c r="F434" s="6" t="s">
        <v>659</v>
      </c>
      <c r="G434" s="7">
        <v>150</v>
      </c>
    </row>
    <row r="435" spans="1:7" x14ac:dyDescent="0.3">
      <c r="A435" s="18">
        <v>46113</v>
      </c>
      <c r="B435" s="18" t="s">
        <v>48</v>
      </c>
      <c r="C435" s="18" t="s">
        <v>137</v>
      </c>
      <c r="D435" s="18" t="s">
        <v>872</v>
      </c>
      <c r="E435" s="6" t="s">
        <v>13</v>
      </c>
      <c r="F435" s="6" t="s">
        <v>659</v>
      </c>
      <c r="G435" s="7">
        <v>80</v>
      </c>
    </row>
    <row r="436" spans="1:7" x14ac:dyDescent="0.3">
      <c r="A436" s="18">
        <v>46164</v>
      </c>
      <c r="B436" s="18" t="s">
        <v>48</v>
      </c>
      <c r="C436" s="18" t="s">
        <v>137</v>
      </c>
      <c r="D436" s="18" t="s">
        <v>872</v>
      </c>
      <c r="E436" s="6" t="s">
        <v>13</v>
      </c>
      <c r="F436" s="6" t="s">
        <v>659</v>
      </c>
      <c r="G436" s="9">
        <v>650</v>
      </c>
    </row>
    <row r="437" spans="1:7" x14ac:dyDescent="0.3">
      <c r="A437" s="18">
        <v>46171</v>
      </c>
      <c r="B437" s="18" t="s">
        <v>48</v>
      </c>
      <c r="C437" s="18" t="s">
        <v>137</v>
      </c>
      <c r="D437" s="18" t="s">
        <v>872</v>
      </c>
      <c r="E437" s="6" t="s">
        <v>13</v>
      </c>
      <c r="F437" s="6" t="s">
        <v>659</v>
      </c>
      <c r="G437" s="9">
        <v>100</v>
      </c>
    </row>
    <row r="438" spans="1:7" x14ac:dyDescent="0.3">
      <c r="A438" s="18">
        <v>46192</v>
      </c>
      <c r="B438" s="18" t="s">
        <v>48</v>
      </c>
      <c r="C438" s="18" t="s">
        <v>137</v>
      </c>
      <c r="D438" s="18" t="s">
        <v>872</v>
      </c>
      <c r="E438" s="6" t="s">
        <v>13</v>
      </c>
      <c r="F438" s="6" t="s">
        <v>659</v>
      </c>
      <c r="G438" s="7">
        <v>475</v>
      </c>
    </row>
    <row r="439" spans="1:7" x14ac:dyDescent="0.3">
      <c r="A439" s="18">
        <v>46090</v>
      </c>
      <c r="B439" s="18" t="s">
        <v>48</v>
      </c>
      <c r="C439" s="18" t="s">
        <v>49</v>
      </c>
      <c r="D439" s="6" t="s">
        <v>91</v>
      </c>
      <c r="E439" s="6" t="s">
        <v>13</v>
      </c>
      <c r="F439" s="6" t="s">
        <v>659</v>
      </c>
      <c r="G439" s="7">
        <v>25</v>
      </c>
    </row>
    <row r="440" spans="1:7" x14ac:dyDescent="0.3">
      <c r="A440" s="18">
        <v>46098</v>
      </c>
      <c r="B440" s="18" t="s">
        <v>48</v>
      </c>
      <c r="C440" s="18" t="s">
        <v>49</v>
      </c>
      <c r="D440" s="6" t="s">
        <v>91</v>
      </c>
      <c r="E440" s="6" t="s">
        <v>13</v>
      </c>
      <c r="F440" s="6" t="s">
        <v>659</v>
      </c>
      <c r="G440" s="7">
        <v>50</v>
      </c>
    </row>
    <row r="441" spans="1:7" x14ac:dyDescent="0.3">
      <c r="A441" s="18">
        <v>46083</v>
      </c>
      <c r="B441" s="18" t="s">
        <v>48</v>
      </c>
      <c r="C441" s="18" t="s">
        <v>49</v>
      </c>
      <c r="D441" s="6" t="s">
        <v>301</v>
      </c>
      <c r="E441" s="6" t="s">
        <v>50</v>
      </c>
      <c r="F441" s="6" t="s">
        <v>659</v>
      </c>
      <c r="G441" s="7">
        <f>127.8</f>
        <v>127.8</v>
      </c>
    </row>
    <row r="442" spans="1:7" x14ac:dyDescent="0.3">
      <c r="A442" s="18">
        <v>46101</v>
      </c>
      <c r="B442" s="18" t="s">
        <v>48</v>
      </c>
      <c r="C442" s="18" t="s">
        <v>49</v>
      </c>
      <c r="D442" s="6" t="s">
        <v>21</v>
      </c>
      <c r="E442" s="6" t="s">
        <v>47</v>
      </c>
      <c r="F442" s="6" t="s">
        <v>659</v>
      </c>
      <c r="G442" s="7">
        <v>620</v>
      </c>
    </row>
    <row r="443" spans="1:7" x14ac:dyDescent="0.3">
      <c r="A443" s="18">
        <v>46028</v>
      </c>
      <c r="B443" s="18" t="s">
        <v>48</v>
      </c>
      <c r="C443" s="18" t="s">
        <v>49</v>
      </c>
      <c r="D443" s="6" t="s">
        <v>3</v>
      </c>
      <c r="E443" s="6" t="s">
        <v>13</v>
      </c>
      <c r="F443" s="6" t="s">
        <v>659</v>
      </c>
      <c r="G443" s="7">
        <v>500</v>
      </c>
    </row>
    <row r="444" spans="1:7" x14ac:dyDescent="0.3">
      <c r="A444" s="18">
        <v>46063</v>
      </c>
      <c r="B444" s="18" t="s">
        <v>48</v>
      </c>
      <c r="C444" s="18" t="s">
        <v>49</v>
      </c>
      <c r="D444" s="6" t="s">
        <v>3</v>
      </c>
      <c r="E444" s="6" t="s">
        <v>13</v>
      </c>
      <c r="F444" s="6" t="s">
        <v>659</v>
      </c>
      <c r="G444" s="7">
        <f>39.9+168.98</f>
        <v>208.88</v>
      </c>
    </row>
    <row r="445" spans="1:7" x14ac:dyDescent="0.3">
      <c r="A445" s="18">
        <v>46084</v>
      </c>
      <c r="B445" s="18" t="s">
        <v>48</v>
      </c>
      <c r="C445" s="18" t="s">
        <v>49</v>
      </c>
      <c r="D445" s="6" t="s">
        <v>3</v>
      </c>
      <c r="E445" s="6" t="s">
        <v>13</v>
      </c>
      <c r="F445" s="6" t="s">
        <v>659</v>
      </c>
      <c r="G445" s="7">
        <v>250</v>
      </c>
    </row>
    <row r="446" spans="1:7" x14ac:dyDescent="0.3">
      <c r="A446" s="18">
        <v>46092</v>
      </c>
      <c r="B446" s="18" t="s">
        <v>48</v>
      </c>
      <c r="C446" s="18" t="s">
        <v>49</v>
      </c>
      <c r="D446" s="6" t="s">
        <v>3</v>
      </c>
      <c r="E446" s="6" t="s">
        <v>13</v>
      </c>
      <c r="F446" s="6" t="s">
        <v>659</v>
      </c>
      <c r="G446" s="7">
        <v>300</v>
      </c>
    </row>
    <row r="447" spans="1:7" x14ac:dyDescent="0.3">
      <c r="A447" s="18">
        <v>46108</v>
      </c>
      <c r="B447" s="18" t="s">
        <v>48</v>
      </c>
      <c r="C447" s="18" t="s">
        <v>49</v>
      </c>
      <c r="D447" s="6" t="s">
        <v>3</v>
      </c>
      <c r="E447" s="6" t="s">
        <v>13</v>
      </c>
      <c r="F447" s="6" t="s">
        <v>659</v>
      </c>
      <c r="G447" s="7">
        <v>100</v>
      </c>
    </row>
    <row r="448" spans="1:7" x14ac:dyDescent="0.3">
      <c r="A448" s="18">
        <v>46111</v>
      </c>
      <c r="B448" s="18" t="s">
        <v>48</v>
      </c>
      <c r="C448" s="18" t="s">
        <v>49</v>
      </c>
      <c r="D448" s="6" t="s">
        <v>3</v>
      </c>
      <c r="E448" s="6" t="s">
        <v>47</v>
      </c>
      <c r="F448" s="6" t="s">
        <v>659</v>
      </c>
      <c r="G448" s="7">
        <f>60+22.89+82.89+100</f>
        <v>265.77999999999997</v>
      </c>
    </row>
    <row r="449" spans="1:7" x14ac:dyDescent="0.3">
      <c r="A449" s="18">
        <v>46113</v>
      </c>
      <c r="B449" s="18" t="s">
        <v>48</v>
      </c>
      <c r="C449" s="18" t="s">
        <v>49</v>
      </c>
      <c r="D449" s="6" t="s">
        <v>3</v>
      </c>
      <c r="E449" s="6" t="s">
        <v>13</v>
      </c>
      <c r="F449" s="6" t="s">
        <v>659</v>
      </c>
      <c r="G449" s="7">
        <v>250</v>
      </c>
    </row>
    <row r="450" spans="1:7" x14ac:dyDescent="0.3">
      <c r="A450" s="18">
        <v>46113</v>
      </c>
      <c r="B450" s="18" t="s">
        <v>48</v>
      </c>
      <c r="C450" s="18" t="s">
        <v>49</v>
      </c>
      <c r="D450" s="6" t="s">
        <v>3</v>
      </c>
      <c r="E450" s="6" t="s">
        <v>13</v>
      </c>
      <c r="F450" s="6" t="s">
        <v>659</v>
      </c>
      <c r="G450" s="7">
        <v>110</v>
      </c>
    </row>
    <row r="451" spans="1:7" x14ac:dyDescent="0.3">
      <c r="A451" s="18">
        <v>46113</v>
      </c>
      <c r="B451" s="18" t="s">
        <v>48</v>
      </c>
      <c r="C451" s="18" t="s">
        <v>49</v>
      </c>
      <c r="D451" s="6" t="s">
        <v>3</v>
      </c>
      <c r="E451" s="6" t="s">
        <v>13</v>
      </c>
      <c r="F451" s="6" t="s">
        <v>659</v>
      </c>
      <c r="G451" s="7">
        <v>60</v>
      </c>
    </row>
    <row r="452" spans="1:7" x14ac:dyDescent="0.3">
      <c r="A452" s="18">
        <v>46113</v>
      </c>
      <c r="B452" s="18" t="s">
        <v>48</v>
      </c>
      <c r="C452" s="18" t="s">
        <v>49</v>
      </c>
      <c r="D452" s="6" t="s">
        <v>3</v>
      </c>
      <c r="E452" s="6" t="s">
        <v>13</v>
      </c>
      <c r="F452" s="6" t="s">
        <v>659</v>
      </c>
      <c r="G452" s="7">
        <v>30</v>
      </c>
    </row>
    <row r="453" spans="1:7" x14ac:dyDescent="0.3">
      <c r="A453" s="18">
        <v>46113</v>
      </c>
      <c r="B453" s="18" t="s">
        <v>48</v>
      </c>
      <c r="C453" s="18" t="s">
        <v>49</v>
      </c>
      <c r="D453" s="6" t="s">
        <v>3</v>
      </c>
      <c r="E453" s="6" t="s">
        <v>13</v>
      </c>
      <c r="F453" s="6" t="s">
        <v>659</v>
      </c>
      <c r="G453" s="7">
        <v>603.86</v>
      </c>
    </row>
    <row r="454" spans="1:7" x14ac:dyDescent="0.3">
      <c r="A454" s="18">
        <v>46163</v>
      </c>
      <c r="B454" s="18" t="s">
        <v>48</v>
      </c>
      <c r="C454" s="18" t="s">
        <v>49</v>
      </c>
      <c r="D454" s="6" t="s">
        <v>3</v>
      </c>
      <c r="E454" s="6" t="s">
        <v>13</v>
      </c>
      <c r="F454" s="6" t="s">
        <v>659</v>
      </c>
      <c r="G454" s="7">
        <f>30+250.54</f>
        <v>280.53999999999996</v>
      </c>
    </row>
    <row r="455" spans="1:7" x14ac:dyDescent="0.3">
      <c r="A455" s="18">
        <v>46190</v>
      </c>
      <c r="B455" s="46" t="s">
        <v>48</v>
      </c>
      <c r="C455" s="18" t="s">
        <v>49</v>
      </c>
      <c r="D455" s="6" t="s">
        <v>3</v>
      </c>
      <c r="E455" s="6" t="s">
        <v>13</v>
      </c>
      <c r="F455" s="6" t="s">
        <v>659</v>
      </c>
      <c r="G455" s="7">
        <f>21.24+23.46+63.32+26.99+7.49</f>
        <v>142.50000000000003</v>
      </c>
    </row>
    <row r="456" spans="1:7" x14ac:dyDescent="0.3">
      <c r="A456" s="18">
        <v>46192</v>
      </c>
      <c r="B456" s="46" t="s">
        <v>48</v>
      </c>
      <c r="C456" s="18" t="s">
        <v>49</v>
      </c>
      <c r="D456" s="6" t="s">
        <v>3</v>
      </c>
      <c r="E456" s="6" t="s">
        <v>13</v>
      </c>
      <c r="F456" s="6" t="s">
        <v>659</v>
      </c>
      <c r="G456" s="7">
        <f>34.23+27+29.11</f>
        <v>90.34</v>
      </c>
    </row>
    <row r="457" spans="1:7" x14ac:dyDescent="0.3">
      <c r="A457" s="18">
        <v>46192</v>
      </c>
      <c r="B457" s="46" t="s">
        <v>48</v>
      </c>
      <c r="C457" s="18" t="s">
        <v>49</v>
      </c>
      <c r="D457" s="6" t="s">
        <v>3</v>
      </c>
      <c r="E457" s="6" t="s">
        <v>13</v>
      </c>
      <c r="F457" s="6" t="s">
        <v>659</v>
      </c>
      <c r="G457" s="9">
        <v>975.56</v>
      </c>
    </row>
    <row r="458" spans="1:7" x14ac:dyDescent="0.3">
      <c r="A458" s="18">
        <v>46091</v>
      </c>
      <c r="B458" s="18" t="s">
        <v>48</v>
      </c>
      <c r="C458" s="18" t="s">
        <v>49</v>
      </c>
      <c r="D458" s="6" t="s">
        <v>12</v>
      </c>
      <c r="E458" s="6" t="s">
        <v>13</v>
      </c>
      <c r="F458" s="6" t="s">
        <v>659</v>
      </c>
      <c r="G458" s="7">
        <v>51.98</v>
      </c>
    </row>
    <row r="459" spans="1:7" x14ac:dyDescent="0.3">
      <c r="A459" s="18">
        <v>46091</v>
      </c>
      <c r="B459" s="18" t="s">
        <v>48</v>
      </c>
      <c r="C459" s="18" t="s">
        <v>49</v>
      </c>
      <c r="D459" s="6" t="s">
        <v>12</v>
      </c>
      <c r="E459" s="6" t="s">
        <v>13</v>
      </c>
      <c r="F459" s="6" t="s">
        <v>659</v>
      </c>
      <c r="G459" s="7">
        <f>37.97+32.98</f>
        <v>70.949999999999989</v>
      </c>
    </row>
    <row r="460" spans="1:7" x14ac:dyDescent="0.3">
      <c r="A460" s="18">
        <v>46098</v>
      </c>
      <c r="B460" s="18" t="s">
        <v>48</v>
      </c>
      <c r="C460" s="18" t="s">
        <v>49</v>
      </c>
      <c r="D460" s="6" t="s">
        <v>12</v>
      </c>
      <c r="E460" s="6" t="s">
        <v>13</v>
      </c>
      <c r="F460" s="6" t="s">
        <v>659</v>
      </c>
      <c r="G460" s="7">
        <f>38.97+28.97</f>
        <v>67.94</v>
      </c>
    </row>
    <row r="461" spans="1:7" x14ac:dyDescent="0.3">
      <c r="A461" s="18">
        <v>46198</v>
      </c>
      <c r="B461" s="18" t="s">
        <v>34</v>
      </c>
      <c r="C461" s="18" t="s">
        <v>583</v>
      </c>
      <c r="D461" s="6" t="s">
        <v>1119</v>
      </c>
      <c r="E461" s="6" t="s">
        <v>47</v>
      </c>
      <c r="F461" s="6" t="s">
        <v>656</v>
      </c>
      <c r="G461" s="7">
        <v>116.8</v>
      </c>
    </row>
    <row r="462" spans="1:7" x14ac:dyDescent="0.3">
      <c r="A462" s="18">
        <v>46106</v>
      </c>
      <c r="B462" s="18" t="s">
        <v>34</v>
      </c>
      <c r="C462" s="18" t="s">
        <v>583</v>
      </c>
      <c r="D462" s="6" t="s">
        <v>584</v>
      </c>
      <c r="E462" s="6" t="s">
        <v>57</v>
      </c>
      <c r="F462" s="6" t="s">
        <v>656</v>
      </c>
      <c r="G462" s="7">
        <v>116.86</v>
      </c>
    </row>
    <row r="463" spans="1:7" x14ac:dyDescent="0.3">
      <c r="A463" s="18">
        <v>46113</v>
      </c>
      <c r="B463" s="18" t="s">
        <v>34</v>
      </c>
      <c r="C463" s="18" t="s">
        <v>583</v>
      </c>
      <c r="D463" s="6" t="s">
        <v>584</v>
      </c>
      <c r="E463" s="6" t="s">
        <v>57</v>
      </c>
      <c r="F463" s="6" t="s">
        <v>656</v>
      </c>
      <c r="G463" s="7">
        <v>117.06</v>
      </c>
    </row>
    <row r="464" spans="1:7" x14ac:dyDescent="0.3">
      <c r="A464" s="18">
        <v>46113</v>
      </c>
      <c r="B464" s="18" t="s">
        <v>34</v>
      </c>
      <c r="C464" s="18" t="s">
        <v>583</v>
      </c>
      <c r="D464" s="6" t="s">
        <v>584</v>
      </c>
      <c r="E464" s="6" t="s">
        <v>13</v>
      </c>
      <c r="F464" s="6" t="s">
        <v>656</v>
      </c>
      <c r="G464" s="7">
        <v>1174.78</v>
      </c>
    </row>
    <row r="465" spans="1:7" x14ac:dyDescent="0.3">
      <c r="A465" s="18">
        <v>46167</v>
      </c>
      <c r="B465" s="18" t="s">
        <v>34</v>
      </c>
      <c r="C465" s="18" t="s">
        <v>583</v>
      </c>
      <c r="D465" s="6" t="s">
        <v>584</v>
      </c>
      <c r="E465" s="6" t="s">
        <v>57</v>
      </c>
      <c r="F465" s="6" t="s">
        <v>656</v>
      </c>
      <c r="G465" s="7">
        <v>116.61</v>
      </c>
    </row>
    <row r="466" spans="1:7" x14ac:dyDescent="0.3">
      <c r="A466" s="18">
        <v>46149</v>
      </c>
      <c r="B466" s="18" t="s">
        <v>34</v>
      </c>
      <c r="C466" s="18" t="s">
        <v>583</v>
      </c>
      <c r="D466" s="6" t="s">
        <v>883</v>
      </c>
      <c r="E466" s="6" t="s">
        <v>57</v>
      </c>
      <c r="F466" s="6" t="s">
        <v>656</v>
      </c>
      <c r="G466" s="7">
        <v>106.24</v>
      </c>
    </row>
    <row r="467" spans="1:7" x14ac:dyDescent="0.3">
      <c r="A467" s="18">
        <v>46179</v>
      </c>
      <c r="B467" s="18" t="s">
        <v>34</v>
      </c>
      <c r="C467" s="18" t="s">
        <v>583</v>
      </c>
      <c r="D467" s="6" t="s">
        <v>883</v>
      </c>
      <c r="E467" s="6" t="s">
        <v>47</v>
      </c>
      <c r="F467" s="6" t="s">
        <v>656</v>
      </c>
      <c r="G467" s="7">
        <v>106.36</v>
      </c>
    </row>
    <row r="468" spans="1:7" x14ac:dyDescent="0.3">
      <c r="A468" s="18">
        <v>46182</v>
      </c>
      <c r="B468" s="44" t="s">
        <v>34</v>
      </c>
      <c r="C468" s="44" t="s">
        <v>992</v>
      </c>
      <c r="D468" s="6" t="s">
        <v>992</v>
      </c>
      <c r="E468" s="6" t="s">
        <v>47</v>
      </c>
      <c r="F468" s="6" t="s">
        <v>659</v>
      </c>
      <c r="G468" s="3">
        <v>200</v>
      </c>
    </row>
    <row r="469" spans="1:7" x14ac:dyDescent="0.3">
      <c r="A469" s="18">
        <v>46202</v>
      </c>
      <c r="B469" s="18" t="s">
        <v>34</v>
      </c>
      <c r="C469" s="18" t="s">
        <v>1149</v>
      </c>
      <c r="D469" s="6" t="s">
        <v>1148</v>
      </c>
      <c r="E469" s="6" t="s">
        <v>57</v>
      </c>
      <c r="F469" s="6" t="s">
        <v>661</v>
      </c>
      <c r="G469" s="7">
        <v>150</v>
      </c>
    </row>
    <row r="470" spans="1:7" x14ac:dyDescent="0.3">
      <c r="A470" s="18">
        <v>46038</v>
      </c>
      <c r="B470" s="18" t="s">
        <v>34</v>
      </c>
      <c r="C470" s="18" t="s">
        <v>188</v>
      </c>
      <c r="D470" s="6" t="s">
        <v>212</v>
      </c>
      <c r="E470" s="6" t="s">
        <v>47</v>
      </c>
      <c r="F470" s="6" t="s">
        <v>659</v>
      </c>
      <c r="G470" s="7">
        <v>17.88</v>
      </c>
    </row>
    <row r="471" spans="1:7" x14ac:dyDescent="0.3">
      <c r="A471" s="18">
        <v>46064</v>
      </c>
      <c r="B471" s="18" t="s">
        <v>34</v>
      </c>
      <c r="C471" s="18" t="s">
        <v>188</v>
      </c>
      <c r="D471" s="6" t="s">
        <v>256</v>
      </c>
      <c r="E471" s="6" t="s">
        <v>42</v>
      </c>
      <c r="F471" s="6" t="s">
        <v>659</v>
      </c>
      <c r="G471" s="7">
        <v>22.61</v>
      </c>
    </row>
    <row r="472" spans="1:7" x14ac:dyDescent="0.3">
      <c r="A472" s="18">
        <v>46037</v>
      </c>
      <c r="B472" s="18" t="s">
        <v>34</v>
      </c>
      <c r="C472" s="18" t="s">
        <v>188</v>
      </c>
      <c r="D472" s="6" t="s">
        <v>161</v>
      </c>
      <c r="E472" s="6" t="s">
        <v>42</v>
      </c>
      <c r="F472" s="6" t="s">
        <v>659</v>
      </c>
      <c r="G472" s="7">
        <v>267.60000000000002</v>
      </c>
    </row>
    <row r="473" spans="1:7" x14ac:dyDescent="0.3">
      <c r="A473" s="18">
        <v>46041</v>
      </c>
      <c r="B473" s="18" t="s">
        <v>34</v>
      </c>
      <c r="C473" s="18" t="s">
        <v>188</v>
      </c>
      <c r="D473" s="6" t="s">
        <v>196</v>
      </c>
      <c r="E473" s="6" t="s">
        <v>57</v>
      </c>
      <c r="F473" s="6" t="s">
        <v>659</v>
      </c>
      <c r="G473" s="7">
        <v>45.78</v>
      </c>
    </row>
    <row r="474" spans="1:7" x14ac:dyDescent="0.3">
      <c r="A474" s="18">
        <v>46169</v>
      </c>
      <c r="B474" s="18" t="s">
        <v>34</v>
      </c>
      <c r="C474" s="18" t="s">
        <v>835</v>
      </c>
      <c r="D474" s="8" t="s">
        <v>816</v>
      </c>
      <c r="E474" s="8" t="s">
        <v>42</v>
      </c>
      <c r="F474" s="6" t="s">
        <v>659</v>
      </c>
      <c r="G474" s="9">
        <v>116.25</v>
      </c>
    </row>
    <row r="475" spans="1:7" x14ac:dyDescent="0.3">
      <c r="A475" s="18">
        <v>46196</v>
      </c>
      <c r="B475" s="47" t="s">
        <v>34</v>
      </c>
      <c r="C475" s="47" t="s">
        <v>1002</v>
      </c>
      <c r="D475" s="8" t="s">
        <v>1003</v>
      </c>
      <c r="E475" s="8" t="s">
        <v>47</v>
      </c>
      <c r="F475" s="6" t="s">
        <v>659</v>
      </c>
      <c r="G475" s="9">
        <v>4000</v>
      </c>
    </row>
    <row r="476" spans="1:7" x14ac:dyDescent="0.3">
      <c r="A476" s="18">
        <v>46073</v>
      </c>
      <c r="B476" s="18" t="s">
        <v>34</v>
      </c>
      <c r="C476" s="18" t="s">
        <v>833</v>
      </c>
      <c r="D476" s="8" t="s">
        <v>834</v>
      </c>
      <c r="E476" s="6" t="s">
        <v>47</v>
      </c>
      <c r="F476" s="6" t="s">
        <v>656</v>
      </c>
      <c r="G476" s="7">
        <v>114</v>
      </c>
    </row>
    <row r="477" spans="1:7" x14ac:dyDescent="0.3">
      <c r="A477" s="18">
        <v>46113</v>
      </c>
      <c r="B477" s="18" t="s">
        <v>34</v>
      </c>
      <c r="C477" s="18" t="s">
        <v>833</v>
      </c>
      <c r="D477" s="8" t="s">
        <v>834</v>
      </c>
      <c r="E477" s="6" t="s">
        <v>57</v>
      </c>
      <c r="F477" s="6" t="s">
        <v>656</v>
      </c>
      <c r="G477" s="7">
        <v>57</v>
      </c>
    </row>
    <row r="478" spans="1:7" x14ac:dyDescent="0.3">
      <c r="A478" s="18">
        <v>46156</v>
      </c>
      <c r="B478" s="18" t="s">
        <v>34</v>
      </c>
      <c r="C478" s="18" t="s">
        <v>833</v>
      </c>
      <c r="D478" s="8" t="s">
        <v>834</v>
      </c>
      <c r="E478" s="6" t="s">
        <v>42</v>
      </c>
      <c r="F478" s="6" t="s">
        <v>656</v>
      </c>
      <c r="G478" s="7">
        <v>78</v>
      </c>
    </row>
    <row r="479" spans="1:7" x14ac:dyDescent="0.3">
      <c r="A479" s="18">
        <v>46168</v>
      </c>
      <c r="B479" s="18" t="s">
        <v>34</v>
      </c>
      <c r="C479" s="18" t="s">
        <v>833</v>
      </c>
      <c r="D479" s="8" t="s">
        <v>834</v>
      </c>
      <c r="E479" s="8" t="s">
        <v>57</v>
      </c>
      <c r="F479" s="6" t="s">
        <v>659</v>
      </c>
      <c r="G479" s="9">
        <v>144</v>
      </c>
    </row>
    <row r="480" spans="1:7" x14ac:dyDescent="0.3">
      <c r="A480" s="18">
        <v>46198</v>
      </c>
      <c r="B480" s="18" t="s">
        <v>34</v>
      </c>
      <c r="C480" s="18" t="s">
        <v>833</v>
      </c>
      <c r="D480" s="6" t="s">
        <v>834</v>
      </c>
      <c r="E480" s="6" t="s">
        <v>42</v>
      </c>
      <c r="F480" s="6" t="s">
        <v>656</v>
      </c>
      <c r="G480" s="7">
        <v>176</v>
      </c>
    </row>
    <row r="481" spans="1:7" x14ac:dyDescent="0.3">
      <c r="A481" s="18">
        <v>46174</v>
      </c>
      <c r="B481" s="18" t="s">
        <v>34</v>
      </c>
      <c r="C481" s="18" t="s">
        <v>833</v>
      </c>
      <c r="D481" s="5" t="s">
        <v>988</v>
      </c>
      <c r="E481" s="5" t="s">
        <v>57</v>
      </c>
      <c r="F481" s="6" t="s">
        <v>659</v>
      </c>
      <c r="G481" s="3">
        <v>650</v>
      </c>
    </row>
    <row r="482" spans="1:7" x14ac:dyDescent="0.3">
      <c r="A482" s="18">
        <v>46113</v>
      </c>
      <c r="B482" s="18" t="s">
        <v>34</v>
      </c>
      <c r="C482" s="18" t="s">
        <v>775</v>
      </c>
      <c r="D482" s="6" t="s">
        <v>788</v>
      </c>
      <c r="E482" s="6" t="s">
        <v>47</v>
      </c>
      <c r="F482" s="6" t="s">
        <v>659</v>
      </c>
      <c r="G482" s="7">
        <v>53.14</v>
      </c>
    </row>
    <row r="483" spans="1:7" x14ac:dyDescent="0.3">
      <c r="A483" s="18">
        <v>46113</v>
      </c>
      <c r="B483" s="18" t="s">
        <v>34</v>
      </c>
      <c r="C483" s="18" t="s">
        <v>775</v>
      </c>
      <c r="D483" s="6" t="s">
        <v>777</v>
      </c>
      <c r="E483" s="6" t="s">
        <v>47</v>
      </c>
      <c r="F483" s="6" t="s">
        <v>659</v>
      </c>
      <c r="G483" s="7">
        <v>82.19</v>
      </c>
    </row>
    <row r="484" spans="1:7" x14ac:dyDescent="0.3">
      <c r="A484" s="18">
        <v>46113</v>
      </c>
      <c r="B484" s="18" t="s">
        <v>34</v>
      </c>
      <c r="C484" s="18" t="s">
        <v>775</v>
      </c>
      <c r="D484" s="6" t="s">
        <v>792</v>
      </c>
      <c r="E484" s="6" t="s">
        <v>57</v>
      </c>
      <c r="F484" s="6" t="s">
        <v>659</v>
      </c>
      <c r="G484" s="7">
        <v>53.14</v>
      </c>
    </row>
    <row r="485" spans="1:7" x14ac:dyDescent="0.3">
      <c r="A485" s="18">
        <v>46113</v>
      </c>
      <c r="B485" s="18" t="s">
        <v>34</v>
      </c>
      <c r="C485" s="18" t="s">
        <v>775</v>
      </c>
      <c r="D485" s="6" t="s">
        <v>776</v>
      </c>
      <c r="E485" s="6" t="s">
        <v>47</v>
      </c>
      <c r="F485" s="6" t="s">
        <v>659</v>
      </c>
      <c r="G485" s="7">
        <v>82.19</v>
      </c>
    </row>
    <row r="486" spans="1:7" x14ac:dyDescent="0.3">
      <c r="A486" s="18">
        <v>46047</v>
      </c>
      <c r="B486" s="18" t="s">
        <v>34</v>
      </c>
      <c r="C486" s="18" t="s">
        <v>277</v>
      </c>
      <c r="D486" s="6" t="s">
        <v>446</v>
      </c>
      <c r="E486" s="6" t="s">
        <v>57</v>
      </c>
      <c r="F486" s="6" t="s">
        <v>657</v>
      </c>
      <c r="G486" s="7">
        <v>931.16</v>
      </c>
    </row>
    <row r="487" spans="1:7" x14ac:dyDescent="0.3">
      <c r="A487" s="18">
        <v>46078</v>
      </c>
      <c r="B487" s="18" t="s">
        <v>34</v>
      </c>
      <c r="C487" s="18" t="s">
        <v>277</v>
      </c>
      <c r="D487" s="6" t="s">
        <v>446</v>
      </c>
      <c r="E487" s="6" t="s">
        <v>57</v>
      </c>
      <c r="F487" s="6" t="s">
        <v>657</v>
      </c>
      <c r="G487" s="7">
        <v>931.16</v>
      </c>
    </row>
    <row r="488" spans="1:7" x14ac:dyDescent="0.3">
      <c r="A488" s="18">
        <v>46024</v>
      </c>
      <c r="B488" s="18" t="s">
        <v>34</v>
      </c>
      <c r="C488" s="18" t="s">
        <v>35</v>
      </c>
      <c r="D488" s="6" t="s">
        <v>0</v>
      </c>
      <c r="E488" s="6" t="s">
        <v>47</v>
      </c>
      <c r="F488" s="6" t="s">
        <v>659</v>
      </c>
      <c r="G488" s="7">
        <v>68.58</v>
      </c>
    </row>
    <row r="489" spans="1:7" x14ac:dyDescent="0.3">
      <c r="A489" s="18">
        <v>46055</v>
      </c>
      <c r="B489" s="18" t="s">
        <v>34</v>
      </c>
      <c r="C489" s="18" t="s">
        <v>35</v>
      </c>
      <c r="D489" s="6" t="s">
        <v>0</v>
      </c>
      <c r="E489" s="6" t="s">
        <v>47</v>
      </c>
      <c r="F489" s="6" t="s">
        <v>659</v>
      </c>
      <c r="G489" s="7">
        <v>21.81</v>
      </c>
    </row>
    <row r="490" spans="1:7" x14ac:dyDescent="0.3">
      <c r="A490" s="18">
        <v>46083</v>
      </c>
      <c r="B490" s="18" t="s">
        <v>34</v>
      </c>
      <c r="C490" s="18" t="s">
        <v>35</v>
      </c>
      <c r="D490" s="6" t="s">
        <v>0</v>
      </c>
      <c r="E490" s="6" t="s">
        <v>47</v>
      </c>
      <c r="F490" s="6" t="s">
        <v>659</v>
      </c>
      <c r="G490" s="7">
        <v>58.24</v>
      </c>
    </row>
    <row r="491" spans="1:7" x14ac:dyDescent="0.3">
      <c r="A491" s="18">
        <v>46027</v>
      </c>
      <c r="B491" s="18" t="s">
        <v>34</v>
      </c>
      <c r="C491" s="18" t="s">
        <v>65</v>
      </c>
      <c r="D491" s="6" t="s">
        <v>6</v>
      </c>
      <c r="E491" s="6" t="s">
        <v>47</v>
      </c>
      <c r="F491" s="6" t="s">
        <v>659</v>
      </c>
      <c r="G491" s="7">
        <v>661</v>
      </c>
    </row>
    <row r="492" spans="1:7" x14ac:dyDescent="0.3">
      <c r="A492" s="18">
        <v>46058</v>
      </c>
      <c r="B492" s="18" t="s">
        <v>34</v>
      </c>
      <c r="C492" s="18" t="s">
        <v>65</v>
      </c>
      <c r="D492" s="6" t="s">
        <v>6</v>
      </c>
      <c r="E492" s="6" t="s">
        <v>47</v>
      </c>
      <c r="F492" s="6" t="s">
        <v>659</v>
      </c>
      <c r="G492" s="7">
        <v>1289</v>
      </c>
    </row>
    <row r="493" spans="1:7" x14ac:dyDescent="0.3">
      <c r="A493" s="18">
        <v>46086</v>
      </c>
      <c r="B493" s="18" t="s">
        <v>34</v>
      </c>
      <c r="C493" s="18" t="s">
        <v>65</v>
      </c>
      <c r="D493" s="6" t="s">
        <v>6</v>
      </c>
      <c r="E493" s="6" t="s">
        <v>47</v>
      </c>
      <c r="F493" s="6" t="s">
        <v>659</v>
      </c>
      <c r="G493" s="7">
        <v>1289</v>
      </c>
    </row>
    <row r="494" spans="1:7" x14ac:dyDescent="0.3">
      <c r="A494" s="18">
        <v>46068</v>
      </c>
      <c r="B494" s="18" t="s">
        <v>34</v>
      </c>
      <c r="C494" s="18" t="s">
        <v>950</v>
      </c>
      <c r="D494" s="6" t="s">
        <v>483</v>
      </c>
      <c r="E494" s="6" t="s">
        <v>47</v>
      </c>
      <c r="F494" s="6" t="s">
        <v>656</v>
      </c>
      <c r="G494" s="7">
        <v>3</v>
      </c>
    </row>
    <row r="495" spans="1:7" x14ac:dyDescent="0.3">
      <c r="A495" s="18">
        <v>46069</v>
      </c>
      <c r="B495" s="18" t="s">
        <v>34</v>
      </c>
      <c r="C495" s="18" t="s">
        <v>950</v>
      </c>
      <c r="D495" s="6" t="s">
        <v>483</v>
      </c>
      <c r="E495" s="6" t="s">
        <v>47</v>
      </c>
      <c r="F495" s="6" t="s">
        <v>656</v>
      </c>
      <c r="G495" s="7">
        <v>31.95</v>
      </c>
    </row>
    <row r="496" spans="1:7" x14ac:dyDescent="0.3">
      <c r="A496" s="18">
        <v>46070</v>
      </c>
      <c r="B496" s="18" t="s">
        <v>34</v>
      </c>
      <c r="C496" s="18" t="s">
        <v>950</v>
      </c>
      <c r="D496" s="6" t="s">
        <v>483</v>
      </c>
      <c r="E496" s="6" t="s">
        <v>47</v>
      </c>
      <c r="F496" s="6" t="s">
        <v>656</v>
      </c>
      <c r="G496" s="7">
        <v>22.79</v>
      </c>
    </row>
    <row r="497" spans="1:7" x14ac:dyDescent="0.3">
      <c r="A497" s="18">
        <v>46070</v>
      </c>
      <c r="B497" s="18" t="s">
        <v>34</v>
      </c>
      <c r="C497" s="18" t="s">
        <v>950</v>
      </c>
      <c r="D497" s="6" t="s">
        <v>483</v>
      </c>
      <c r="E497" s="6" t="s">
        <v>47</v>
      </c>
      <c r="F497" s="6" t="s">
        <v>656</v>
      </c>
      <c r="G497" s="7">
        <v>32.700000000000003</v>
      </c>
    </row>
    <row r="498" spans="1:7" x14ac:dyDescent="0.3">
      <c r="A498" s="18">
        <v>46070</v>
      </c>
      <c r="B498" s="18" t="s">
        <v>34</v>
      </c>
      <c r="C498" s="18" t="s">
        <v>950</v>
      </c>
      <c r="D498" s="6" t="s">
        <v>483</v>
      </c>
      <c r="E498" s="6" t="s">
        <v>47</v>
      </c>
      <c r="F498" s="6" t="s">
        <v>656</v>
      </c>
      <c r="G498" s="7">
        <v>64.2</v>
      </c>
    </row>
    <row r="499" spans="1:7" x14ac:dyDescent="0.3">
      <c r="A499" s="18">
        <v>46071</v>
      </c>
      <c r="B499" s="18" t="s">
        <v>34</v>
      </c>
      <c r="C499" s="18" t="s">
        <v>950</v>
      </c>
      <c r="D499" s="6" t="s">
        <v>483</v>
      </c>
      <c r="E499" s="6" t="s">
        <v>47</v>
      </c>
      <c r="F499" s="6" t="s">
        <v>656</v>
      </c>
      <c r="G499" s="7">
        <v>38.5</v>
      </c>
    </row>
    <row r="500" spans="1:7" x14ac:dyDescent="0.3">
      <c r="A500" s="18">
        <v>46071</v>
      </c>
      <c r="B500" s="18" t="s">
        <v>34</v>
      </c>
      <c r="C500" s="18" t="s">
        <v>950</v>
      </c>
      <c r="D500" s="6" t="s">
        <v>483</v>
      </c>
      <c r="E500" s="6" t="s">
        <v>47</v>
      </c>
      <c r="F500" s="6" t="s">
        <v>656</v>
      </c>
      <c r="G500" s="7">
        <v>54.2</v>
      </c>
    </row>
    <row r="501" spans="1:7" x14ac:dyDescent="0.3">
      <c r="A501" s="18">
        <v>46078</v>
      </c>
      <c r="B501" s="18" t="s">
        <v>34</v>
      </c>
      <c r="C501" s="18" t="s">
        <v>950</v>
      </c>
      <c r="D501" s="6" t="s">
        <v>483</v>
      </c>
      <c r="E501" s="6" t="s">
        <v>57</v>
      </c>
      <c r="F501" s="6" t="s">
        <v>656</v>
      </c>
      <c r="G501" s="7">
        <v>5.04</v>
      </c>
    </row>
    <row r="502" spans="1:7" x14ac:dyDescent="0.3">
      <c r="A502" s="18">
        <v>46078</v>
      </c>
      <c r="B502" s="18" t="s">
        <v>34</v>
      </c>
      <c r="C502" s="18" t="s">
        <v>950</v>
      </c>
      <c r="D502" s="6" t="s">
        <v>483</v>
      </c>
      <c r="E502" s="6" t="s">
        <v>47</v>
      </c>
      <c r="F502" s="6" t="s">
        <v>656</v>
      </c>
      <c r="G502" s="7">
        <v>72.8</v>
      </c>
    </row>
    <row r="503" spans="1:7" x14ac:dyDescent="0.3">
      <c r="A503" s="18">
        <v>46093</v>
      </c>
      <c r="B503" s="18" t="s">
        <v>34</v>
      </c>
      <c r="C503" s="18" t="s">
        <v>950</v>
      </c>
      <c r="D503" s="6" t="s">
        <v>483</v>
      </c>
      <c r="E503" s="6" t="s">
        <v>57</v>
      </c>
      <c r="F503" s="6" t="s">
        <v>656</v>
      </c>
      <c r="G503" s="7">
        <v>29.75</v>
      </c>
    </row>
    <row r="504" spans="1:7" x14ac:dyDescent="0.3">
      <c r="A504" s="18">
        <v>46096</v>
      </c>
      <c r="B504" s="18" t="s">
        <v>34</v>
      </c>
      <c r="C504" s="18" t="s">
        <v>950</v>
      </c>
      <c r="D504" s="6" t="s">
        <v>483</v>
      </c>
      <c r="E504" s="6" t="s">
        <v>57</v>
      </c>
      <c r="F504" s="6" t="s">
        <v>656</v>
      </c>
      <c r="G504" s="7">
        <v>53.8</v>
      </c>
    </row>
    <row r="505" spans="1:7" x14ac:dyDescent="0.3">
      <c r="A505" s="18">
        <v>46096</v>
      </c>
      <c r="B505" s="18" t="s">
        <v>34</v>
      </c>
      <c r="C505" s="18" t="s">
        <v>950</v>
      </c>
      <c r="D505" s="6" t="s">
        <v>483</v>
      </c>
      <c r="E505" s="6" t="s">
        <v>57</v>
      </c>
      <c r="F505" s="6" t="s">
        <v>656</v>
      </c>
      <c r="G505" s="7">
        <v>64.95</v>
      </c>
    </row>
    <row r="506" spans="1:7" x14ac:dyDescent="0.3">
      <c r="A506" s="18">
        <v>46113</v>
      </c>
      <c r="B506" s="18" t="s">
        <v>34</v>
      </c>
      <c r="C506" s="18" t="s">
        <v>950</v>
      </c>
      <c r="D506" s="6" t="s">
        <v>483</v>
      </c>
      <c r="E506" s="6" t="s">
        <v>57</v>
      </c>
      <c r="F506" s="6" t="s">
        <v>656</v>
      </c>
      <c r="G506" s="7">
        <v>18.95</v>
      </c>
    </row>
    <row r="507" spans="1:7" x14ac:dyDescent="0.3">
      <c r="A507" s="18">
        <v>46113</v>
      </c>
      <c r="B507" s="18" t="s">
        <v>34</v>
      </c>
      <c r="C507" s="18" t="s">
        <v>950</v>
      </c>
      <c r="D507" s="6" t="s">
        <v>483</v>
      </c>
      <c r="E507" s="6" t="s">
        <v>57</v>
      </c>
      <c r="F507" s="6" t="s">
        <v>656</v>
      </c>
      <c r="G507" s="7">
        <v>5.15</v>
      </c>
    </row>
    <row r="508" spans="1:7" x14ac:dyDescent="0.3">
      <c r="A508" s="18">
        <v>46113</v>
      </c>
      <c r="B508" s="18" t="s">
        <v>34</v>
      </c>
      <c r="C508" s="18" t="s">
        <v>950</v>
      </c>
      <c r="D508" s="6" t="s">
        <v>483</v>
      </c>
      <c r="E508" s="6" t="s">
        <v>57</v>
      </c>
      <c r="F508" s="6" t="s">
        <v>656</v>
      </c>
      <c r="G508" s="7">
        <v>30.95</v>
      </c>
    </row>
    <row r="509" spans="1:7" x14ac:dyDescent="0.3">
      <c r="A509" s="18">
        <v>46147</v>
      </c>
      <c r="B509" s="18" t="s">
        <v>34</v>
      </c>
      <c r="C509" s="18" t="s">
        <v>950</v>
      </c>
      <c r="D509" s="6" t="s">
        <v>483</v>
      </c>
      <c r="E509" s="6" t="s">
        <v>57</v>
      </c>
      <c r="F509" s="6" t="s">
        <v>656</v>
      </c>
      <c r="G509" s="7">
        <v>2.5</v>
      </c>
    </row>
    <row r="510" spans="1:7" x14ac:dyDescent="0.3">
      <c r="A510" s="18">
        <v>46161</v>
      </c>
      <c r="B510" s="18" t="s">
        <v>34</v>
      </c>
      <c r="C510" s="18" t="s">
        <v>950</v>
      </c>
      <c r="D510" s="6" t="s">
        <v>906</v>
      </c>
      <c r="E510" s="6" t="s">
        <v>57</v>
      </c>
      <c r="F510" s="6" t="s">
        <v>656</v>
      </c>
      <c r="G510" s="7">
        <v>30</v>
      </c>
    </row>
    <row r="511" spans="1:7" x14ac:dyDescent="0.3">
      <c r="A511" s="18">
        <v>46071</v>
      </c>
      <c r="B511" s="18" t="s">
        <v>34</v>
      </c>
      <c r="C511" s="18" t="s">
        <v>950</v>
      </c>
      <c r="D511" s="6" t="s">
        <v>497</v>
      </c>
      <c r="E511" s="6" t="s">
        <v>47</v>
      </c>
      <c r="F511" s="6" t="s">
        <v>656</v>
      </c>
      <c r="G511" s="7">
        <v>69.3</v>
      </c>
    </row>
    <row r="512" spans="1:7" x14ac:dyDescent="0.3">
      <c r="A512" s="18">
        <v>46029</v>
      </c>
      <c r="B512" s="18" t="s">
        <v>34</v>
      </c>
      <c r="C512" s="18" t="s">
        <v>950</v>
      </c>
      <c r="D512" s="6" t="s">
        <v>354</v>
      </c>
      <c r="E512" s="6" t="s">
        <v>57</v>
      </c>
      <c r="F512" s="6" t="s">
        <v>656</v>
      </c>
      <c r="G512" s="7">
        <v>41.55</v>
      </c>
    </row>
    <row r="513" spans="1:7" x14ac:dyDescent="0.3">
      <c r="A513" s="18">
        <v>46067</v>
      </c>
      <c r="B513" s="18" t="s">
        <v>34</v>
      </c>
      <c r="C513" s="18" t="s">
        <v>950</v>
      </c>
      <c r="D513" s="6" t="s">
        <v>477</v>
      </c>
      <c r="E513" s="6" t="s">
        <v>47</v>
      </c>
      <c r="F513" s="6" t="s">
        <v>656</v>
      </c>
      <c r="G513" s="7">
        <v>30</v>
      </c>
    </row>
    <row r="514" spans="1:7" x14ac:dyDescent="0.3">
      <c r="A514" s="18">
        <v>46071</v>
      </c>
      <c r="B514" s="18" t="s">
        <v>34</v>
      </c>
      <c r="C514" s="18" t="s">
        <v>950</v>
      </c>
      <c r="D514" s="6" t="s">
        <v>501</v>
      </c>
      <c r="E514" s="6" t="s">
        <v>47</v>
      </c>
      <c r="F514" s="6" t="s">
        <v>656</v>
      </c>
      <c r="G514" s="7">
        <v>90</v>
      </c>
    </row>
    <row r="515" spans="1:7" x14ac:dyDescent="0.3">
      <c r="A515" s="18">
        <v>46098</v>
      </c>
      <c r="B515" s="18" t="s">
        <v>34</v>
      </c>
      <c r="C515" s="18" t="s">
        <v>950</v>
      </c>
      <c r="D515" s="6" t="s">
        <v>564</v>
      </c>
      <c r="E515" s="6" t="s">
        <v>57</v>
      </c>
      <c r="F515" s="6" t="s">
        <v>656</v>
      </c>
      <c r="G515" s="7">
        <v>35</v>
      </c>
    </row>
    <row r="516" spans="1:7" x14ac:dyDescent="0.3">
      <c r="A516" s="18">
        <v>46093</v>
      </c>
      <c r="B516" s="18" t="s">
        <v>34</v>
      </c>
      <c r="C516" s="18" t="s">
        <v>950</v>
      </c>
      <c r="D516" s="6" t="s">
        <v>555</v>
      </c>
      <c r="E516" s="6" t="s">
        <v>57</v>
      </c>
      <c r="F516" s="6" t="s">
        <v>656</v>
      </c>
      <c r="G516" s="7">
        <v>17.05</v>
      </c>
    </row>
    <row r="517" spans="1:7" x14ac:dyDescent="0.3">
      <c r="A517" s="18">
        <v>46069</v>
      </c>
      <c r="B517" s="18" t="s">
        <v>34</v>
      </c>
      <c r="C517" s="18" t="s">
        <v>950</v>
      </c>
      <c r="D517" s="6" t="s">
        <v>488</v>
      </c>
      <c r="E517" s="6" t="s">
        <v>47</v>
      </c>
      <c r="F517" s="6" t="s">
        <v>656</v>
      </c>
      <c r="G517" s="7">
        <v>12</v>
      </c>
    </row>
    <row r="518" spans="1:7" x14ac:dyDescent="0.3">
      <c r="A518" s="18">
        <v>46055</v>
      </c>
      <c r="B518" s="18" t="s">
        <v>34</v>
      </c>
      <c r="C518" s="18" t="s">
        <v>950</v>
      </c>
      <c r="D518" s="6" t="s">
        <v>462</v>
      </c>
      <c r="E518" s="6" t="s">
        <v>13</v>
      </c>
      <c r="F518" s="6" t="s">
        <v>656</v>
      </c>
      <c r="G518" s="7">
        <v>252.15</v>
      </c>
    </row>
    <row r="519" spans="1:7" x14ac:dyDescent="0.3">
      <c r="A519" s="18">
        <v>46098</v>
      </c>
      <c r="B519" s="18" t="s">
        <v>34</v>
      </c>
      <c r="C519" s="18" t="s">
        <v>950</v>
      </c>
      <c r="D519" s="6" t="s">
        <v>565</v>
      </c>
      <c r="E519" s="6" t="s">
        <v>57</v>
      </c>
      <c r="F519" s="6" t="s">
        <v>656</v>
      </c>
      <c r="G519" s="7">
        <v>33.85</v>
      </c>
    </row>
    <row r="520" spans="1:7" x14ac:dyDescent="0.3">
      <c r="A520" s="18">
        <v>46063</v>
      </c>
      <c r="B520" s="18" t="s">
        <v>34</v>
      </c>
      <c r="C520" s="18" t="s">
        <v>950</v>
      </c>
      <c r="D520" s="6" t="s">
        <v>170</v>
      </c>
      <c r="E520" s="6" t="s">
        <v>47</v>
      </c>
      <c r="F520" s="6" t="s">
        <v>659</v>
      </c>
      <c r="G520" s="7">
        <f>250+150-133.52</f>
        <v>266.48</v>
      </c>
    </row>
    <row r="521" spans="1:7" x14ac:dyDescent="0.3">
      <c r="A521" s="18">
        <v>46071</v>
      </c>
      <c r="B521" s="18" t="s">
        <v>34</v>
      </c>
      <c r="C521" s="18" t="s">
        <v>950</v>
      </c>
      <c r="D521" s="6" t="s">
        <v>499</v>
      </c>
      <c r="E521" s="6" t="s">
        <v>47</v>
      </c>
      <c r="F521" s="6" t="s">
        <v>656</v>
      </c>
      <c r="G521" s="7">
        <v>14.3</v>
      </c>
    </row>
    <row r="522" spans="1:7" x14ac:dyDescent="0.3">
      <c r="A522" s="18">
        <v>46066</v>
      </c>
      <c r="B522" s="18" t="s">
        <v>34</v>
      </c>
      <c r="C522" s="18" t="s">
        <v>950</v>
      </c>
      <c r="D522" s="6" t="s">
        <v>474</v>
      </c>
      <c r="E522" s="6" t="s">
        <v>47</v>
      </c>
      <c r="F522" s="6" t="s">
        <v>656</v>
      </c>
      <c r="G522" s="7">
        <v>88</v>
      </c>
    </row>
    <row r="523" spans="1:7" x14ac:dyDescent="0.3">
      <c r="A523" s="18">
        <v>46163</v>
      </c>
      <c r="B523" s="18" t="s">
        <v>34</v>
      </c>
      <c r="C523" s="18" t="s">
        <v>950</v>
      </c>
      <c r="D523" s="6" t="s">
        <v>912</v>
      </c>
      <c r="E523" s="6" t="s">
        <v>57</v>
      </c>
      <c r="F523" s="6" t="s">
        <v>656</v>
      </c>
      <c r="G523" s="7">
        <v>14.5</v>
      </c>
    </row>
    <row r="524" spans="1:7" x14ac:dyDescent="0.3">
      <c r="A524" s="18">
        <v>46163</v>
      </c>
      <c r="B524" s="18" t="s">
        <v>34</v>
      </c>
      <c r="C524" s="18" t="s">
        <v>950</v>
      </c>
      <c r="D524" s="6" t="s">
        <v>912</v>
      </c>
      <c r="E524" s="6" t="s">
        <v>57</v>
      </c>
      <c r="F524" s="6" t="s">
        <v>656</v>
      </c>
      <c r="G524" s="7">
        <v>14</v>
      </c>
    </row>
    <row r="525" spans="1:7" x14ac:dyDescent="0.3">
      <c r="A525" s="18">
        <v>46093</v>
      </c>
      <c r="B525" s="18" t="s">
        <v>34</v>
      </c>
      <c r="C525" s="18" t="s">
        <v>950</v>
      </c>
      <c r="D525" s="6" t="s">
        <v>556</v>
      </c>
      <c r="E525" s="6" t="s">
        <v>57</v>
      </c>
      <c r="F525" s="6" t="s">
        <v>656</v>
      </c>
      <c r="G525" s="7">
        <v>35.25</v>
      </c>
    </row>
    <row r="526" spans="1:7" x14ac:dyDescent="0.3">
      <c r="A526" s="18">
        <v>46156</v>
      </c>
      <c r="B526" s="18" t="s">
        <v>34</v>
      </c>
      <c r="C526" s="18" t="s">
        <v>950</v>
      </c>
      <c r="D526" s="6" t="s">
        <v>897</v>
      </c>
      <c r="E526" s="6" t="s">
        <v>57</v>
      </c>
      <c r="F526" s="6" t="s">
        <v>656</v>
      </c>
      <c r="G526" s="7">
        <v>98.95</v>
      </c>
    </row>
    <row r="527" spans="1:7" x14ac:dyDescent="0.3">
      <c r="A527" s="18">
        <v>46070</v>
      </c>
      <c r="B527" s="18" t="s">
        <v>34</v>
      </c>
      <c r="C527" s="18" t="s">
        <v>950</v>
      </c>
      <c r="D527" s="6" t="s">
        <v>493</v>
      </c>
      <c r="E527" s="6" t="s">
        <v>47</v>
      </c>
      <c r="F527" s="6" t="s">
        <v>656</v>
      </c>
      <c r="G527" s="7">
        <v>11.5</v>
      </c>
    </row>
    <row r="528" spans="1:7" x14ac:dyDescent="0.3">
      <c r="A528" s="18">
        <v>46093</v>
      </c>
      <c r="B528" s="18" t="s">
        <v>34</v>
      </c>
      <c r="C528" s="18" t="s">
        <v>950</v>
      </c>
      <c r="D528" s="6" t="s">
        <v>557</v>
      </c>
      <c r="E528" s="6" t="s">
        <v>57</v>
      </c>
      <c r="F528" s="6" t="s">
        <v>656</v>
      </c>
      <c r="G528" s="7">
        <v>2.5499999999999998</v>
      </c>
    </row>
    <row r="529" spans="1:7" x14ac:dyDescent="0.3">
      <c r="A529" s="18">
        <v>46161</v>
      </c>
      <c r="B529" s="18" t="s">
        <v>34</v>
      </c>
      <c r="C529" s="18" t="s">
        <v>950</v>
      </c>
      <c r="D529" s="6" t="s">
        <v>905</v>
      </c>
      <c r="E529" s="6" t="s">
        <v>57</v>
      </c>
      <c r="F529" s="6" t="s">
        <v>656</v>
      </c>
      <c r="G529" s="7">
        <v>28</v>
      </c>
    </row>
    <row r="530" spans="1:7" x14ac:dyDescent="0.3">
      <c r="A530" s="18">
        <v>46042</v>
      </c>
      <c r="B530" s="18" t="s">
        <v>34</v>
      </c>
      <c r="C530" s="18" t="s">
        <v>950</v>
      </c>
      <c r="D530" s="6" t="s">
        <v>412</v>
      </c>
      <c r="E530" s="6" t="s">
        <v>47</v>
      </c>
      <c r="F530" s="6" t="s">
        <v>656</v>
      </c>
      <c r="G530" s="7">
        <v>5</v>
      </c>
    </row>
    <row r="531" spans="1:7" x14ac:dyDescent="0.3">
      <c r="A531" s="18">
        <v>46042</v>
      </c>
      <c r="B531" s="18" t="s">
        <v>34</v>
      </c>
      <c r="C531" s="18" t="s">
        <v>950</v>
      </c>
      <c r="D531" s="6" t="s">
        <v>412</v>
      </c>
      <c r="E531" s="6" t="s">
        <v>47</v>
      </c>
      <c r="F531" s="6" t="s">
        <v>656</v>
      </c>
      <c r="G531" s="7">
        <v>312</v>
      </c>
    </row>
    <row r="532" spans="1:7" x14ac:dyDescent="0.3">
      <c r="A532" s="18">
        <v>46105</v>
      </c>
      <c r="B532" s="18" t="s">
        <v>34</v>
      </c>
      <c r="C532" s="18" t="s">
        <v>950</v>
      </c>
      <c r="D532" s="6" t="s">
        <v>412</v>
      </c>
      <c r="E532" s="6" t="s">
        <v>47</v>
      </c>
      <c r="F532" s="6" t="s">
        <v>656</v>
      </c>
      <c r="G532" s="7">
        <v>343</v>
      </c>
    </row>
    <row r="533" spans="1:7" x14ac:dyDescent="0.3">
      <c r="A533" s="18">
        <v>46106</v>
      </c>
      <c r="B533" s="18" t="s">
        <v>34</v>
      </c>
      <c r="C533" s="18" t="s">
        <v>950</v>
      </c>
      <c r="D533" s="6" t="s">
        <v>412</v>
      </c>
      <c r="E533" s="6" t="s">
        <v>47</v>
      </c>
      <c r="F533" s="6" t="s">
        <v>656</v>
      </c>
      <c r="G533" s="7">
        <v>5</v>
      </c>
    </row>
    <row r="534" spans="1:7" x14ac:dyDescent="0.3">
      <c r="A534" s="18">
        <v>46167</v>
      </c>
      <c r="B534" s="18" t="s">
        <v>34</v>
      </c>
      <c r="C534" s="18" t="s">
        <v>950</v>
      </c>
      <c r="D534" s="6" t="s">
        <v>412</v>
      </c>
      <c r="E534" s="6" t="s">
        <v>47</v>
      </c>
      <c r="F534" s="6" t="s">
        <v>656</v>
      </c>
      <c r="G534" s="7">
        <v>270</v>
      </c>
    </row>
    <row r="535" spans="1:7" x14ac:dyDescent="0.3">
      <c r="A535" s="18">
        <v>46167</v>
      </c>
      <c r="B535" s="18" t="s">
        <v>34</v>
      </c>
      <c r="C535" s="18" t="s">
        <v>950</v>
      </c>
      <c r="D535" s="6" t="s">
        <v>412</v>
      </c>
      <c r="E535" s="6" t="s">
        <v>47</v>
      </c>
      <c r="F535" s="6" t="s">
        <v>656</v>
      </c>
      <c r="G535" s="7">
        <v>25</v>
      </c>
    </row>
    <row r="536" spans="1:7" x14ac:dyDescent="0.3">
      <c r="A536" s="18">
        <v>46067</v>
      </c>
      <c r="B536" s="18" t="s">
        <v>34</v>
      </c>
      <c r="C536" s="18" t="s">
        <v>950</v>
      </c>
      <c r="D536" s="6" t="s">
        <v>480</v>
      </c>
      <c r="E536" s="6" t="s">
        <v>47</v>
      </c>
      <c r="F536" s="6" t="s">
        <v>656</v>
      </c>
      <c r="G536" s="7">
        <v>34.799999999999997</v>
      </c>
    </row>
    <row r="537" spans="1:7" x14ac:dyDescent="0.3">
      <c r="A537" s="18">
        <v>46069</v>
      </c>
      <c r="B537" s="18" t="s">
        <v>34</v>
      </c>
      <c r="C537" s="18" t="s">
        <v>950</v>
      </c>
      <c r="D537" s="6" t="s">
        <v>490</v>
      </c>
      <c r="E537" s="6" t="s">
        <v>47</v>
      </c>
      <c r="F537" s="6" t="s">
        <v>656</v>
      </c>
      <c r="G537" s="7">
        <v>65</v>
      </c>
    </row>
    <row r="538" spans="1:7" x14ac:dyDescent="0.3">
      <c r="A538" s="18">
        <v>46068</v>
      </c>
      <c r="B538" s="18" t="s">
        <v>34</v>
      </c>
      <c r="C538" s="18" t="s">
        <v>950</v>
      </c>
      <c r="D538" s="6" t="s">
        <v>454</v>
      </c>
      <c r="E538" s="6" t="s">
        <v>47</v>
      </c>
      <c r="F538" s="6" t="s">
        <v>656</v>
      </c>
      <c r="G538" s="7">
        <v>3</v>
      </c>
    </row>
    <row r="539" spans="1:7" x14ac:dyDescent="0.3">
      <c r="A539" s="18">
        <v>46070</v>
      </c>
      <c r="B539" s="18" t="s">
        <v>34</v>
      </c>
      <c r="C539" s="18" t="s">
        <v>950</v>
      </c>
      <c r="D539" s="6" t="s">
        <v>454</v>
      </c>
      <c r="E539" s="6" t="s">
        <v>57</v>
      </c>
      <c r="F539" s="6" t="s">
        <v>656</v>
      </c>
      <c r="G539" s="7">
        <v>13.25</v>
      </c>
    </row>
    <row r="540" spans="1:7" x14ac:dyDescent="0.3">
      <c r="A540" s="18">
        <v>46071</v>
      </c>
      <c r="B540" s="18" t="s">
        <v>34</v>
      </c>
      <c r="C540" s="18" t="s">
        <v>950</v>
      </c>
      <c r="D540" s="6" t="s">
        <v>454</v>
      </c>
      <c r="E540" s="6" t="s">
        <v>47</v>
      </c>
      <c r="F540" s="6" t="s">
        <v>656</v>
      </c>
      <c r="G540" s="7">
        <v>16.45</v>
      </c>
    </row>
    <row r="541" spans="1:7" x14ac:dyDescent="0.3">
      <c r="A541" s="18">
        <v>46098</v>
      </c>
      <c r="B541" s="18" t="s">
        <v>34</v>
      </c>
      <c r="C541" s="18" t="s">
        <v>950</v>
      </c>
      <c r="D541" s="6" t="s">
        <v>454</v>
      </c>
      <c r="E541" s="6" t="s">
        <v>57</v>
      </c>
      <c r="F541" s="6" t="s">
        <v>656</v>
      </c>
      <c r="G541" s="7">
        <v>7.55</v>
      </c>
    </row>
    <row r="542" spans="1:7" x14ac:dyDescent="0.3">
      <c r="A542" s="18">
        <v>46113</v>
      </c>
      <c r="B542" s="18" t="s">
        <v>34</v>
      </c>
      <c r="C542" s="18" t="s">
        <v>950</v>
      </c>
      <c r="D542" s="6" t="s">
        <v>454</v>
      </c>
      <c r="E542" s="6" t="s">
        <v>57</v>
      </c>
      <c r="F542" s="6" t="s">
        <v>656</v>
      </c>
      <c r="G542" s="7">
        <v>50</v>
      </c>
    </row>
    <row r="543" spans="1:7" x14ac:dyDescent="0.3">
      <c r="A543" s="18">
        <v>46113</v>
      </c>
      <c r="B543" s="18" t="s">
        <v>34</v>
      </c>
      <c r="C543" s="18" t="s">
        <v>950</v>
      </c>
      <c r="D543" s="6" t="s">
        <v>454</v>
      </c>
      <c r="E543" s="6" t="s">
        <v>57</v>
      </c>
      <c r="F543" s="6" t="s">
        <v>656</v>
      </c>
      <c r="G543" s="7">
        <v>25.45</v>
      </c>
    </row>
    <row r="544" spans="1:7" x14ac:dyDescent="0.3">
      <c r="A544" s="18">
        <v>46053</v>
      </c>
      <c r="B544" s="18" t="s">
        <v>34</v>
      </c>
      <c r="C544" s="18" t="s">
        <v>950</v>
      </c>
      <c r="D544" s="6" t="s">
        <v>454</v>
      </c>
      <c r="E544" s="6" t="s">
        <v>47</v>
      </c>
      <c r="F544" s="6" t="s">
        <v>661</v>
      </c>
      <c r="G544" s="7">
        <v>250</v>
      </c>
    </row>
    <row r="545" spans="1:7" x14ac:dyDescent="0.3">
      <c r="A545" s="18">
        <v>46057</v>
      </c>
      <c r="B545" s="18" t="s">
        <v>34</v>
      </c>
      <c r="C545" s="18" t="s">
        <v>950</v>
      </c>
      <c r="D545" s="6" t="s">
        <v>454</v>
      </c>
      <c r="E545" s="6" t="s">
        <v>47</v>
      </c>
      <c r="F545" s="6" t="s">
        <v>661</v>
      </c>
      <c r="G545" s="7">
        <v>25</v>
      </c>
    </row>
    <row r="546" spans="1:7" x14ac:dyDescent="0.3">
      <c r="A546" s="18">
        <v>46063</v>
      </c>
      <c r="B546" s="18" t="s">
        <v>34</v>
      </c>
      <c r="C546" s="18" t="s">
        <v>950</v>
      </c>
      <c r="D546" s="6" t="s">
        <v>454</v>
      </c>
      <c r="E546" s="6" t="s">
        <v>47</v>
      </c>
      <c r="F546" s="6" t="s">
        <v>661</v>
      </c>
      <c r="G546" s="7">
        <v>45.05</v>
      </c>
    </row>
    <row r="547" spans="1:7" x14ac:dyDescent="0.3">
      <c r="A547" s="18">
        <v>46064</v>
      </c>
      <c r="B547" s="18" t="s">
        <v>34</v>
      </c>
      <c r="C547" s="18" t="s">
        <v>950</v>
      </c>
      <c r="D547" s="6" t="s">
        <v>454</v>
      </c>
      <c r="E547" s="6" t="s">
        <v>47</v>
      </c>
      <c r="F547" s="6" t="s">
        <v>661</v>
      </c>
      <c r="G547" s="7">
        <v>40</v>
      </c>
    </row>
    <row r="548" spans="1:7" x14ac:dyDescent="0.3">
      <c r="A548" s="18">
        <v>46066</v>
      </c>
      <c r="B548" s="18" t="s">
        <v>34</v>
      </c>
      <c r="C548" s="18" t="s">
        <v>950</v>
      </c>
      <c r="D548" s="6" t="s">
        <v>454</v>
      </c>
      <c r="E548" s="6" t="s">
        <v>47</v>
      </c>
      <c r="F548" s="6" t="s">
        <v>656</v>
      </c>
      <c r="G548" s="7">
        <v>88</v>
      </c>
    </row>
    <row r="549" spans="1:7" x14ac:dyDescent="0.3">
      <c r="A549" s="18">
        <v>46069</v>
      </c>
      <c r="B549" s="18" t="s">
        <v>34</v>
      </c>
      <c r="C549" s="18" t="s">
        <v>950</v>
      </c>
      <c r="D549" s="6" t="s">
        <v>454</v>
      </c>
      <c r="E549" s="6" t="s">
        <v>47</v>
      </c>
      <c r="F549" s="6" t="s">
        <v>656</v>
      </c>
      <c r="G549" s="7">
        <v>75</v>
      </c>
    </row>
    <row r="550" spans="1:7" x14ac:dyDescent="0.3">
      <c r="A550" s="18">
        <v>46079</v>
      </c>
      <c r="B550" s="18" t="s">
        <v>34</v>
      </c>
      <c r="C550" s="18" t="s">
        <v>950</v>
      </c>
      <c r="D550" s="6" t="s">
        <v>454</v>
      </c>
      <c r="E550" s="6" t="s">
        <v>57</v>
      </c>
      <c r="F550" s="6" t="s">
        <v>656</v>
      </c>
      <c r="G550" s="7">
        <v>51.35</v>
      </c>
    </row>
    <row r="551" spans="1:7" x14ac:dyDescent="0.3">
      <c r="A551" s="18">
        <v>46113</v>
      </c>
      <c r="B551" s="18" t="s">
        <v>34</v>
      </c>
      <c r="C551" s="18" t="s">
        <v>950</v>
      </c>
      <c r="D551" s="6" t="s">
        <v>454</v>
      </c>
      <c r="E551" s="6" t="s">
        <v>57</v>
      </c>
      <c r="F551" s="6" t="s">
        <v>656</v>
      </c>
      <c r="G551" s="7">
        <v>18.45</v>
      </c>
    </row>
    <row r="552" spans="1:7" x14ac:dyDescent="0.3">
      <c r="A552" s="18">
        <v>46112</v>
      </c>
      <c r="B552" s="18" t="s">
        <v>34</v>
      </c>
      <c r="C552" s="18" t="s">
        <v>950</v>
      </c>
      <c r="D552" s="6" t="s">
        <v>454</v>
      </c>
      <c r="E552" s="6" t="s">
        <v>47</v>
      </c>
      <c r="F552" s="6" t="s">
        <v>656</v>
      </c>
      <c r="G552" s="7">
        <v>19</v>
      </c>
    </row>
    <row r="553" spans="1:7" x14ac:dyDescent="0.3">
      <c r="A553" s="18">
        <v>46147</v>
      </c>
      <c r="B553" s="18" t="s">
        <v>34</v>
      </c>
      <c r="C553" s="18" t="s">
        <v>950</v>
      </c>
      <c r="D553" s="6" t="s">
        <v>454</v>
      </c>
      <c r="E553" s="6" t="s">
        <v>57</v>
      </c>
      <c r="F553" s="6" t="s">
        <v>656</v>
      </c>
      <c r="G553" s="7">
        <v>42</v>
      </c>
    </row>
    <row r="554" spans="1:7" x14ac:dyDescent="0.3">
      <c r="A554" s="18">
        <v>46068</v>
      </c>
      <c r="B554" s="18" t="s">
        <v>34</v>
      </c>
      <c r="C554" s="18" t="s">
        <v>950</v>
      </c>
      <c r="D554" s="6" t="s">
        <v>454</v>
      </c>
      <c r="E554" s="6" t="s">
        <v>47</v>
      </c>
      <c r="F554" s="6" t="s">
        <v>656</v>
      </c>
      <c r="G554" s="7">
        <v>39.299999999999997</v>
      </c>
    </row>
    <row r="555" spans="1:7" x14ac:dyDescent="0.3">
      <c r="A555" s="18">
        <v>46160</v>
      </c>
      <c r="B555" s="18" t="s">
        <v>34</v>
      </c>
      <c r="C555" s="18" t="s">
        <v>950</v>
      </c>
      <c r="D555" s="6" t="s">
        <v>454</v>
      </c>
      <c r="E555" s="6" t="s">
        <v>57</v>
      </c>
      <c r="F555" s="6" t="s">
        <v>656</v>
      </c>
      <c r="G555" s="7">
        <v>24</v>
      </c>
    </row>
    <row r="556" spans="1:7" x14ac:dyDescent="0.3">
      <c r="A556" s="18">
        <v>46185</v>
      </c>
      <c r="B556" s="18" t="s">
        <v>34</v>
      </c>
      <c r="C556" s="18" t="s">
        <v>950</v>
      </c>
      <c r="D556" s="6" t="s">
        <v>1137</v>
      </c>
      <c r="E556" s="6" t="s">
        <v>47</v>
      </c>
      <c r="F556" s="6" t="s">
        <v>656</v>
      </c>
      <c r="G556" s="7">
        <v>240</v>
      </c>
    </row>
    <row r="557" spans="1:7" x14ac:dyDescent="0.3">
      <c r="A557" s="18">
        <v>46192</v>
      </c>
      <c r="B557" s="18" t="s">
        <v>34</v>
      </c>
      <c r="C557" s="18" t="s">
        <v>950</v>
      </c>
      <c r="D557" s="6" t="s">
        <v>1137</v>
      </c>
      <c r="E557" s="6" t="s">
        <v>57</v>
      </c>
      <c r="F557" s="6" t="s">
        <v>656</v>
      </c>
      <c r="G557" s="7">
        <v>25</v>
      </c>
    </row>
    <row r="558" spans="1:7" x14ac:dyDescent="0.3">
      <c r="A558" s="18">
        <v>46029</v>
      </c>
      <c r="B558" s="18" t="s">
        <v>34</v>
      </c>
      <c r="C558" s="18" t="s">
        <v>950</v>
      </c>
      <c r="D558" s="6" t="s">
        <v>352</v>
      </c>
      <c r="E558" s="6" t="s">
        <v>57</v>
      </c>
      <c r="F558" s="6" t="s">
        <v>656</v>
      </c>
      <c r="G558" s="7">
        <v>20.94</v>
      </c>
    </row>
    <row r="559" spans="1:7" x14ac:dyDescent="0.3">
      <c r="A559" s="18">
        <v>46029</v>
      </c>
      <c r="B559" s="18" t="s">
        <v>34</v>
      </c>
      <c r="C559" s="18" t="s">
        <v>950</v>
      </c>
      <c r="D559" s="6" t="s">
        <v>352</v>
      </c>
      <c r="E559" s="6" t="s">
        <v>57</v>
      </c>
      <c r="F559" s="6" t="s">
        <v>656</v>
      </c>
      <c r="G559" s="7">
        <v>42.25</v>
      </c>
    </row>
    <row r="560" spans="1:7" x14ac:dyDescent="0.3">
      <c r="A560" s="18">
        <v>46031</v>
      </c>
      <c r="B560" s="18" t="s">
        <v>34</v>
      </c>
      <c r="C560" s="18" t="s">
        <v>950</v>
      </c>
      <c r="D560" s="6" t="s">
        <v>352</v>
      </c>
      <c r="E560" s="6" t="s">
        <v>57</v>
      </c>
      <c r="F560" s="6" t="s">
        <v>656</v>
      </c>
      <c r="G560" s="7">
        <v>18.38</v>
      </c>
    </row>
    <row r="561" spans="1:7" x14ac:dyDescent="0.3">
      <c r="A561" s="18">
        <v>46036</v>
      </c>
      <c r="B561" s="18" t="s">
        <v>34</v>
      </c>
      <c r="C561" s="18" t="s">
        <v>950</v>
      </c>
      <c r="D561" s="6" t="s">
        <v>352</v>
      </c>
      <c r="E561" s="6" t="s">
        <v>57</v>
      </c>
      <c r="F561" s="6" t="s">
        <v>656</v>
      </c>
      <c r="G561" s="7">
        <v>63.55</v>
      </c>
    </row>
    <row r="562" spans="1:7" x14ac:dyDescent="0.3">
      <c r="A562" s="18">
        <v>46037</v>
      </c>
      <c r="B562" s="18" t="s">
        <v>34</v>
      </c>
      <c r="C562" s="18" t="s">
        <v>950</v>
      </c>
      <c r="D562" s="6" t="s">
        <v>352</v>
      </c>
      <c r="E562" s="6" t="s">
        <v>57</v>
      </c>
      <c r="F562" s="6" t="s">
        <v>656</v>
      </c>
      <c r="G562" s="7">
        <v>10.94</v>
      </c>
    </row>
    <row r="563" spans="1:7" x14ac:dyDescent="0.3">
      <c r="A563" s="18">
        <v>46037</v>
      </c>
      <c r="B563" s="18" t="s">
        <v>34</v>
      </c>
      <c r="C563" s="18" t="s">
        <v>950</v>
      </c>
      <c r="D563" s="6" t="s">
        <v>352</v>
      </c>
      <c r="E563" s="6" t="s">
        <v>57</v>
      </c>
      <c r="F563" s="6" t="s">
        <v>656</v>
      </c>
      <c r="G563" s="7">
        <v>11.95</v>
      </c>
    </row>
    <row r="564" spans="1:7" x14ac:dyDescent="0.3">
      <c r="A564" s="18">
        <v>46037</v>
      </c>
      <c r="B564" s="18" t="s">
        <v>34</v>
      </c>
      <c r="C564" s="18" t="s">
        <v>950</v>
      </c>
      <c r="D564" s="6" t="s">
        <v>352</v>
      </c>
      <c r="E564" s="6" t="s">
        <v>57</v>
      </c>
      <c r="F564" s="6" t="s">
        <v>656</v>
      </c>
      <c r="G564" s="7">
        <v>25.08</v>
      </c>
    </row>
    <row r="565" spans="1:7" x14ac:dyDescent="0.3">
      <c r="A565" s="18">
        <v>46038</v>
      </c>
      <c r="B565" s="18" t="s">
        <v>34</v>
      </c>
      <c r="C565" s="18" t="s">
        <v>950</v>
      </c>
      <c r="D565" s="6" t="s">
        <v>352</v>
      </c>
      <c r="E565" s="6" t="s">
        <v>57</v>
      </c>
      <c r="F565" s="6" t="s">
        <v>656</v>
      </c>
      <c r="G565" s="7">
        <v>3</v>
      </c>
    </row>
    <row r="566" spans="1:7" x14ac:dyDescent="0.3">
      <c r="A566" s="18">
        <v>46038</v>
      </c>
      <c r="B566" s="18" t="s">
        <v>34</v>
      </c>
      <c r="C566" s="18" t="s">
        <v>950</v>
      </c>
      <c r="D566" s="6" t="s">
        <v>352</v>
      </c>
      <c r="E566" s="6" t="s">
        <v>57</v>
      </c>
      <c r="F566" s="6" t="s">
        <v>656</v>
      </c>
      <c r="G566" s="7">
        <v>5</v>
      </c>
    </row>
    <row r="567" spans="1:7" x14ac:dyDescent="0.3">
      <c r="A567" s="18">
        <v>46038</v>
      </c>
      <c r="B567" s="18" t="s">
        <v>34</v>
      </c>
      <c r="C567" s="18" t="s">
        <v>950</v>
      </c>
      <c r="D567" s="6" t="s">
        <v>352</v>
      </c>
      <c r="E567" s="6" t="s">
        <v>57</v>
      </c>
      <c r="F567" s="6" t="s">
        <v>656</v>
      </c>
      <c r="G567" s="7">
        <v>13.98</v>
      </c>
    </row>
    <row r="568" spans="1:7" x14ac:dyDescent="0.3">
      <c r="A568" s="18">
        <v>46041</v>
      </c>
      <c r="B568" s="18" t="s">
        <v>34</v>
      </c>
      <c r="C568" s="18" t="s">
        <v>950</v>
      </c>
      <c r="D568" s="6" t="s">
        <v>352</v>
      </c>
      <c r="E568" s="6" t="s">
        <v>57</v>
      </c>
      <c r="F568" s="6" t="s">
        <v>656</v>
      </c>
      <c r="G568" s="7">
        <v>36.54</v>
      </c>
    </row>
    <row r="569" spans="1:7" x14ac:dyDescent="0.3">
      <c r="A569" s="18">
        <v>46041</v>
      </c>
      <c r="B569" s="18" t="s">
        <v>34</v>
      </c>
      <c r="C569" s="18" t="s">
        <v>950</v>
      </c>
      <c r="D569" s="6" t="s">
        <v>352</v>
      </c>
      <c r="E569" s="6" t="s">
        <v>57</v>
      </c>
      <c r="F569" s="6" t="s">
        <v>656</v>
      </c>
      <c r="G569" s="7">
        <v>39.380000000000003</v>
      </c>
    </row>
    <row r="570" spans="1:7" x14ac:dyDescent="0.3">
      <c r="A570" s="18">
        <v>46042</v>
      </c>
      <c r="B570" s="18" t="s">
        <v>34</v>
      </c>
      <c r="C570" s="18" t="s">
        <v>950</v>
      </c>
      <c r="D570" s="6" t="s">
        <v>352</v>
      </c>
      <c r="E570" s="6" t="s">
        <v>57</v>
      </c>
      <c r="F570" s="6" t="s">
        <v>656</v>
      </c>
      <c r="G570" s="7">
        <v>17.73</v>
      </c>
    </row>
    <row r="571" spans="1:7" x14ac:dyDescent="0.3">
      <c r="A571" s="18">
        <v>46056</v>
      </c>
      <c r="B571" s="18" t="s">
        <v>34</v>
      </c>
      <c r="C571" s="18" t="s">
        <v>950</v>
      </c>
      <c r="D571" s="6" t="s">
        <v>352</v>
      </c>
      <c r="E571" s="6" t="s">
        <v>57</v>
      </c>
      <c r="F571" s="6" t="s">
        <v>656</v>
      </c>
      <c r="G571" s="7">
        <v>24.98</v>
      </c>
    </row>
    <row r="572" spans="1:7" x14ac:dyDescent="0.3">
      <c r="A572" s="18">
        <v>46057</v>
      </c>
      <c r="B572" s="18" t="s">
        <v>34</v>
      </c>
      <c r="C572" s="18" t="s">
        <v>950</v>
      </c>
      <c r="D572" s="6" t="s">
        <v>352</v>
      </c>
      <c r="E572" s="6" t="s">
        <v>57</v>
      </c>
      <c r="F572" s="6" t="s">
        <v>656</v>
      </c>
      <c r="G572" s="7">
        <v>22.48</v>
      </c>
    </row>
    <row r="573" spans="1:7" x14ac:dyDescent="0.3">
      <c r="A573" s="18">
        <v>46062</v>
      </c>
      <c r="B573" s="18" t="s">
        <v>34</v>
      </c>
      <c r="C573" s="18" t="s">
        <v>950</v>
      </c>
      <c r="D573" s="6" t="s">
        <v>352</v>
      </c>
      <c r="E573" s="6" t="s">
        <v>57</v>
      </c>
      <c r="F573" s="6" t="s">
        <v>656</v>
      </c>
      <c r="G573" s="7">
        <v>61.72</v>
      </c>
    </row>
    <row r="574" spans="1:7" x14ac:dyDescent="0.3">
      <c r="A574" s="18">
        <v>46064</v>
      </c>
      <c r="B574" s="18" t="s">
        <v>34</v>
      </c>
      <c r="C574" s="18" t="s">
        <v>950</v>
      </c>
      <c r="D574" s="6" t="s">
        <v>352</v>
      </c>
      <c r="E574" s="6" t="s">
        <v>57</v>
      </c>
      <c r="F574" s="6" t="s">
        <v>656</v>
      </c>
      <c r="G574" s="7">
        <v>47.8</v>
      </c>
    </row>
    <row r="575" spans="1:7" x14ac:dyDescent="0.3">
      <c r="A575" s="18">
        <v>46066</v>
      </c>
      <c r="B575" s="18" t="s">
        <v>34</v>
      </c>
      <c r="C575" s="18" t="s">
        <v>950</v>
      </c>
      <c r="D575" s="6" t="s">
        <v>352</v>
      </c>
      <c r="E575" s="6" t="s">
        <v>47</v>
      </c>
      <c r="F575" s="6" t="s">
        <v>656</v>
      </c>
      <c r="G575" s="7">
        <v>34.67</v>
      </c>
    </row>
    <row r="576" spans="1:7" x14ac:dyDescent="0.3">
      <c r="A576" s="18">
        <v>46066</v>
      </c>
      <c r="B576" s="18" t="s">
        <v>34</v>
      </c>
      <c r="C576" s="18" t="s">
        <v>950</v>
      </c>
      <c r="D576" s="6" t="s">
        <v>352</v>
      </c>
      <c r="E576" s="6" t="s">
        <v>47</v>
      </c>
      <c r="F576" s="6" t="s">
        <v>656</v>
      </c>
      <c r="G576" s="7">
        <v>85.26</v>
      </c>
    </row>
    <row r="577" spans="1:7" x14ac:dyDescent="0.3">
      <c r="A577" s="18">
        <v>46070</v>
      </c>
      <c r="B577" s="18" t="s">
        <v>34</v>
      </c>
      <c r="C577" s="18" t="s">
        <v>950</v>
      </c>
      <c r="D577" s="6" t="s">
        <v>352</v>
      </c>
      <c r="E577" s="6" t="s">
        <v>47</v>
      </c>
      <c r="F577" s="6" t="s">
        <v>656</v>
      </c>
      <c r="G577" s="7">
        <v>43.51</v>
      </c>
    </row>
    <row r="578" spans="1:7" x14ac:dyDescent="0.3">
      <c r="A578" s="18">
        <v>46071</v>
      </c>
      <c r="B578" s="18" t="s">
        <v>34</v>
      </c>
      <c r="C578" s="18" t="s">
        <v>950</v>
      </c>
      <c r="D578" s="6" t="s">
        <v>352</v>
      </c>
      <c r="E578" s="6" t="s">
        <v>47</v>
      </c>
      <c r="F578" s="6" t="s">
        <v>656</v>
      </c>
      <c r="G578" s="7">
        <v>126.69</v>
      </c>
    </row>
    <row r="579" spans="1:7" x14ac:dyDescent="0.3">
      <c r="A579" s="18">
        <v>46073</v>
      </c>
      <c r="B579" s="18" t="s">
        <v>34</v>
      </c>
      <c r="C579" s="18" t="s">
        <v>950</v>
      </c>
      <c r="D579" s="6" t="s">
        <v>352</v>
      </c>
      <c r="E579" s="6" t="s">
        <v>57</v>
      </c>
      <c r="F579" s="6" t="s">
        <v>656</v>
      </c>
      <c r="G579" s="7">
        <v>1</v>
      </c>
    </row>
    <row r="580" spans="1:7" x14ac:dyDescent="0.3">
      <c r="A580" s="18">
        <v>46073</v>
      </c>
      <c r="B580" s="18" t="s">
        <v>34</v>
      </c>
      <c r="C580" s="18" t="s">
        <v>950</v>
      </c>
      <c r="D580" s="6" t="s">
        <v>352</v>
      </c>
      <c r="E580" s="6" t="s">
        <v>57</v>
      </c>
      <c r="F580" s="6" t="s">
        <v>656</v>
      </c>
      <c r="G580" s="7">
        <v>14.98</v>
      </c>
    </row>
    <row r="581" spans="1:7" x14ac:dyDescent="0.3">
      <c r="A581" s="18">
        <v>46073</v>
      </c>
      <c r="B581" s="18" t="s">
        <v>34</v>
      </c>
      <c r="C581" s="18" t="s">
        <v>950</v>
      </c>
      <c r="D581" s="6" t="s">
        <v>352</v>
      </c>
      <c r="E581" s="6" t="s">
        <v>57</v>
      </c>
      <c r="F581" s="6" t="s">
        <v>656</v>
      </c>
      <c r="G581" s="7">
        <v>19.39</v>
      </c>
    </row>
    <row r="582" spans="1:7" x14ac:dyDescent="0.3">
      <c r="A582" s="18">
        <v>46079</v>
      </c>
      <c r="B582" s="18" t="s">
        <v>34</v>
      </c>
      <c r="C582" s="18" t="s">
        <v>950</v>
      </c>
      <c r="D582" s="6" t="s">
        <v>352</v>
      </c>
      <c r="E582" s="6" t="s">
        <v>57</v>
      </c>
      <c r="F582" s="6" t="s">
        <v>656</v>
      </c>
      <c r="G582" s="7">
        <v>20.25</v>
      </c>
    </row>
    <row r="583" spans="1:7" x14ac:dyDescent="0.3">
      <c r="A583" s="18">
        <v>46083</v>
      </c>
      <c r="B583" s="18" t="s">
        <v>34</v>
      </c>
      <c r="C583" s="18" t="s">
        <v>950</v>
      </c>
      <c r="D583" s="6" t="s">
        <v>352</v>
      </c>
      <c r="E583" s="6" t="s">
        <v>47</v>
      </c>
      <c r="F583" s="6" t="s">
        <v>656</v>
      </c>
      <c r="G583" s="7">
        <v>19.899999999999999</v>
      </c>
    </row>
    <row r="584" spans="1:7" x14ac:dyDescent="0.3">
      <c r="A584" s="18">
        <v>46093</v>
      </c>
      <c r="B584" s="18" t="s">
        <v>34</v>
      </c>
      <c r="C584" s="18" t="s">
        <v>950</v>
      </c>
      <c r="D584" s="6" t="s">
        <v>352</v>
      </c>
      <c r="E584" s="6" t="s">
        <v>57</v>
      </c>
      <c r="F584" s="6" t="s">
        <v>656</v>
      </c>
      <c r="G584" s="7">
        <v>1</v>
      </c>
    </row>
    <row r="585" spans="1:7" x14ac:dyDescent="0.3">
      <c r="A585" s="18">
        <v>46093</v>
      </c>
      <c r="B585" s="18" t="s">
        <v>34</v>
      </c>
      <c r="C585" s="18" t="s">
        <v>950</v>
      </c>
      <c r="D585" s="6" t="s">
        <v>352</v>
      </c>
      <c r="E585" s="6" t="s">
        <v>57</v>
      </c>
      <c r="F585" s="6" t="s">
        <v>656</v>
      </c>
      <c r="G585" s="7">
        <v>13.25</v>
      </c>
    </row>
    <row r="586" spans="1:7" x14ac:dyDescent="0.3">
      <c r="A586" s="18">
        <v>46093</v>
      </c>
      <c r="B586" s="18" t="s">
        <v>34</v>
      </c>
      <c r="C586" s="18" t="s">
        <v>950</v>
      </c>
      <c r="D586" s="6" t="s">
        <v>352</v>
      </c>
      <c r="E586" s="6" t="s">
        <v>57</v>
      </c>
      <c r="F586" s="6" t="s">
        <v>656</v>
      </c>
      <c r="G586" s="7">
        <v>17.43</v>
      </c>
    </row>
    <row r="587" spans="1:7" x14ac:dyDescent="0.3">
      <c r="A587" s="18">
        <v>46093</v>
      </c>
      <c r="B587" s="18" t="s">
        <v>34</v>
      </c>
      <c r="C587" s="18" t="s">
        <v>950</v>
      </c>
      <c r="D587" s="6" t="s">
        <v>352</v>
      </c>
      <c r="E587" s="6" t="s">
        <v>57</v>
      </c>
      <c r="F587" s="6" t="s">
        <v>656</v>
      </c>
      <c r="G587" s="7">
        <v>37.96</v>
      </c>
    </row>
    <row r="588" spans="1:7" x14ac:dyDescent="0.3">
      <c r="A588" s="18">
        <v>46100</v>
      </c>
      <c r="B588" s="18" t="s">
        <v>34</v>
      </c>
      <c r="C588" s="18" t="s">
        <v>950</v>
      </c>
      <c r="D588" s="6" t="s">
        <v>352</v>
      </c>
      <c r="E588" s="6" t="s">
        <v>57</v>
      </c>
      <c r="F588" s="6" t="s">
        <v>656</v>
      </c>
      <c r="G588" s="7">
        <v>23.17</v>
      </c>
    </row>
    <row r="589" spans="1:7" x14ac:dyDescent="0.3">
      <c r="A589" s="18">
        <v>46100</v>
      </c>
      <c r="B589" s="18" t="s">
        <v>34</v>
      </c>
      <c r="C589" s="18" t="s">
        <v>950</v>
      </c>
      <c r="D589" s="6" t="s">
        <v>352</v>
      </c>
      <c r="E589" s="6" t="s">
        <v>57</v>
      </c>
      <c r="F589" s="6" t="s">
        <v>656</v>
      </c>
      <c r="G589" s="7">
        <v>59.66</v>
      </c>
    </row>
    <row r="590" spans="1:7" x14ac:dyDescent="0.3">
      <c r="A590" s="18">
        <v>46112</v>
      </c>
      <c r="B590" s="18" t="s">
        <v>34</v>
      </c>
      <c r="C590" s="18" t="s">
        <v>950</v>
      </c>
      <c r="D590" s="6" t="s">
        <v>352</v>
      </c>
      <c r="E590" s="6" t="s">
        <v>57</v>
      </c>
      <c r="F590" s="6" t="s">
        <v>656</v>
      </c>
      <c r="G590" s="7">
        <v>38.020000000000003</v>
      </c>
    </row>
    <row r="591" spans="1:7" x14ac:dyDescent="0.3">
      <c r="A591" s="18">
        <v>46113</v>
      </c>
      <c r="B591" s="18" t="s">
        <v>34</v>
      </c>
      <c r="C591" s="18" t="s">
        <v>950</v>
      </c>
      <c r="D591" s="6" t="s">
        <v>352</v>
      </c>
      <c r="E591" s="6" t="s">
        <v>57</v>
      </c>
      <c r="F591" s="6" t="s">
        <v>656</v>
      </c>
      <c r="G591" s="7">
        <v>27.9</v>
      </c>
    </row>
    <row r="592" spans="1:7" x14ac:dyDescent="0.3">
      <c r="A592" s="18">
        <v>46113</v>
      </c>
      <c r="B592" s="18" t="s">
        <v>34</v>
      </c>
      <c r="C592" s="18" t="s">
        <v>950</v>
      </c>
      <c r="D592" s="6" t="s">
        <v>352</v>
      </c>
      <c r="E592" s="6" t="s">
        <v>57</v>
      </c>
      <c r="F592" s="6" t="s">
        <v>656</v>
      </c>
      <c r="G592" s="7">
        <v>19.899999999999999</v>
      </c>
    </row>
    <row r="593" spans="1:7" x14ac:dyDescent="0.3">
      <c r="A593" s="18">
        <v>46113</v>
      </c>
      <c r="B593" s="18" t="s">
        <v>34</v>
      </c>
      <c r="C593" s="18" t="s">
        <v>950</v>
      </c>
      <c r="D593" s="6" t="s">
        <v>352</v>
      </c>
      <c r="E593" s="6" t="s">
        <v>57</v>
      </c>
      <c r="F593" s="6" t="s">
        <v>656</v>
      </c>
      <c r="G593" s="7">
        <v>18.440000000000001</v>
      </c>
    </row>
    <row r="594" spans="1:7" x14ac:dyDescent="0.3">
      <c r="A594" s="18">
        <v>46113</v>
      </c>
      <c r="B594" s="18" t="s">
        <v>34</v>
      </c>
      <c r="C594" s="18" t="s">
        <v>950</v>
      </c>
      <c r="D594" s="6" t="s">
        <v>352</v>
      </c>
      <c r="E594" s="6" t="s">
        <v>57</v>
      </c>
      <c r="F594" s="6" t="s">
        <v>656</v>
      </c>
      <c r="G594" s="7">
        <v>3</v>
      </c>
    </row>
    <row r="595" spans="1:7" x14ac:dyDescent="0.3">
      <c r="A595" s="18">
        <v>46113</v>
      </c>
      <c r="B595" s="18" t="s">
        <v>34</v>
      </c>
      <c r="C595" s="18" t="s">
        <v>950</v>
      </c>
      <c r="D595" s="6" t="s">
        <v>352</v>
      </c>
      <c r="E595" s="6" t="s">
        <v>57</v>
      </c>
      <c r="F595" s="6" t="s">
        <v>656</v>
      </c>
      <c r="G595" s="7">
        <v>7.15</v>
      </c>
    </row>
    <row r="596" spans="1:7" x14ac:dyDescent="0.3">
      <c r="A596" s="18">
        <v>46113</v>
      </c>
      <c r="B596" s="18" t="s">
        <v>34</v>
      </c>
      <c r="C596" s="18" t="s">
        <v>950</v>
      </c>
      <c r="D596" s="6" t="s">
        <v>352</v>
      </c>
      <c r="E596" s="6" t="s">
        <v>57</v>
      </c>
      <c r="F596" s="6" t="s">
        <v>656</v>
      </c>
      <c r="G596" s="7">
        <v>1</v>
      </c>
    </row>
    <row r="597" spans="1:7" x14ac:dyDescent="0.3">
      <c r="A597" s="18">
        <v>46113</v>
      </c>
      <c r="B597" s="18" t="s">
        <v>34</v>
      </c>
      <c r="C597" s="18" t="s">
        <v>950</v>
      </c>
      <c r="D597" s="6" t="s">
        <v>352</v>
      </c>
      <c r="E597" s="6" t="s">
        <v>57</v>
      </c>
      <c r="F597" s="6" t="s">
        <v>656</v>
      </c>
      <c r="G597" s="7">
        <v>7.66</v>
      </c>
    </row>
    <row r="598" spans="1:7" x14ac:dyDescent="0.3">
      <c r="A598" s="18">
        <v>46113</v>
      </c>
      <c r="B598" s="18" t="s">
        <v>34</v>
      </c>
      <c r="C598" s="18" t="s">
        <v>950</v>
      </c>
      <c r="D598" s="6" t="s">
        <v>352</v>
      </c>
      <c r="E598" s="6" t="s">
        <v>57</v>
      </c>
      <c r="F598" s="6" t="s">
        <v>656</v>
      </c>
      <c r="G598" s="7">
        <v>5</v>
      </c>
    </row>
    <row r="599" spans="1:7" x14ac:dyDescent="0.3">
      <c r="A599" s="18">
        <v>46113</v>
      </c>
      <c r="B599" s="18" t="s">
        <v>34</v>
      </c>
      <c r="C599" s="18" t="s">
        <v>950</v>
      </c>
      <c r="D599" s="6" t="s">
        <v>352</v>
      </c>
      <c r="E599" s="6" t="s">
        <v>57</v>
      </c>
      <c r="F599" s="6" t="s">
        <v>656</v>
      </c>
      <c r="G599" s="7">
        <v>33.25</v>
      </c>
    </row>
    <row r="600" spans="1:7" x14ac:dyDescent="0.3">
      <c r="A600" s="18">
        <v>46113</v>
      </c>
      <c r="B600" s="18" t="s">
        <v>34</v>
      </c>
      <c r="C600" s="18" t="s">
        <v>950</v>
      </c>
      <c r="D600" s="6" t="s">
        <v>352</v>
      </c>
      <c r="E600" s="6" t="s">
        <v>57</v>
      </c>
      <c r="F600" s="6" t="s">
        <v>656</v>
      </c>
      <c r="G600" s="7">
        <v>3</v>
      </c>
    </row>
    <row r="601" spans="1:7" x14ac:dyDescent="0.3">
      <c r="A601" s="18">
        <v>46113</v>
      </c>
      <c r="B601" s="18" t="s">
        <v>34</v>
      </c>
      <c r="C601" s="18" t="s">
        <v>950</v>
      </c>
      <c r="D601" s="6" t="s">
        <v>352</v>
      </c>
      <c r="E601" s="6" t="s">
        <v>57</v>
      </c>
      <c r="F601" s="6" t="s">
        <v>656</v>
      </c>
      <c r="G601" s="7">
        <v>30.26</v>
      </c>
    </row>
    <row r="602" spans="1:7" x14ac:dyDescent="0.3">
      <c r="A602" s="18">
        <v>46113</v>
      </c>
      <c r="B602" s="18" t="s">
        <v>34</v>
      </c>
      <c r="C602" s="18" t="s">
        <v>950</v>
      </c>
      <c r="D602" s="6" t="s">
        <v>352</v>
      </c>
      <c r="E602" s="6" t="s">
        <v>13</v>
      </c>
      <c r="F602" s="6" t="s">
        <v>659</v>
      </c>
      <c r="G602" s="7">
        <v>28.97</v>
      </c>
    </row>
    <row r="603" spans="1:7" x14ac:dyDescent="0.3">
      <c r="A603" s="18">
        <v>46144</v>
      </c>
      <c r="B603" s="18" t="s">
        <v>34</v>
      </c>
      <c r="C603" s="18" t="s">
        <v>950</v>
      </c>
      <c r="D603" s="6" t="s">
        <v>352</v>
      </c>
      <c r="E603" s="6" t="s">
        <v>57</v>
      </c>
      <c r="F603" s="6" t="s">
        <v>656</v>
      </c>
      <c r="G603" s="7">
        <v>19.899999999999999</v>
      </c>
    </row>
    <row r="604" spans="1:7" x14ac:dyDescent="0.3">
      <c r="A604" s="18">
        <v>46175</v>
      </c>
      <c r="B604" s="18" t="s">
        <v>34</v>
      </c>
      <c r="C604" s="18" t="s">
        <v>950</v>
      </c>
      <c r="D604" s="6" t="s">
        <v>352</v>
      </c>
      <c r="E604" s="6" t="s">
        <v>47</v>
      </c>
      <c r="F604" s="6" t="s">
        <v>656</v>
      </c>
      <c r="G604" s="7">
        <v>19.899999999999999</v>
      </c>
    </row>
    <row r="605" spans="1:7" x14ac:dyDescent="0.3">
      <c r="A605" s="18">
        <v>46191</v>
      </c>
      <c r="B605" s="18" t="s">
        <v>34</v>
      </c>
      <c r="C605" s="18" t="s">
        <v>950</v>
      </c>
      <c r="D605" s="6" t="s">
        <v>352</v>
      </c>
      <c r="E605" s="6" t="s">
        <v>57</v>
      </c>
      <c r="F605" s="6" t="s">
        <v>656</v>
      </c>
      <c r="G605" s="7">
        <v>53.32</v>
      </c>
    </row>
    <row r="606" spans="1:7" x14ac:dyDescent="0.3">
      <c r="A606" s="18">
        <v>46192</v>
      </c>
      <c r="B606" s="18" t="s">
        <v>34</v>
      </c>
      <c r="C606" s="18" t="s">
        <v>950</v>
      </c>
      <c r="D606" s="6" t="s">
        <v>352</v>
      </c>
      <c r="E606" s="6" t="s">
        <v>57</v>
      </c>
      <c r="F606" s="6" t="s">
        <v>656</v>
      </c>
      <c r="G606" s="7">
        <v>3</v>
      </c>
    </row>
    <row r="607" spans="1:7" x14ac:dyDescent="0.3">
      <c r="A607" s="18">
        <v>46192</v>
      </c>
      <c r="B607" s="18" t="s">
        <v>34</v>
      </c>
      <c r="C607" s="18" t="s">
        <v>950</v>
      </c>
      <c r="D607" s="6" t="s">
        <v>352</v>
      </c>
      <c r="E607" s="6" t="s">
        <v>57</v>
      </c>
      <c r="F607" s="6" t="s">
        <v>656</v>
      </c>
      <c r="G607" s="7">
        <v>9.01</v>
      </c>
    </row>
    <row r="608" spans="1:7" x14ac:dyDescent="0.3">
      <c r="A608" s="18">
        <v>46192</v>
      </c>
      <c r="B608" s="18" t="s">
        <v>34</v>
      </c>
      <c r="C608" s="18" t="s">
        <v>950</v>
      </c>
      <c r="D608" s="6" t="s">
        <v>352</v>
      </c>
      <c r="E608" s="6" t="s">
        <v>57</v>
      </c>
      <c r="F608" s="6" t="s">
        <v>656</v>
      </c>
      <c r="G608" s="7">
        <v>5</v>
      </c>
    </row>
    <row r="609" spans="1:7" x14ac:dyDescent="0.3">
      <c r="A609" s="18">
        <v>46192</v>
      </c>
      <c r="B609" s="18" t="s">
        <v>34</v>
      </c>
      <c r="C609" s="18" t="s">
        <v>950</v>
      </c>
      <c r="D609" s="6" t="s">
        <v>352</v>
      </c>
      <c r="E609" s="6" t="s">
        <v>57</v>
      </c>
      <c r="F609" s="6" t="s">
        <v>656</v>
      </c>
      <c r="G609" s="7">
        <v>10.14</v>
      </c>
    </row>
    <row r="610" spans="1:7" x14ac:dyDescent="0.3">
      <c r="A610" s="18">
        <v>46192</v>
      </c>
      <c r="B610" s="18" t="s">
        <v>34</v>
      </c>
      <c r="C610" s="18" t="s">
        <v>950</v>
      </c>
      <c r="D610" s="6" t="s">
        <v>352</v>
      </c>
      <c r="E610" s="6" t="s">
        <v>57</v>
      </c>
      <c r="F610" s="6" t="s">
        <v>656</v>
      </c>
      <c r="G610" s="7">
        <v>5</v>
      </c>
    </row>
    <row r="611" spans="1:7" x14ac:dyDescent="0.3">
      <c r="A611" s="18">
        <v>46071</v>
      </c>
      <c r="B611" s="18" t="s">
        <v>34</v>
      </c>
      <c r="C611" s="18" t="s">
        <v>950</v>
      </c>
      <c r="D611" s="6" t="s">
        <v>498</v>
      </c>
      <c r="E611" s="6" t="s">
        <v>47</v>
      </c>
      <c r="F611" s="6" t="s">
        <v>656</v>
      </c>
      <c r="G611" s="7">
        <v>15.3</v>
      </c>
    </row>
    <row r="612" spans="1:7" x14ac:dyDescent="0.3">
      <c r="A612" s="18">
        <v>46054</v>
      </c>
      <c r="B612" s="18" t="s">
        <v>34</v>
      </c>
      <c r="C612" s="18" t="s">
        <v>950</v>
      </c>
      <c r="D612" s="6" t="s">
        <v>459</v>
      </c>
      <c r="E612" s="6" t="s">
        <v>57</v>
      </c>
      <c r="F612" s="6" t="s">
        <v>656</v>
      </c>
      <c r="G612" s="7">
        <v>14.87</v>
      </c>
    </row>
    <row r="613" spans="1:7" x14ac:dyDescent="0.3">
      <c r="A613" s="18">
        <v>46098</v>
      </c>
      <c r="B613" s="18" t="s">
        <v>34</v>
      </c>
      <c r="C613" s="18" t="s">
        <v>950</v>
      </c>
      <c r="D613" s="6" t="s">
        <v>459</v>
      </c>
      <c r="E613" s="6" t="s">
        <v>57</v>
      </c>
      <c r="F613" s="6" t="s">
        <v>656</v>
      </c>
      <c r="G613" s="7">
        <v>20.350000000000001</v>
      </c>
    </row>
    <row r="614" spans="1:7" x14ac:dyDescent="0.3">
      <c r="A614" s="18">
        <v>46099</v>
      </c>
      <c r="B614" s="18" t="s">
        <v>34</v>
      </c>
      <c r="C614" s="18" t="s">
        <v>950</v>
      </c>
      <c r="D614" s="6" t="s">
        <v>459</v>
      </c>
      <c r="E614" s="6" t="s">
        <v>57</v>
      </c>
      <c r="F614" s="6" t="s">
        <v>656</v>
      </c>
      <c r="G614" s="7">
        <v>12.02</v>
      </c>
    </row>
    <row r="615" spans="1:7" x14ac:dyDescent="0.3">
      <c r="A615" s="18">
        <v>46113</v>
      </c>
      <c r="B615" s="18" t="s">
        <v>34</v>
      </c>
      <c r="C615" s="18" t="s">
        <v>950</v>
      </c>
      <c r="D615" s="6" t="s">
        <v>459</v>
      </c>
      <c r="E615" s="6" t="s">
        <v>57</v>
      </c>
      <c r="F615" s="6" t="s">
        <v>656</v>
      </c>
      <c r="G615" s="7">
        <v>8.4499999999999993</v>
      </c>
    </row>
    <row r="616" spans="1:7" x14ac:dyDescent="0.3">
      <c r="A616" s="18">
        <v>46113</v>
      </c>
      <c r="B616" s="18" t="s">
        <v>34</v>
      </c>
      <c r="C616" s="18" t="s">
        <v>950</v>
      </c>
      <c r="D616" s="6" t="s">
        <v>459</v>
      </c>
      <c r="E616" s="6" t="s">
        <v>57</v>
      </c>
      <c r="F616" s="6" t="s">
        <v>656</v>
      </c>
      <c r="G616" s="7">
        <v>7.66</v>
      </c>
    </row>
    <row r="617" spans="1:7" x14ac:dyDescent="0.3">
      <c r="A617" s="18">
        <v>46113</v>
      </c>
      <c r="B617" s="18" t="s">
        <v>34</v>
      </c>
      <c r="C617" s="18" t="s">
        <v>950</v>
      </c>
      <c r="D617" s="6" t="s">
        <v>459</v>
      </c>
      <c r="E617" s="6" t="s">
        <v>57</v>
      </c>
      <c r="F617" s="6" t="s">
        <v>656</v>
      </c>
      <c r="G617" s="7">
        <v>13.21</v>
      </c>
    </row>
    <row r="618" spans="1:7" x14ac:dyDescent="0.3">
      <c r="A618" s="18">
        <v>46113</v>
      </c>
      <c r="B618" s="18" t="s">
        <v>34</v>
      </c>
      <c r="C618" s="18" t="s">
        <v>784</v>
      </c>
      <c r="D618" s="6" t="s">
        <v>785</v>
      </c>
      <c r="E618" s="6" t="s">
        <v>47</v>
      </c>
      <c r="F618" s="6" t="s">
        <v>659</v>
      </c>
      <c r="G618" s="7">
        <v>-171.07</v>
      </c>
    </row>
    <row r="619" spans="1:7" x14ac:dyDescent="0.3">
      <c r="A619" s="18">
        <v>46113</v>
      </c>
      <c r="B619" s="18" t="s">
        <v>34</v>
      </c>
      <c r="C619" s="18" t="s">
        <v>784</v>
      </c>
      <c r="D619" s="6" t="s">
        <v>790</v>
      </c>
      <c r="E619" s="6" t="s">
        <v>47</v>
      </c>
      <c r="F619" s="6" t="s">
        <v>659</v>
      </c>
      <c r="G619" s="7">
        <v>-2000</v>
      </c>
    </row>
    <row r="620" spans="1:7" x14ac:dyDescent="0.3">
      <c r="A620" s="18">
        <v>46058</v>
      </c>
      <c r="B620" s="18" t="s">
        <v>34</v>
      </c>
      <c r="C620" s="18" t="s">
        <v>34</v>
      </c>
      <c r="D620" s="6" t="s">
        <v>668</v>
      </c>
      <c r="E620" s="6" t="s">
        <v>57</v>
      </c>
      <c r="F620" s="6" t="s">
        <v>661</v>
      </c>
      <c r="G620" s="7">
        <v>6.1</v>
      </c>
    </row>
    <row r="621" spans="1:7" x14ac:dyDescent="0.3">
      <c r="A621" s="18">
        <v>46036</v>
      </c>
      <c r="B621" s="18" t="s">
        <v>34</v>
      </c>
      <c r="C621" s="18" t="s">
        <v>34</v>
      </c>
      <c r="D621" s="6" t="s">
        <v>380</v>
      </c>
      <c r="E621" s="6" t="s">
        <v>47</v>
      </c>
      <c r="F621" s="6" t="s">
        <v>656</v>
      </c>
      <c r="G621" s="7">
        <v>12</v>
      </c>
    </row>
    <row r="622" spans="1:7" x14ac:dyDescent="0.3">
      <c r="A622" s="18">
        <v>46061</v>
      </c>
      <c r="B622" s="18" t="s">
        <v>34</v>
      </c>
      <c r="C622" s="18" t="s">
        <v>34</v>
      </c>
      <c r="D622" s="6" t="s">
        <v>667</v>
      </c>
      <c r="E622" s="6" t="s">
        <v>47</v>
      </c>
      <c r="F622" s="6" t="s">
        <v>661</v>
      </c>
      <c r="G622" s="7">
        <v>43</v>
      </c>
    </row>
    <row r="623" spans="1:7" x14ac:dyDescent="0.3">
      <c r="A623" s="18">
        <v>46202</v>
      </c>
      <c r="B623" s="44" t="s">
        <v>34</v>
      </c>
      <c r="C623" s="44" t="s">
        <v>1155</v>
      </c>
      <c r="D623" s="6" t="s">
        <v>1006</v>
      </c>
      <c r="E623" s="6" t="s">
        <v>47</v>
      </c>
      <c r="F623" s="6" t="s">
        <v>659</v>
      </c>
      <c r="G623" s="3">
        <v>5000</v>
      </c>
    </row>
    <row r="624" spans="1:7" x14ac:dyDescent="0.3">
      <c r="A624" s="18">
        <v>46085</v>
      </c>
      <c r="B624" s="18" t="s">
        <v>34</v>
      </c>
      <c r="C624" s="44" t="s">
        <v>1155</v>
      </c>
      <c r="D624" s="6" t="s">
        <v>743</v>
      </c>
      <c r="E624" s="6" t="s">
        <v>47</v>
      </c>
      <c r="F624" s="6" t="s">
        <v>656</v>
      </c>
      <c r="G624" s="7">
        <v>15173.69</v>
      </c>
    </row>
    <row r="625" spans="1:7" x14ac:dyDescent="0.3">
      <c r="A625" s="18">
        <v>46024</v>
      </c>
      <c r="B625" s="18" t="s">
        <v>34</v>
      </c>
      <c r="C625" s="44" t="s">
        <v>1155</v>
      </c>
      <c r="D625" s="6" t="s">
        <v>43</v>
      </c>
      <c r="E625" s="6" t="s">
        <v>47</v>
      </c>
      <c r="F625" s="6" t="s">
        <v>659</v>
      </c>
      <c r="G625" s="7">
        <v>2332.4299999999998</v>
      </c>
    </row>
    <row r="626" spans="1:7" x14ac:dyDescent="0.3">
      <c r="A626" s="18">
        <v>46055</v>
      </c>
      <c r="B626" s="18" t="s">
        <v>34</v>
      </c>
      <c r="C626" s="44" t="s">
        <v>1155</v>
      </c>
      <c r="D626" s="6" t="s">
        <v>43</v>
      </c>
      <c r="E626" s="6" t="s">
        <v>47</v>
      </c>
      <c r="F626" s="6" t="s">
        <v>659</v>
      </c>
      <c r="G626" s="7">
        <v>2332.4299999999998</v>
      </c>
    </row>
    <row r="627" spans="1:7" x14ac:dyDescent="0.3">
      <c r="A627" s="18">
        <v>46083</v>
      </c>
      <c r="B627" s="18" t="s">
        <v>34</v>
      </c>
      <c r="C627" s="44" t="s">
        <v>1155</v>
      </c>
      <c r="D627" s="6" t="s">
        <v>43</v>
      </c>
      <c r="E627" s="6" t="s">
        <v>47</v>
      </c>
      <c r="F627" s="6" t="s">
        <v>659</v>
      </c>
      <c r="G627" s="7">
        <v>2332.4299999999998</v>
      </c>
    </row>
    <row r="628" spans="1:7" x14ac:dyDescent="0.3">
      <c r="A628" s="18">
        <v>46113</v>
      </c>
      <c r="B628" s="18" t="s">
        <v>34</v>
      </c>
      <c r="C628" s="44" t="s">
        <v>1155</v>
      </c>
      <c r="D628" s="6" t="s">
        <v>43</v>
      </c>
      <c r="E628" s="6" t="s">
        <v>47</v>
      </c>
      <c r="F628" s="6" t="s">
        <v>659</v>
      </c>
      <c r="G628" s="7">
        <v>2599.2600000000002</v>
      </c>
    </row>
    <row r="629" spans="1:7" x14ac:dyDescent="0.3">
      <c r="A629" s="18">
        <v>46146</v>
      </c>
      <c r="B629" s="18" t="s">
        <v>34</v>
      </c>
      <c r="C629" s="44" t="s">
        <v>1155</v>
      </c>
      <c r="D629" s="6" t="s">
        <v>43</v>
      </c>
      <c r="E629" s="6" t="s">
        <v>47</v>
      </c>
      <c r="F629" s="6" t="s">
        <v>659</v>
      </c>
      <c r="G629" s="3">
        <v>2599.2600000000002</v>
      </c>
    </row>
    <row r="630" spans="1:7" x14ac:dyDescent="0.3">
      <c r="A630" s="18">
        <v>46174</v>
      </c>
      <c r="B630" s="18" t="s">
        <v>34</v>
      </c>
      <c r="C630" s="44" t="s">
        <v>1155</v>
      </c>
      <c r="D630" s="6" t="s">
        <v>43</v>
      </c>
      <c r="E630" s="6" t="s">
        <v>47</v>
      </c>
      <c r="F630" s="6" t="s">
        <v>659</v>
      </c>
      <c r="G630" s="3">
        <v>2599.2600000000002</v>
      </c>
    </row>
    <row r="631" spans="1:7" x14ac:dyDescent="0.3">
      <c r="A631" s="18">
        <v>46047</v>
      </c>
      <c r="B631" s="18" t="s">
        <v>34</v>
      </c>
      <c r="C631" s="18" t="s">
        <v>278</v>
      </c>
      <c r="D631" s="6" t="s">
        <v>293</v>
      </c>
      <c r="E631" s="6" t="s">
        <v>57</v>
      </c>
      <c r="F631" s="6" t="s">
        <v>657</v>
      </c>
      <c r="G631" s="7">
        <v>306.35000000000002</v>
      </c>
    </row>
    <row r="632" spans="1:7" x14ac:dyDescent="0.3">
      <c r="A632" s="18">
        <v>46078</v>
      </c>
      <c r="B632" s="18" t="s">
        <v>34</v>
      </c>
      <c r="C632" s="18" t="s">
        <v>278</v>
      </c>
      <c r="D632" s="6" t="s">
        <v>293</v>
      </c>
      <c r="E632" s="6" t="s">
        <v>57</v>
      </c>
      <c r="F632" s="6" t="s">
        <v>657</v>
      </c>
      <c r="G632" s="7">
        <v>306.35000000000002</v>
      </c>
    </row>
    <row r="633" spans="1:7" x14ac:dyDescent="0.3">
      <c r="A633" s="18">
        <v>46106</v>
      </c>
      <c r="B633" s="18" t="s">
        <v>34</v>
      </c>
      <c r="C633" s="18" t="s">
        <v>278</v>
      </c>
      <c r="D633" s="6" t="s">
        <v>293</v>
      </c>
      <c r="E633" s="6" t="s">
        <v>57</v>
      </c>
      <c r="F633" s="6" t="s">
        <v>657</v>
      </c>
      <c r="G633" s="7">
        <v>306.35000000000002</v>
      </c>
    </row>
    <row r="634" spans="1:7" x14ac:dyDescent="0.3">
      <c r="A634" s="18">
        <v>46057</v>
      </c>
      <c r="B634" s="18" t="s">
        <v>34</v>
      </c>
      <c r="C634" s="18" t="s">
        <v>239</v>
      </c>
      <c r="D634" s="6" t="s">
        <v>58</v>
      </c>
      <c r="E634" s="6" t="s">
        <v>47</v>
      </c>
      <c r="F634" s="6" t="s">
        <v>659</v>
      </c>
      <c r="G634" s="7">
        <v>200</v>
      </c>
    </row>
    <row r="635" spans="1:7" x14ac:dyDescent="0.3">
      <c r="A635" s="18">
        <v>46094</v>
      </c>
      <c r="B635" s="18" t="s">
        <v>34</v>
      </c>
      <c r="C635" s="18" t="s">
        <v>86</v>
      </c>
      <c r="D635" s="6" t="s">
        <v>87</v>
      </c>
      <c r="E635" s="6" t="s">
        <v>47</v>
      </c>
      <c r="F635" s="6" t="s">
        <v>659</v>
      </c>
      <c r="G635" s="7">
        <v>300</v>
      </c>
    </row>
    <row r="636" spans="1:7" x14ac:dyDescent="0.3">
      <c r="A636" s="18">
        <v>46024</v>
      </c>
      <c r="B636" s="18" t="s">
        <v>34</v>
      </c>
      <c r="C636" s="18" t="s">
        <v>172</v>
      </c>
      <c r="D636" s="6" t="s">
        <v>152</v>
      </c>
      <c r="E636" s="6" t="s">
        <v>47</v>
      </c>
      <c r="F636" s="6" t="s">
        <v>659</v>
      </c>
      <c r="G636" s="7">
        <v>73.290000000000006</v>
      </c>
    </row>
    <row r="637" spans="1:7" x14ac:dyDescent="0.3">
      <c r="A637" s="18">
        <v>46190</v>
      </c>
      <c r="B637" s="18" t="s">
        <v>34</v>
      </c>
      <c r="C637" s="18" t="s">
        <v>172</v>
      </c>
      <c r="D637" s="6" t="s">
        <v>152</v>
      </c>
      <c r="E637" s="6" t="s">
        <v>47</v>
      </c>
      <c r="F637" s="6" t="s">
        <v>659</v>
      </c>
      <c r="G637" s="7">
        <v>28.34</v>
      </c>
    </row>
    <row r="638" spans="1:7" x14ac:dyDescent="0.3">
      <c r="A638" s="18">
        <v>46203</v>
      </c>
      <c r="B638" s="18" t="s">
        <v>34</v>
      </c>
      <c r="C638" s="18" t="s">
        <v>172</v>
      </c>
      <c r="D638" s="6" t="s">
        <v>152</v>
      </c>
      <c r="E638" s="6" t="s">
        <v>47</v>
      </c>
      <c r="F638" s="6" t="s">
        <v>659</v>
      </c>
      <c r="G638" s="3">
        <v>27.76</v>
      </c>
    </row>
    <row r="639" spans="1:7" x14ac:dyDescent="0.3">
      <c r="A639" s="18">
        <v>46190</v>
      </c>
      <c r="B639" s="18" t="s">
        <v>34</v>
      </c>
      <c r="C639" s="18" t="s">
        <v>1140</v>
      </c>
      <c r="D639" s="6" t="s">
        <v>746</v>
      </c>
      <c r="E639" s="6" t="s">
        <v>57</v>
      </c>
      <c r="F639" s="6" t="s">
        <v>656</v>
      </c>
      <c r="G639" s="7">
        <v>80.69</v>
      </c>
    </row>
    <row r="640" spans="1:7" x14ac:dyDescent="0.3">
      <c r="A640" s="18">
        <v>46101</v>
      </c>
      <c r="B640" s="18" t="s">
        <v>34</v>
      </c>
      <c r="C640" s="18" t="s">
        <v>62</v>
      </c>
      <c r="D640" s="6" t="s">
        <v>92</v>
      </c>
      <c r="E640" s="6" t="s">
        <v>47</v>
      </c>
      <c r="F640" s="6" t="s">
        <v>659</v>
      </c>
      <c r="G640" s="7">
        <v>80</v>
      </c>
    </row>
    <row r="641" spans="1:7" x14ac:dyDescent="0.3">
      <c r="A641" s="18">
        <v>46086</v>
      </c>
      <c r="B641" s="18" t="s">
        <v>34</v>
      </c>
      <c r="C641" s="18" t="s">
        <v>62</v>
      </c>
      <c r="D641" s="6" t="s">
        <v>63</v>
      </c>
      <c r="E641" s="6" t="s">
        <v>47</v>
      </c>
      <c r="F641" s="6" t="s">
        <v>659</v>
      </c>
      <c r="G641" s="7">
        <v>50</v>
      </c>
    </row>
    <row r="642" spans="1:7" x14ac:dyDescent="0.3">
      <c r="A642" s="18">
        <v>46055</v>
      </c>
      <c r="B642" s="18" t="s">
        <v>34</v>
      </c>
      <c r="C642" s="18" t="s">
        <v>62</v>
      </c>
      <c r="D642" s="6" t="s">
        <v>238</v>
      </c>
      <c r="E642" s="6" t="s">
        <v>57</v>
      </c>
      <c r="F642" s="6" t="s">
        <v>659</v>
      </c>
      <c r="G642" s="7">
        <v>180</v>
      </c>
    </row>
    <row r="643" spans="1:7" x14ac:dyDescent="0.3">
      <c r="A643" s="18">
        <v>46113</v>
      </c>
      <c r="B643" s="18" t="s">
        <v>34</v>
      </c>
      <c r="C643" s="18" t="s">
        <v>62</v>
      </c>
      <c r="D643" s="6" t="s">
        <v>188</v>
      </c>
      <c r="E643" s="6" t="s">
        <v>42</v>
      </c>
      <c r="F643" s="6" t="s">
        <v>659</v>
      </c>
      <c r="G643" s="7">
        <v>71</v>
      </c>
    </row>
    <row r="644" spans="1:7" x14ac:dyDescent="0.3">
      <c r="A644" s="18">
        <v>46113</v>
      </c>
      <c r="B644" s="18" t="s">
        <v>34</v>
      </c>
      <c r="C644" s="18" t="s">
        <v>62</v>
      </c>
      <c r="D644" s="6" t="s">
        <v>188</v>
      </c>
      <c r="E644" s="6" t="s">
        <v>42</v>
      </c>
      <c r="F644" s="6" t="s">
        <v>659</v>
      </c>
      <c r="G644" s="7">
        <v>110</v>
      </c>
    </row>
    <row r="645" spans="1:7" x14ac:dyDescent="0.3">
      <c r="A645" s="18">
        <v>46148</v>
      </c>
      <c r="B645" s="18" t="s">
        <v>34</v>
      </c>
      <c r="C645" s="18" t="s">
        <v>62</v>
      </c>
      <c r="D645" s="6" t="s">
        <v>819</v>
      </c>
      <c r="E645" s="6" t="s">
        <v>57</v>
      </c>
      <c r="F645" s="6" t="s">
        <v>659</v>
      </c>
      <c r="G645" s="3">
        <v>50</v>
      </c>
    </row>
    <row r="646" spans="1:7" x14ac:dyDescent="0.3">
      <c r="A646" s="18">
        <v>46113</v>
      </c>
      <c r="B646" s="18" t="s">
        <v>34</v>
      </c>
      <c r="C646" s="18" t="s">
        <v>62</v>
      </c>
      <c r="D646" s="6" t="s">
        <v>789</v>
      </c>
      <c r="E646" s="6" t="s">
        <v>57</v>
      </c>
      <c r="F646" s="6" t="s">
        <v>659</v>
      </c>
      <c r="G646" s="7">
        <v>50</v>
      </c>
    </row>
    <row r="647" spans="1:7" x14ac:dyDescent="0.3">
      <c r="A647" s="18">
        <v>46042</v>
      </c>
      <c r="B647" s="18" t="s">
        <v>34</v>
      </c>
      <c r="C647" s="18" t="s">
        <v>62</v>
      </c>
      <c r="D647" s="6" t="s">
        <v>167</v>
      </c>
      <c r="E647" s="6" t="s">
        <v>50</v>
      </c>
      <c r="F647" s="6" t="s">
        <v>659</v>
      </c>
      <c r="G647" s="7">
        <v>60</v>
      </c>
    </row>
    <row r="648" spans="1:7" x14ac:dyDescent="0.3">
      <c r="A648" s="18">
        <v>46163</v>
      </c>
      <c r="B648" s="18" t="s">
        <v>34</v>
      </c>
      <c r="C648" s="18" t="s">
        <v>62</v>
      </c>
      <c r="D648" s="8" t="s">
        <v>811</v>
      </c>
      <c r="E648" s="8" t="s">
        <v>50</v>
      </c>
      <c r="F648" s="6" t="s">
        <v>659</v>
      </c>
      <c r="G648" s="9">
        <v>60</v>
      </c>
    </row>
    <row r="649" spans="1:7" x14ac:dyDescent="0.3">
      <c r="A649" s="18">
        <v>46050</v>
      </c>
      <c r="B649" s="18" t="s">
        <v>34</v>
      </c>
      <c r="C649" s="18" t="s">
        <v>62</v>
      </c>
      <c r="D649" s="6" t="s">
        <v>62</v>
      </c>
      <c r="E649" s="6" t="s">
        <v>47</v>
      </c>
      <c r="F649" s="6" t="s">
        <v>659</v>
      </c>
      <c r="G649" s="7">
        <v>35</v>
      </c>
    </row>
    <row r="650" spans="1:7" x14ac:dyDescent="0.3">
      <c r="A650" s="18">
        <v>46106</v>
      </c>
      <c r="B650" s="18" t="s">
        <v>34</v>
      </c>
      <c r="C650" s="18" t="s">
        <v>62</v>
      </c>
      <c r="D650" s="6" t="s">
        <v>98</v>
      </c>
      <c r="E650" s="6" t="s">
        <v>57</v>
      </c>
      <c r="F650" s="6" t="s">
        <v>659</v>
      </c>
      <c r="G650" s="7">
        <v>180</v>
      </c>
    </row>
    <row r="651" spans="1:7" x14ac:dyDescent="0.3">
      <c r="A651" s="18">
        <v>46063</v>
      </c>
      <c r="B651" s="18" t="s">
        <v>34</v>
      </c>
      <c r="C651" s="18" t="s">
        <v>62</v>
      </c>
      <c r="D651" s="6" t="s">
        <v>245</v>
      </c>
      <c r="E651" s="6" t="s">
        <v>50</v>
      </c>
      <c r="F651" s="6" t="s">
        <v>659</v>
      </c>
      <c r="G651" s="7">
        <v>65</v>
      </c>
    </row>
    <row r="652" spans="1:7" x14ac:dyDescent="0.3">
      <c r="A652" s="18">
        <v>46058</v>
      </c>
      <c r="B652" s="18" t="s">
        <v>34</v>
      </c>
      <c r="C652" s="18" t="s">
        <v>62</v>
      </c>
      <c r="D652" s="6" t="s">
        <v>240</v>
      </c>
      <c r="E652" s="6" t="s">
        <v>47</v>
      </c>
      <c r="F652" s="6" t="s">
        <v>659</v>
      </c>
      <c r="G652" s="7">
        <v>120</v>
      </c>
    </row>
    <row r="653" spans="1:7" x14ac:dyDescent="0.3">
      <c r="A653" s="18">
        <v>46031</v>
      </c>
      <c r="B653" s="18" t="s">
        <v>34</v>
      </c>
      <c r="C653" s="18" t="s">
        <v>178</v>
      </c>
      <c r="D653" s="6" t="s">
        <v>454</v>
      </c>
      <c r="E653" s="6" t="s">
        <v>57</v>
      </c>
      <c r="F653" s="6" t="s">
        <v>659</v>
      </c>
      <c r="G653" s="7">
        <v>20</v>
      </c>
    </row>
    <row r="654" spans="1:7" x14ac:dyDescent="0.3">
      <c r="A654" s="18">
        <v>46031</v>
      </c>
      <c r="B654" s="18" t="s">
        <v>34</v>
      </c>
      <c r="C654" s="18" t="s">
        <v>178</v>
      </c>
      <c r="D654" s="6" t="s">
        <v>179</v>
      </c>
      <c r="E654" s="6" t="s">
        <v>57</v>
      </c>
      <c r="F654" s="6" t="s">
        <v>659</v>
      </c>
      <c r="G654" s="7">
        <v>250</v>
      </c>
    </row>
    <row r="655" spans="1:7" x14ac:dyDescent="0.3">
      <c r="A655" s="18">
        <v>46049</v>
      </c>
      <c r="B655" s="18" t="s">
        <v>34</v>
      </c>
      <c r="C655" s="18" t="s">
        <v>424</v>
      </c>
      <c r="D655" s="6" t="s">
        <v>425</v>
      </c>
      <c r="E655" s="6" t="s">
        <v>42</v>
      </c>
      <c r="F655" s="6" t="s">
        <v>659</v>
      </c>
      <c r="G655" s="7">
        <v>1128</v>
      </c>
    </row>
    <row r="656" spans="1:7" x14ac:dyDescent="0.3">
      <c r="A656" s="18">
        <v>46148</v>
      </c>
      <c r="B656" s="18" t="s">
        <v>34</v>
      </c>
      <c r="C656" s="18" t="s">
        <v>820</v>
      </c>
      <c r="D656" s="6" t="s">
        <v>821</v>
      </c>
      <c r="E656" s="6" t="s">
        <v>42</v>
      </c>
      <c r="F656" s="6" t="s">
        <v>659</v>
      </c>
      <c r="G656" s="3">
        <v>730</v>
      </c>
    </row>
    <row r="657" spans="1:7" x14ac:dyDescent="0.3">
      <c r="A657" s="18">
        <v>46155</v>
      </c>
      <c r="B657" s="18" t="s">
        <v>34</v>
      </c>
      <c r="C657" s="18" t="s">
        <v>96</v>
      </c>
      <c r="D657" s="10" t="s">
        <v>808</v>
      </c>
      <c r="E657" s="10" t="s">
        <v>47</v>
      </c>
      <c r="F657" s="6" t="s">
        <v>659</v>
      </c>
      <c r="G657" s="36">
        <v>285</v>
      </c>
    </row>
    <row r="658" spans="1:7" x14ac:dyDescent="0.3">
      <c r="A658" s="18">
        <v>46193</v>
      </c>
      <c r="B658" s="47" t="s">
        <v>34</v>
      </c>
      <c r="C658" s="47" t="s">
        <v>96</v>
      </c>
      <c r="D658" s="8" t="s">
        <v>979</v>
      </c>
      <c r="E658" s="8" t="s">
        <v>47</v>
      </c>
      <c r="F658" s="6" t="s">
        <v>659</v>
      </c>
      <c r="G658" s="9">
        <v>600</v>
      </c>
    </row>
    <row r="659" spans="1:7" x14ac:dyDescent="0.3">
      <c r="A659" s="18">
        <v>46062</v>
      </c>
      <c r="B659" s="18" t="s">
        <v>34</v>
      </c>
      <c r="C659" s="18" t="s">
        <v>96</v>
      </c>
      <c r="D659" s="6" t="s">
        <v>443</v>
      </c>
      <c r="E659" s="6" t="s">
        <v>47</v>
      </c>
      <c r="F659" s="6" t="s">
        <v>659</v>
      </c>
      <c r="G659" s="7">
        <v>263</v>
      </c>
    </row>
    <row r="660" spans="1:7" x14ac:dyDescent="0.3">
      <c r="A660" s="18">
        <v>46150</v>
      </c>
      <c r="B660" s="18" t="s">
        <v>34</v>
      </c>
      <c r="C660" s="18" t="s">
        <v>96</v>
      </c>
      <c r="D660" s="34" t="s">
        <v>804</v>
      </c>
      <c r="E660" s="34" t="s">
        <v>47</v>
      </c>
      <c r="F660" s="6" t="s">
        <v>659</v>
      </c>
      <c r="G660" s="35">
        <v>263</v>
      </c>
    </row>
    <row r="661" spans="1:7" x14ac:dyDescent="0.3">
      <c r="A661" s="18">
        <v>46036</v>
      </c>
      <c r="B661" s="18" t="s">
        <v>34</v>
      </c>
      <c r="C661" s="18" t="s">
        <v>96</v>
      </c>
      <c r="D661" s="6" t="s">
        <v>159</v>
      </c>
      <c r="E661" s="6" t="s">
        <v>47</v>
      </c>
      <c r="F661" s="6" t="s">
        <v>659</v>
      </c>
      <c r="G661" s="7">
        <v>160</v>
      </c>
    </row>
    <row r="662" spans="1:7" x14ac:dyDescent="0.3">
      <c r="A662" s="18">
        <v>46036</v>
      </c>
      <c r="B662" s="18" t="s">
        <v>34</v>
      </c>
      <c r="C662" s="18" t="s">
        <v>96</v>
      </c>
      <c r="D662" s="6" t="s">
        <v>159</v>
      </c>
      <c r="E662" s="6" t="s">
        <v>47</v>
      </c>
      <c r="F662" s="6" t="s">
        <v>659</v>
      </c>
      <c r="G662" s="7">
        <v>650</v>
      </c>
    </row>
    <row r="663" spans="1:7" x14ac:dyDescent="0.3">
      <c r="A663" s="18">
        <v>46155</v>
      </c>
      <c r="B663" s="18" t="s">
        <v>34</v>
      </c>
      <c r="C663" s="18" t="s">
        <v>96</v>
      </c>
      <c r="D663" s="10" t="s">
        <v>807</v>
      </c>
      <c r="E663" s="10" t="s">
        <v>47</v>
      </c>
      <c r="F663" s="6" t="s">
        <v>659</v>
      </c>
      <c r="G663" s="36">
        <v>250</v>
      </c>
    </row>
    <row r="664" spans="1:7" x14ac:dyDescent="0.3">
      <c r="A664" s="18">
        <v>46151</v>
      </c>
      <c r="B664" s="18" t="s">
        <v>34</v>
      </c>
      <c r="C664" s="18" t="s">
        <v>96</v>
      </c>
      <c r="D664" s="34" t="s">
        <v>805</v>
      </c>
      <c r="E664" s="34" t="s">
        <v>47</v>
      </c>
      <c r="F664" s="6" t="s">
        <v>659</v>
      </c>
      <c r="G664" s="35">
        <v>210.47</v>
      </c>
    </row>
    <row r="665" spans="1:7" x14ac:dyDescent="0.3">
      <c r="A665" s="18">
        <v>46160</v>
      </c>
      <c r="B665" s="18" t="s">
        <v>34</v>
      </c>
      <c r="C665" s="18" t="s">
        <v>96</v>
      </c>
      <c r="D665" s="10" t="s">
        <v>809</v>
      </c>
      <c r="E665" s="6" t="s">
        <v>47</v>
      </c>
      <c r="F665" s="6" t="s">
        <v>659</v>
      </c>
      <c r="G665" s="3">
        <v>320</v>
      </c>
    </row>
    <row r="666" spans="1:7" x14ac:dyDescent="0.3">
      <c r="A666" s="18">
        <v>46030</v>
      </c>
      <c r="B666" s="18" t="s">
        <v>34</v>
      </c>
      <c r="C666" s="18" t="s">
        <v>96</v>
      </c>
      <c r="D666" s="6" t="s">
        <v>96</v>
      </c>
      <c r="E666" s="6" t="s">
        <v>47</v>
      </c>
      <c r="F666" s="6" t="s">
        <v>659</v>
      </c>
      <c r="G666" s="7">
        <v>135.69999999999999</v>
      </c>
    </row>
    <row r="667" spans="1:7" x14ac:dyDescent="0.3">
      <c r="A667" s="18">
        <v>46183</v>
      </c>
      <c r="B667" s="46" t="s">
        <v>34</v>
      </c>
      <c r="C667" s="46" t="s">
        <v>96</v>
      </c>
      <c r="D667" s="8" t="s">
        <v>975</v>
      </c>
      <c r="E667" s="8" t="s">
        <v>47</v>
      </c>
      <c r="F667" s="6" t="s">
        <v>659</v>
      </c>
      <c r="G667" s="9">
        <v>200</v>
      </c>
    </row>
    <row r="668" spans="1:7" x14ac:dyDescent="0.3">
      <c r="A668" s="18">
        <v>46079</v>
      </c>
      <c r="B668" s="18" t="s">
        <v>34</v>
      </c>
      <c r="C668" s="18" t="s">
        <v>96</v>
      </c>
      <c r="D668" s="6" t="s">
        <v>234</v>
      </c>
      <c r="E668" s="6" t="s">
        <v>47</v>
      </c>
      <c r="F668" s="6" t="s">
        <v>659</v>
      </c>
      <c r="G668" s="7">
        <v>40</v>
      </c>
    </row>
    <row r="669" spans="1:7" x14ac:dyDescent="0.3">
      <c r="A669" s="18">
        <v>46026</v>
      </c>
      <c r="B669" s="18" t="s">
        <v>34</v>
      </c>
      <c r="C669" s="18" t="s">
        <v>96</v>
      </c>
      <c r="D669" s="6" t="s">
        <v>441</v>
      </c>
      <c r="E669" s="6" t="s">
        <v>47</v>
      </c>
      <c r="F669" s="6" t="s">
        <v>659</v>
      </c>
      <c r="G669" s="7">
        <v>400</v>
      </c>
    </row>
    <row r="670" spans="1:7" x14ac:dyDescent="0.3">
      <c r="A670" s="18">
        <v>46023</v>
      </c>
      <c r="B670" s="18" t="s">
        <v>34</v>
      </c>
      <c r="C670" s="18" t="s">
        <v>96</v>
      </c>
      <c r="D670" s="6" t="s">
        <v>445</v>
      </c>
      <c r="E670" s="6" t="s">
        <v>47</v>
      </c>
      <c r="F670" s="6" t="s">
        <v>659</v>
      </c>
      <c r="G670" s="7">
        <v>1000</v>
      </c>
    </row>
    <row r="671" spans="1:7" x14ac:dyDescent="0.3">
      <c r="A671" s="18">
        <v>46025</v>
      </c>
      <c r="B671" s="18" t="s">
        <v>34</v>
      </c>
      <c r="C671" s="18" t="s">
        <v>96</v>
      </c>
      <c r="D671" s="6" t="s">
        <v>444</v>
      </c>
      <c r="E671" s="6" t="s">
        <v>47</v>
      </c>
      <c r="F671" s="6" t="s">
        <v>659</v>
      </c>
      <c r="G671" s="7">
        <v>660</v>
      </c>
    </row>
    <row r="672" spans="1:7" x14ac:dyDescent="0.3">
      <c r="A672" s="18">
        <v>46026</v>
      </c>
      <c r="B672" s="18" t="s">
        <v>34</v>
      </c>
      <c r="C672" s="18" t="s">
        <v>96</v>
      </c>
      <c r="D672" s="6" t="s">
        <v>444</v>
      </c>
      <c r="E672" s="6" t="s">
        <v>47</v>
      </c>
      <c r="F672" s="6" t="s">
        <v>659</v>
      </c>
      <c r="G672" s="7">
        <v>2715</v>
      </c>
    </row>
    <row r="673" spans="1:7" x14ac:dyDescent="0.3">
      <c r="A673" s="18">
        <v>46027</v>
      </c>
      <c r="B673" s="18" t="s">
        <v>34</v>
      </c>
      <c r="C673" s="18" t="s">
        <v>96</v>
      </c>
      <c r="D673" s="6" t="s">
        <v>440</v>
      </c>
      <c r="E673" s="6" t="s">
        <v>47</v>
      </c>
      <c r="F673" s="6" t="s">
        <v>659</v>
      </c>
      <c r="G673" s="7">
        <v>300.08999999999997</v>
      </c>
    </row>
    <row r="674" spans="1:7" x14ac:dyDescent="0.3">
      <c r="A674" s="18">
        <v>46027</v>
      </c>
      <c r="B674" s="18" t="s">
        <v>34</v>
      </c>
      <c r="C674" s="18" t="s">
        <v>96</v>
      </c>
      <c r="D674" s="6" t="s">
        <v>440</v>
      </c>
      <c r="E674" s="6" t="s">
        <v>47</v>
      </c>
      <c r="F674" s="6" t="s">
        <v>659</v>
      </c>
      <c r="G674" s="7">
        <v>357</v>
      </c>
    </row>
    <row r="675" spans="1:7" x14ac:dyDescent="0.3">
      <c r="A675" s="18">
        <v>46023</v>
      </c>
      <c r="B675" s="18" t="s">
        <v>34</v>
      </c>
      <c r="C675" s="18" t="s">
        <v>96</v>
      </c>
      <c r="D675" s="6" t="s">
        <v>442</v>
      </c>
      <c r="E675" s="6" t="s">
        <v>47</v>
      </c>
      <c r="F675" s="6" t="s">
        <v>659</v>
      </c>
      <c r="G675" s="7">
        <v>250</v>
      </c>
    </row>
    <row r="676" spans="1:7" x14ac:dyDescent="0.3">
      <c r="A676" s="18">
        <v>46038</v>
      </c>
      <c r="B676" s="18" t="s">
        <v>34</v>
      </c>
      <c r="C676" s="18" t="s">
        <v>96</v>
      </c>
      <c r="D676" s="6" t="s">
        <v>164</v>
      </c>
      <c r="E676" s="6" t="s">
        <v>47</v>
      </c>
      <c r="F676" s="6" t="s">
        <v>659</v>
      </c>
      <c r="G676" s="7">
        <v>70</v>
      </c>
    </row>
    <row r="677" spans="1:7" x14ac:dyDescent="0.3">
      <c r="A677" s="18">
        <v>46075</v>
      </c>
      <c r="B677" s="18" t="s">
        <v>34</v>
      </c>
      <c r="C677" s="18" t="s">
        <v>96</v>
      </c>
      <c r="D677" s="6" t="s">
        <v>230</v>
      </c>
      <c r="E677" s="6" t="s">
        <v>47</v>
      </c>
      <c r="F677" s="6" t="s">
        <v>659</v>
      </c>
      <c r="G677" s="7">
        <v>500</v>
      </c>
    </row>
    <row r="678" spans="1:7" x14ac:dyDescent="0.3">
      <c r="A678" s="18">
        <v>46167</v>
      </c>
      <c r="B678" s="18" t="s">
        <v>34</v>
      </c>
      <c r="C678" s="18" t="s">
        <v>314</v>
      </c>
      <c r="D678" s="8" t="s">
        <v>812</v>
      </c>
      <c r="E678" s="8" t="s">
        <v>47</v>
      </c>
      <c r="F678" s="6" t="s">
        <v>659</v>
      </c>
      <c r="G678" s="9">
        <v>2000</v>
      </c>
    </row>
    <row r="679" spans="1:7" x14ac:dyDescent="0.3">
      <c r="A679" s="18">
        <v>46149</v>
      </c>
      <c r="B679" s="18" t="s">
        <v>34</v>
      </c>
      <c r="C679" s="18" t="s">
        <v>314</v>
      </c>
      <c r="D679" s="6" t="s">
        <v>133</v>
      </c>
      <c r="E679" s="6" t="s">
        <v>47</v>
      </c>
      <c r="F679" s="6" t="s">
        <v>659</v>
      </c>
      <c r="G679" s="3">
        <v>1000</v>
      </c>
    </row>
    <row r="680" spans="1:7" x14ac:dyDescent="0.3">
      <c r="A680" s="18">
        <v>46030</v>
      </c>
      <c r="B680" s="18" t="s">
        <v>34</v>
      </c>
      <c r="C680" s="18" t="s">
        <v>314</v>
      </c>
      <c r="D680" s="6" t="s">
        <v>155</v>
      </c>
      <c r="E680" s="6" t="s">
        <v>47</v>
      </c>
      <c r="F680" s="6" t="s">
        <v>659</v>
      </c>
      <c r="G680" s="7">
        <v>1302.07</v>
      </c>
    </row>
    <row r="681" spans="1:7" x14ac:dyDescent="0.3">
      <c r="A681" s="18">
        <v>46171</v>
      </c>
      <c r="B681" s="18" t="s">
        <v>34</v>
      </c>
      <c r="C681" s="18" t="s">
        <v>314</v>
      </c>
      <c r="D681" s="8" t="s">
        <v>871</v>
      </c>
      <c r="E681" s="8" t="s">
        <v>47</v>
      </c>
      <c r="F681" s="6" t="s">
        <v>659</v>
      </c>
      <c r="G681" s="9">
        <v>1000</v>
      </c>
    </row>
    <row r="682" spans="1:7" x14ac:dyDescent="0.3">
      <c r="A682" s="18">
        <v>46045</v>
      </c>
      <c r="B682" s="18" t="s">
        <v>34</v>
      </c>
      <c r="C682" s="18" t="s">
        <v>205</v>
      </c>
      <c r="D682" s="6" t="s">
        <v>439</v>
      </c>
      <c r="E682" s="6" t="s">
        <v>47</v>
      </c>
      <c r="F682" s="6" t="s">
        <v>659</v>
      </c>
      <c r="G682" s="7">
        <v>390.38</v>
      </c>
    </row>
    <row r="683" spans="1:7" x14ac:dyDescent="0.3">
      <c r="A683" s="18">
        <v>46203</v>
      </c>
      <c r="B683" s="44" t="s">
        <v>34</v>
      </c>
      <c r="C683" s="6" t="s">
        <v>1008</v>
      </c>
      <c r="D683" s="6" t="s">
        <v>987</v>
      </c>
      <c r="E683" s="6" t="s">
        <v>50</v>
      </c>
      <c r="F683" s="6" t="s">
        <v>659</v>
      </c>
      <c r="G683" s="3">
        <v>78</v>
      </c>
    </row>
    <row r="684" spans="1:7" x14ac:dyDescent="0.3">
      <c r="A684" s="18">
        <v>46044</v>
      </c>
      <c r="B684" s="18" t="s">
        <v>34</v>
      </c>
      <c r="C684" s="18" t="s">
        <v>195</v>
      </c>
      <c r="D684" s="6" t="s">
        <v>170</v>
      </c>
      <c r="E684" s="6" t="s">
        <v>47</v>
      </c>
      <c r="F684" s="6" t="s">
        <v>659</v>
      </c>
      <c r="G684" s="7">
        <v>180</v>
      </c>
    </row>
    <row r="685" spans="1:7" x14ac:dyDescent="0.3">
      <c r="A685" s="18">
        <v>46058</v>
      </c>
      <c r="B685" s="18" t="s">
        <v>34</v>
      </c>
      <c r="C685" s="18" t="s">
        <v>195</v>
      </c>
      <c r="D685" s="6" t="s">
        <v>170</v>
      </c>
      <c r="E685" s="6" t="s">
        <v>47</v>
      </c>
      <c r="F685" s="6" t="s">
        <v>659</v>
      </c>
      <c r="G685" s="7">
        <v>500</v>
      </c>
    </row>
    <row r="686" spans="1:7" x14ac:dyDescent="0.3">
      <c r="A686" s="18">
        <v>46038</v>
      </c>
      <c r="B686" s="18" t="s">
        <v>34</v>
      </c>
      <c r="C686" s="18" t="s">
        <v>195</v>
      </c>
      <c r="D686" s="6" t="s">
        <v>163</v>
      </c>
      <c r="E686" s="6" t="s">
        <v>47</v>
      </c>
      <c r="F686" s="6" t="s">
        <v>659</v>
      </c>
      <c r="G686" s="7">
        <v>650</v>
      </c>
    </row>
    <row r="687" spans="1:7" x14ac:dyDescent="0.3">
      <c r="A687" s="18">
        <v>46106</v>
      </c>
      <c r="B687" s="18" t="s">
        <v>34</v>
      </c>
      <c r="C687" s="18" t="s">
        <v>80</v>
      </c>
      <c r="D687" s="6" t="s">
        <v>97</v>
      </c>
      <c r="E687" s="6" t="s">
        <v>57</v>
      </c>
      <c r="F687" s="6" t="s">
        <v>659</v>
      </c>
      <c r="G687" s="7">
        <v>47.65</v>
      </c>
    </row>
    <row r="688" spans="1:7" x14ac:dyDescent="0.3">
      <c r="A688" s="18">
        <v>46054</v>
      </c>
      <c r="B688" s="18" t="s">
        <v>34</v>
      </c>
      <c r="C688" s="18" t="s">
        <v>27</v>
      </c>
      <c r="D688" s="6" t="s">
        <v>96</v>
      </c>
      <c r="E688" s="6" t="s">
        <v>47</v>
      </c>
      <c r="F688" s="6" t="s">
        <v>659</v>
      </c>
      <c r="G688" s="7">
        <v>500</v>
      </c>
    </row>
    <row r="689" spans="1:7" x14ac:dyDescent="0.3">
      <c r="A689" s="18">
        <v>46107</v>
      </c>
      <c r="B689" s="18" t="s">
        <v>34</v>
      </c>
      <c r="C689" s="18" t="s">
        <v>27</v>
      </c>
      <c r="D689" s="6" t="s">
        <v>96</v>
      </c>
      <c r="E689" s="6" t="s">
        <v>47</v>
      </c>
      <c r="F689" s="6" t="s">
        <v>659</v>
      </c>
      <c r="G689" s="7">
        <v>1000</v>
      </c>
    </row>
    <row r="690" spans="1:7" x14ac:dyDescent="0.3">
      <c r="A690" s="18">
        <v>46029</v>
      </c>
      <c r="B690" s="18" t="s">
        <v>55</v>
      </c>
      <c r="C690" s="18" t="s">
        <v>56</v>
      </c>
      <c r="D690" s="6" t="s">
        <v>654</v>
      </c>
      <c r="E690" s="6" t="s">
        <v>57</v>
      </c>
      <c r="F690" s="6" t="s">
        <v>659</v>
      </c>
      <c r="G690" s="7">
        <v>590</v>
      </c>
    </row>
    <row r="691" spans="1:7" x14ac:dyDescent="0.3">
      <c r="A691" s="18">
        <v>46040</v>
      </c>
      <c r="B691" s="18" t="s">
        <v>55</v>
      </c>
      <c r="C691" s="18" t="s">
        <v>56</v>
      </c>
      <c r="D691" s="6" t="s">
        <v>654</v>
      </c>
      <c r="E691" s="6" t="s">
        <v>57</v>
      </c>
      <c r="F691" s="6" t="s">
        <v>659</v>
      </c>
      <c r="G691" s="7">
        <v>870</v>
      </c>
    </row>
    <row r="692" spans="1:7" x14ac:dyDescent="0.3">
      <c r="A692" s="18">
        <v>46059</v>
      </c>
      <c r="B692" s="18" t="s">
        <v>55</v>
      </c>
      <c r="C692" s="18" t="s">
        <v>56</v>
      </c>
      <c r="D692" s="6" t="s">
        <v>654</v>
      </c>
      <c r="E692" s="6" t="s">
        <v>13</v>
      </c>
      <c r="F692" s="6" t="s">
        <v>659</v>
      </c>
      <c r="G692" s="7">
        <v>200</v>
      </c>
    </row>
    <row r="693" spans="1:7" x14ac:dyDescent="0.3">
      <c r="A693" s="18">
        <v>46062</v>
      </c>
      <c r="B693" s="18" t="s">
        <v>55</v>
      </c>
      <c r="C693" s="18" t="s">
        <v>56</v>
      </c>
      <c r="D693" s="6" t="s">
        <v>654</v>
      </c>
      <c r="E693" s="6" t="s">
        <v>57</v>
      </c>
      <c r="F693" s="6" t="s">
        <v>659</v>
      </c>
      <c r="G693" s="7">
        <v>250</v>
      </c>
    </row>
    <row r="694" spans="1:7" x14ac:dyDescent="0.3">
      <c r="A694" s="18">
        <v>46062</v>
      </c>
      <c r="B694" s="18" t="s">
        <v>55</v>
      </c>
      <c r="C694" s="18" t="s">
        <v>56</v>
      </c>
      <c r="D694" s="6" t="s">
        <v>654</v>
      </c>
      <c r="E694" s="6" t="s">
        <v>57</v>
      </c>
      <c r="F694" s="6" t="s">
        <v>659</v>
      </c>
      <c r="G694" s="7">
        <v>250</v>
      </c>
    </row>
    <row r="695" spans="1:7" x14ac:dyDescent="0.3">
      <c r="A695" s="18">
        <v>46076</v>
      </c>
      <c r="B695" s="18" t="s">
        <v>55</v>
      </c>
      <c r="C695" s="18" t="s">
        <v>56</v>
      </c>
      <c r="D695" s="6" t="s">
        <v>654</v>
      </c>
      <c r="E695" s="6" t="s">
        <v>57</v>
      </c>
      <c r="F695" s="6" t="s">
        <v>659</v>
      </c>
      <c r="G695" s="7">
        <v>250</v>
      </c>
    </row>
    <row r="696" spans="1:7" x14ac:dyDescent="0.3">
      <c r="A696" s="18">
        <v>46091</v>
      </c>
      <c r="B696" s="18" t="s">
        <v>55</v>
      </c>
      <c r="C696" s="18" t="s">
        <v>56</v>
      </c>
      <c r="D696" s="6" t="s">
        <v>654</v>
      </c>
      <c r="E696" s="6" t="s">
        <v>57</v>
      </c>
      <c r="F696" s="6" t="s">
        <v>659</v>
      </c>
      <c r="G696" s="7">
        <v>300</v>
      </c>
    </row>
    <row r="697" spans="1:7" x14ac:dyDescent="0.3">
      <c r="A697" s="18">
        <v>46113</v>
      </c>
      <c r="B697" s="18" t="s">
        <v>55</v>
      </c>
      <c r="C697" s="18" t="s">
        <v>56</v>
      </c>
      <c r="D697" s="6" t="s">
        <v>654</v>
      </c>
      <c r="E697" s="6" t="s">
        <v>57</v>
      </c>
      <c r="F697" s="6" t="s">
        <v>659</v>
      </c>
      <c r="G697" s="7">
        <v>500</v>
      </c>
    </row>
    <row r="698" spans="1:7" x14ac:dyDescent="0.3">
      <c r="A698" s="18">
        <v>46113</v>
      </c>
      <c r="B698" s="18" t="s">
        <v>55</v>
      </c>
      <c r="C698" s="18" t="s">
        <v>56</v>
      </c>
      <c r="D698" s="6" t="s">
        <v>654</v>
      </c>
      <c r="E698" s="6" t="s">
        <v>57</v>
      </c>
      <c r="F698" s="6" t="s">
        <v>659</v>
      </c>
      <c r="G698" s="7">
        <v>250</v>
      </c>
    </row>
    <row r="699" spans="1:7" x14ac:dyDescent="0.3">
      <c r="A699" s="18">
        <v>46167</v>
      </c>
      <c r="B699" s="18" t="s">
        <v>55</v>
      </c>
      <c r="C699" s="18" t="s">
        <v>56</v>
      </c>
      <c r="D699" s="6" t="s">
        <v>654</v>
      </c>
      <c r="E699" s="8" t="s">
        <v>57</v>
      </c>
      <c r="F699" s="6" t="s">
        <v>659</v>
      </c>
      <c r="G699" s="9">
        <v>250</v>
      </c>
    </row>
    <row r="700" spans="1:7" x14ac:dyDescent="0.3">
      <c r="A700" s="18">
        <v>46167</v>
      </c>
      <c r="B700" s="18" t="s">
        <v>55</v>
      </c>
      <c r="C700" s="18" t="s">
        <v>56</v>
      </c>
      <c r="D700" s="6" t="s">
        <v>654</v>
      </c>
      <c r="E700" s="8" t="s">
        <v>57</v>
      </c>
      <c r="F700" s="6" t="s">
        <v>659</v>
      </c>
      <c r="G700" s="9">
        <v>263</v>
      </c>
    </row>
    <row r="701" spans="1:7" x14ac:dyDescent="0.3">
      <c r="A701" s="18">
        <v>46098</v>
      </c>
      <c r="B701" s="18" t="s">
        <v>55</v>
      </c>
      <c r="C701" s="18" t="s">
        <v>56</v>
      </c>
      <c r="D701" s="6" t="s">
        <v>18</v>
      </c>
      <c r="E701" s="6" t="s">
        <v>13</v>
      </c>
      <c r="F701" s="6" t="s">
        <v>659</v>
      </c>
      <c r="G701" s="7">
        <f>2375/2</f>
        <v>1187.5</v>
      </c>
    </row>
    <row r="702" spans="1:7" x14ac:dyDescent="0.3">
      <c r="A702" s="18">
        <v>46150</v>
      </c>
      <c r="B702" s="18" t="s">
        <v>55</v>
      </c>
      <c r="C702" s="18" t="s">
        <v>56</v>
      </c>
      <c r="D702" s="34" t="s">
        <v>823</v>
      </c>
      <c r="E702" s="34" t="s">
        <v>57</v>
      </c>
      <c r="F702" s="6" t="s">
        <v>659</v>
      </c>
      <c r="G702" s="35">
        <v>693</v>
      </c>
    </row>
    <row r="703" spans="1:7" x14ac:dyDescent="0.3">
      <c r="A703" s="18">
        <v>46055</v>
      </c>
      <c r="B703" s="18" t="s">
        <v>55</v>
      </c>
      <c r="C703" s="18" t="s">
        <v>56</v>
      </c>
      <c r="D703" s="6" t="s">
        <v>4</v>
      </c>
      <c r="E703" s="6" t="s">
        <v>57</v>
      </c>
      <c r="F703" s="6" t="s">
        <v>659</v>
      </c>
      <c r="G703" s="7">
        <v>1540</v>
      </c>
    </row>
    <row r="704" spans="1:7" x14ac:dyDescent="0.3">
      <c r="A704" s="18">
        <v>46084</v>
      </c>
      <c r="B704" s="18" t="s">
        <v>55</v>
      </c>
      <c r="C704" s="18" t="s">
        <v>56</v>
      </c>
      <c r="D704" s="6" t="s">
        <v>4</v>
      </c>
      <c r="E704" s="6" t="s">
        <v>57</v>
      </c>
      <c r="F704" s="6" t="s">
        <v>659</v>
      </c>
      <c r="G704" s="7">
        <v>1155</v>
      </c>
    </row>
    <row r="705" spans="1:7" x14ac:dyDescent="0.3">
      <c r="A705" s="18">
        <v>46163</v>
      </c>
      <c r="B705" s="18" t="s">
        <v>55</v>
      </c>
      <c r="C705" s="18" t="s">
        <v>56</v>
      </c>
      <c r="D705" s="6" t="s">
        <v>783</v>
      </c>
      <c r="E705" s="6" t="s">
        <v>13</v>
      </c>
      <c r="F705" s="6" t="s">
        <v>659</v>
      </c>
      <c r="G705" s="7">
        <v>480</v>
      </c>
    </row>
    <row r="706" spans="1:7" x14ac:dyDescent="0.3">
      <c r="A706" s="18">
        <v>46113</v>
      </c>
      <c r="B706" s="18" t="s">
        <v>55</v>
      </c>
      <c r="C706" s="18" t="s">
        <v>56</v>
      </c>
      <c r="D706" s="6" t="s">
        <v>783</v>
      </c>
      <c r="E706" s="6" t="s">
        <v>13</v>
      </c>
      <c r="F706" s="6" t="s">
        <v>659</v>
      </c>
      <c r="G706" s="7">
        <v>600</v>
      </c>
    </row>
    <row r="707" spans="1:7" x14ac:dyDescent="0.3">
      <c r="A707" s="18">
        <v>46175</v>
      </c>
      <c r="B707" s="18" t="s">
        <v>55</v>
      </c>
      <c r="C707" s="18" t="s">
        <v>56</v>
      </c>
      <c r="D707" s="6" t="s">
        <v>783</v>
      </c>
      <c r="E707" s="6" t="s">
        <v>13</v>
      </c>
      <c r="F707" s="6" t="s">
        <v>659</v>
      </c>
      <c r="G707" s="9">
        <v>720</v>
      </c>
    </row>
    <row r="708" spans="1:7" x14ac:dyDescent="0.3">
      <c r="A708" s="18">
        <v>46072</v>
      </c>
      <c r="B708" s="18" t="s">
        <v>55</v>
      </c>
      <c r="C708" s="18" t="s">
        <v>56</v>
      </c>
      <c r="D708" s="6" t="s">
        <v>502</v>
      </c>
      <c r="E708" s="6" t="s">
        <v>57</v>
      </c>
      <c r="F708" s="6" t="s">
        <v>659</v>
      </c>
      <c r="G708" s="7">
        <v>63</v>
      </c>
    </row>
    <row r="709" spans="1:7" x14ac:dyDescent="0.3">
      <c r="A709" s="18">
        <v>46170</v>
      </c>
      <c r="B709" s="18" t="s">
        <v>55</v>
      </c>
      <c r="C709" s="18" t="s">
        <v>56</v>
      </c>
      <c r="D709" s="8" t="s">
        <v>836</v>
      </c>
      <c r="E709" s="8" t="s">
        <v>57</v>
      </c>
      <c r="F709" s="6" t="s">
        <v>659</v>
      </c>
      <c r="G709" s="9">
        <v>1215</v>
      </c>
    </row>
    <row r="710" spans="1:7" x14ac:dyDescent="0.3">
      <c r="A710" s="18">
        <v>46146</v>
      </c>
      <c r="B710" s="18" t="s">
        <v>55</v>
      </c>
      <c r="C710" s="18" t="s">
        <v>56</v>
      </c>
      <c r="D710" s="8" t="s">
        <v>817</v>
      </c>
      <c r="E710" s="8" t="s">
        <v>13</v>
      </c>
      <c r="F710" s="6" t="s">
        <v>659</v>
      </c>
      <c r="G710" s="9">
        <v>950</v>
      </c>
    </row>
    <row r="711" spans="1:7" x14ac:dyDescent="0.3">
      <c r="A711" s="18">
        <v>46175</v>
      </c>
      <c r="B711" s="18" t="s">
        <v>55</v>
      </c>
      <c r="C711" s="18" t="s">
        <v>56</v>
      </c>
      <c r="D711" s="8" t="s">
        <v>817</v>
      </c>
      <c r="E711" s="8" t="s">
        <v>13</v>
      </c>
      <c r="F711" s="6" t="s">
        <v>659</v>
      </c>
      <c r="G711" s="9">
        <v>950</v>
      </c>
    </row>
    <row r="712" spans="1:7" x14ac:dyDescent="0.3">
      <c r="A712" s="18">
        <v>46163</v>
      </c>
      <c r="B712" s="18" t="s">
        <v>55</v>
      </c>
      <c r="C712" s="18" t="s">
        <v>56</v>
      </c>
      <c r="D712" s="8" t="s">
        <v>828</v>
      </c>
      <c r="E712" s="6" t="s">
        <v>57</v>
      </c>
      <c r="F712" s="6" t="s">
        <v>659</v>
      </c>
      <c r="G712" s="9">
        <v>679.54</v>
      </c>
    </row>
    <row r="713" spans="1:7" x14ac:dyDescent="0.3">
      <c r="A713" s="18">
        <v>46045</v>
      </c>
      <c r="B713" s="18" t="s">
        <v>55</v>
      </c>
      <c r="C713" s="18" t="s">
        <v>56</v>
      </c>
      <c r="D713" s="8" t="s">
        <v>828</v>
      </c>
      <c r="E713" s="6" t="s">
        <v>57</v>
      </c>
      <c r="F713" s="6" t="s">
        <v>659</v>
      </c>
      <c r="G713" s="7">
        <v>798</v>
      </c>
    </row>
    <row r="714" spans="1:7" x14ac:dyDescent="0.3">
      <c r="A714" s="18">
        <v>46023</v>
      </c>
      <c r="B714" s="18" t="s">
        <v>55</v>
      </c>
      <c r="C714" s="18" t="s">
        <v>56</v>
      </c>
      <c r="D714" s="6" t="s">
        <v>306</v>
      </c>
      <c r="E714" s="6" t="s">
        <v>57</v>
      </c>
      <c r="F714" s="6" t="s">
        <v>659</v>
      </c>
      <c r="G714" s="7">
        <v>666</v>
      </c>
    </row>
    <row r="715" spans="1:7" x14ac:dyDescent="0.3">
      <c r="A715" s="18">
        <v>46062</v>
      </c>
      <c r="B715" s="18" t="s">
        <v>55</v>
      </c>
      <c r="C715" s="18" t="s">
        <v>56</v>
      </c>
      <c r="D715" s="6" t="s">
        <v>306</v>
      </c>
      <c r="E715" s="6" t="s">
        <v>13</v>
      </c>
      <c r="F715" s="6" t="s">
        <v>659</v>
      </c>
      <c r="G715" s="7">
        <v>666</v>
      </c>
    </row>
    <row r="716" spans="1:7" x14ac:dyDescent="0.3">
      <c r="A716" s="18">
        <v>46101</v>
      </c>
      <c r="B716" s="18" t="s">
        <v>55</v>
      </c>
      <c r="C716" s="18" t="s">
        <v>56</v>
      </c>
      <c r="D716" s="6" t="s">
        <v>306</v>
      </c>
      <c r="E716" s="6" t="s">
        <v>57</v>
      </c>
      <c r="F716" s="6" t="s">
        <v>659</v>
      </c>
      <c r="G716" s="7">
        <v>666</v>
      </c>
    </row>
    <row r="717" spans="1:7" x14ac:dyDescent="0.3">
      <c r="A717" s="18">
        <v>46113</v>
      </c>
      <c r="B717" s="18" t="s">
        <v>55</v>
      </c>
      <c r="C717" s="18" t="s">
        <v>56</v>
      </c>
      <c r="D717" s="6" t="s">
        <v>306</v>
      </c>
      <c r="E717" s="6" t="s">
        <v>57</v>
      </c>
      <c r="F717" s="6" t="s">
        <v>659</v>
      </c>
      <c r="G717" s="7">
        <v>666</v>
      </c>
    </row>
    <row r="718" spans="1:7" x14ac:dyDescent="0.3">
      <c r="A718" s="18">
        <v>46192</v>
      </c>
      <c r="B718" s="18" t="s">
        <v>55</v>
      </c>
      <c r="C718" s="18" t="s">
        <v>56</v>
      </c>
      <c r="D718" s="6" t="s">
        <v>306</v>
      </c>
      <c r="E718" s="6" t="s">
        <v>57</v>
      </c>
      <c r="F718" s="6" t="s">
        <v>659</v>
      </c>
      <c r="G718" s="7">
        <v>666</v>
      </c>
    </row>
    <row r="719" spans="1:7" x14ac:dyDescent="0.3">
      <c r="A719" s="18">
        <v>46034</v>
      </c>
      <c r="B719" s="18" t="s">
        <v>51</v>
      </c>
      <c r="C719" s="18" t="s">
        <v>75</v>
      </c>
      <c r="D719" s="6" t="s">
        <v>76</v>
      </c>
      <c r="E719" s="6" t="s">
        <v>50</v>
      </c>
      <c r="F719" s="6" t="s">
        <v>659</v>
      </c>
      <c r="G719" s="7">
        <v>340.97</v>
      </c>
    </row>
    <row r="720" spans="1:7" x14ac:dyDescent="0.3">
      <c r="A720" s="18">
        <v>46034</v>
      </c>
      <c r="B720" s="18" t="s">
        <v>51</v>
      </c>
      <c r="C720" s="18" t="s">
        <v>75</v>
      </c>
      <c r="D720" s="6" t="s">
        <v>76</v>
      </c>
      <c r="E720" s="6" t="s">
        <v>13</v>
      </c>
      <c r="F720" s="6" t="s">
        <v>659</v>
      </c>
      <c r="G720" s="7">
        <v>340.97</v>
      </c>
    </row>
    <row r="721" spans="1:7" x14ac:dyDescent="0.3">
      <c r="A721" s="18">
        <v>46062</v>
      </c>
      <c r="B721" s="18" t="s">
        <v>51</v>
      </c>
      <c r="C721" s="18" t="s">
        <v>75</v>
      </c>
      <c r="D721" s="6" t="s">
        <v>76</v>
      </c>
      <c r="E721" s="6" t="s">
        <v>50</v>
      </c>
      <c r="F721" s="6" t="s">
        <v>659</v>
      </c>
      <c r="G721" s="7">
        <v>224.065</v>
      </c>
    </row>
    <row r="722" spans="1:7" x14ac:dyDescent="0.3">
      <c r="A722" s="18">
        <v>46062</v>
      </c>
      <c r="B722" s="18" t="s">
        <v>51</v>
      </c>
      <c r="C722" s="18" t="s">
        <v>75</v>
      </c>
      <c r="D722" s="6" t="s">
        <v>76</v>
      </c>
      <c r="E722" s="6" t="s">
        <v>13</v>
      </c>
      <c r="F722" s="6" t="s">
        <v>659</v>
      </c>
      <c r="G722" s="7">
        <v>224.065</v>
      </c>
    </row>
    <row r="723" spans="1:7" x14ac:dyDescent="0.3">
      <c r="A723" s="18">
        <v>46090</v>
      </c>
      <c r="B723" s="18" t="s">
        <v>51</v>
      </c>
      <c r="C723" s="18" t="s">
        <v>75</v>
      </c>
      <c r="D723" s="6" t="s">
        <v>76</v>
      </c>
      <c r="E723" s="6" t="s">
        <v>50</v>
      </c>
      <c r="F723" s="6" t="s">
        <v>659</v>
      </c>
      <c r="G723" s="7">
        <v>346.40499999999997</v>
      </c>
    </row>
    <row r="724" spans="1:7" x14ac:dyDescent="0.3">
      <c r="A724" s="18">
        <v>46090</v>
      </c>
      <c r="B724" s="18" t="s">
        <v>51</v>
      </c>
      <c r="C724" s="18" t="s">
        <v>75</v>
      </c>
      <c r="D724" s="6" t="s">
        <v>76</v>
      </c>
      <c r="E724" s="6" t="s">
        <v>13</v>
      </c>
      <c r="F724" s="6" t="s">
        <v>659</v>
      </c>
      <c r="G724" s="7">
        <v>346.40499999999997</v>
      </c>
    </row>
    <row r="725" spans="1:7" x14ac:dyDescent="0.3">
      <c r="A725" s="18">
        <v>46113</v>
      </c>
      <c r="B725" s="18" t="s">
        <v>51</v>
      </c>
      <c r="C725" s="18" t="s">
        <v>75</v>
      </c>
      <c r="D725" s="6" t="s">
        <v>76</v>
      </c>
      <c r="E725" s="6" t="s">
        <v>13</v>
      </c>
      <c r="F725" s="6" t="s">
        <v>659</v>
      </c>
      <c r="G725" s="7">
        <v>272.57</v>
      </c>
    </row>
    <row r="726" spans="1:7" x14ac:dyDescent="0.3">
      <c r="A726" s="18">
        <v>46113</v>
      </c>
      <c r="B726" s="18" t="s">
        <v>51</v>
      </c>
      <c r="C726" s="18" t="s">
        <v>75</v>
      </c>
      <c r="D726" s="6" t="s">
        <v>76</v>
      </c>
      <c r="E726" s="6" t="s">
        <v>50</v>
      </c>
      <c r="F726" s="6" t="s">
        <v>659</v>
      </c>
      <c r="G726" s="7">
        <v>272.57</v>
      </c>
    </row>
    <row r="727" spans="1:7" x14ac:dyDescent="0.3">
      <c r="A727" s="18">
        <v>46148</v>
      </c>
      <c r="B727" s="18" t="s">
        <v>51</v>
      </c>
      <c r="C727" s="18" t="s">
        <v>75</v>
      </c>
      <c r="D727" s="6" t="s">
        <v>76</v>
      </c>
      <c r="E727" s="6" t="s">
        <v>13</v>
      </c>
      <c r="F727" s="6" t="s">
        <v>659</v>
      </c>
      <c r="G727" s="9">
        <v>203.59</v>
      </c>
    </row>
    <row r="728" spans="1:7" x14ac:dyDescent="0.3">
      <c r="A728" s="18">
        <v>46148</v>
      </c>
      <c r="B728" s="18" t="s">
        <v>51</v>
      </c>
      <c r="C728" s="18" t="s">
        <v>75</v>
      </c>
      <c r="D728" s="6" t="s">
        <v>76</v>
      </c>
      <c r="E728" s="6" t="s">
        <v>50</v>
      </c>
      <c r="F728" s="6" t="s">
        <v>659</v>
      </c>
      <c r="G728" s="9">
        <v>203.59</v>
      </c>
    </row>
    <row r="729" spans="1:7" x14ac:dyDescent="0.3">
      <c r="A729" s="18">
        <v>46181</v>
      </c>
      <c r="B729" s="18" t="s">
        <v>51</v>
      </c>
      <c r="C729" s="18" t="s">
        <v>75</v>
      </c>
      <c r="D729" s="6" t="s">
        <v>76</v>
      </c>
      <c r="E729" s="6" t="s">
        <v>50</v>
      </c>
      <c r="F729" s="6" t="s">
        <v>659</v>
      </c>
      <c r="G729" s="9">
        <v>396.23</v>
      </c>
    </row>
    <row r="730" spans="1:7" x14ac:dyDescent="0.3">
      <c r="A730" s="18">
        <v>46181</v>
      </c>
      <c r="B730" s="18" t="s">
        <v>51</v>
      </c>
      <c r="C730" s="18" t="s">
        <v>75</v>
      </c>
      <c r="D730" s="6" t="s">
        <v>76</v>
      </c>
      <c r="E730" s="6" t="s">
        <v>13</v>
      </c>
      <c r="F730" s="6" t="s">
        <v>659</v>
      </c>
      <c r="G730" s="9">
        <v>396.23</v>
      </c>
    </row>
    <row r="731" spans="1:7" x14ac:dyDescent="0.3">
      <c r="A731" s="18">
        <v>46034</v>
      </c>
      <c r="B731" s="18" t="s">
        <v>51</v>
      </c>
      <c r="C731" s="18" t="s">
        <v>75</v>
      </c>
      <c r="D731" s="6" t="s">
        <v>11</v>
      </c>
      <c r="E731" s="6" t="s">
        <v>50</v>
      </c>
      <c r="F731" s="6" t="s">
        <v>659</v>
      </c>
      <c r="G731" s="7">
        <v>632</v>
      </c>
    </row>
    <row r="732" spans="1:7" x14ac:dyDescent="0.3">
      <c r="A732" s="18">
        <v>46035</v>
      </c>
      <c r="B732" s="18" t="s">
        <v>51</v>
      </c>
      <c r="C732" s="18" t="s">
        <v>75</v>
      </c>
      <c r="D732" s="6" t="s">
        <v>11</v>
      </c>
      <c r="E732" s="6" t="s">
        <v>57</v>
      </c>
      <c r="F732" s="6" t="s">
        <v>659</v>
      </c>
      <c r="G732" s="7">
        <v>632</v>
      </c>
    </row>
    <row r="733" spans="1:7" x14ac:dyDescent="0.3">
      <c r="A733" s="18">
        <v>46036</v>
      </c>
      <c r="B733" s="18" t="s">
        <v>51</v>
      </c>
      <c r="C733" s="18" t="s">
        <v>75</v>
      </c>
      <c r="D733" s="6" t="s">
        <v>11</v>
      </c>
      <c r="E733" s="6" t="s">
        <v>42</v>
      </c>
      <c r="F733" s="6" t="s">
        <v>659</v>
      </c>
      <c r="G733" s="7">
        <v>632</v>
      </c>
    </row>
    <row r="734" spans="1:7" x14ac:dyDescent="0.3">
      <c r="A734" s="18">
        <v>46037</v>
      </c>
      <c r="B734" s="18" t="s">
        <v>51</v>
      </c>
      <c r="C734" s="18" t="s">
        <v>75</v>
      </c>
      <c r="D734" s="6" t="s">
        <v>11</v>
      </c>
      <c r="E734" s="6" t="s">
        <v>13</v>
      </c>
      <c r="F734" s="6" t="s">
        <v>659</v>
      </c>
      <c r="G734" s="7">
        <v>632</v>
      </c>
    </row>
    <row r="735" spans="1:7" x14ac:dyDescent="0.3">
      <c r="A735" s="18">
        <v>46059</v>
      </c>
      <c r="B735" s="18" t="s">
        <v>51</v>
      </c>
      <c r="C735" s="18" t="s">
        <v>75</v>
      </c>
      <c r="D735" s="6" t="s">
        <v>11</v>
      </c>
      <c r="E735" s="6" t="s">
        <v>57</v>
      </c>
      <c r="F735" s="6" t="s">
        <v>659</v>
      </c>
      <c r="G735" s="7">
        <v>632</v>
      </c>
    </row>
    <row r="736" spans="1:7" x14ac:dyDescent="0.3">
      <c r="A736" s="18">
        <v>46063</v>
      </c>
      <c r="B736" s="18" t="s">
        <v>51</v>
      </c>
      <c r="C736" s="18" t="s">
        <v>75</v>
      </c>
      <c r="D736" s="6" t="s">
        <v>11</v>
      </c>
      <c r="E736" s="6" t="s">
        <v>42</v>
      </c>
      <c r="F736" s="6" t="s">
        <v>659</v>
      </c>
      <c r="G736" s="7">
        <v>632</v>
      </c>
    </row>
    <row r="737" spans="1:7" x14ac:dyDescent="0.3">
      <c r="A737" s="18">
        <v>46063</v>
      </c>
      <c r="B737" s="18" t="s">
        <v>51</v>
      </c>
      <c r="C737" s="18" t="s">
        <v>75</v>
      </c>
      <c r="D737" s="6" t="s">
        <v>11</v>
      </c>
      <c r="E737" s="6" t="s">
        <v>241</v>
      </c>
      <c r="F737" s="6" t="s">
        <v>659</v>
      </c>
      <c r="G737" s="7">
        <v>632</v>
      </c>
    </row>
    <row r="738" spans="1:7" x14ac:dyDescent="0.3">
      <c r="A738" s="18">
        <v>46063</v>
      </c>
      <c r="B738" s="18" t="s">
        <v>51</v>
      </c>
      <c r="C738" s="18" t="s">
        <v>75</v>
      </c>
      <c r="D738" s="6" t="s">
        <v>11</v>
      </c>
      <c r="E738" s="6" t="s">
        <v>13</v>
      </c>
      <c r="F738" s="6" t="s">
        <v>659</v>
      </c>
      <c r="G738" s="7">
        <v>632</v>
      </c>
    </row>
    <row r="739" spans="1:7" x14ac:dyDescent="0.3">
      <c r="A739" s="18">
        <v>46091</v>
      </c>
      <c r="B739" s="18" t="s">
        <v>51</v>
      </c>
      <c r="C739" s="18" t="s">
        <v>75</v>
      </c>
      <c r="D739" s="6" t="s">
        <v>11</v>
      </c>
      <c r="E739" s="6" t="s">
        <v>50</v>
      </c>
      <c r="F739" s="6" t="s">
        <v>659</v>
      </c>
      <c r="G739" s="7">
        <v>632</v>
      </c>
    </row>
    <row r="740" spans="1:7" x14ac:dyDescent="0.3">
      <c r="A740" s="18">
        <v>46091</v>
      </c>
      <c r="B740" s="18" t="s">
        <v>51</v>
      </c>
      <c r="C740" s="18" t="s">
        <v>75</v>
      </c>
      <c r="D740" s="6" t="s">
        <v>11</v>
      </c>
      <c r="E740" s="6" t="s">
        <v>42</v>
      </c>
      <c r="F740" s="6" t="s">
        <v>659</v>
      </c>
      <c r="G740" s="7">
        <v>632</v>
      </c>
    </row>
    <row r="741" spans="1:7" x14ac:dyDescent="0.3">
      <c r="A741" s="18">
        <v>46091</v>
      </c>
      <c r="B741" s="18" t="s">
        <v>51</v>
      </c>
      <c r="C741" s="18" t="s">
        <v>75</v>
      </c>
      <c r="D741" s="6" t="s">
        <v>11</v>
      </c>
      <c r="E741" s="6" t="s">
        <v>57</v>
      </c>
      <c r="F741" s="6" t="s">
        <v>659</v>
      </c>
      <c r="G741" s="7">
        <v>632</v>
      </c>
    </row>
    <row r="742" spans="1:7" x14ac:dyDescent="0.3">
      <c r="A742" s="18">
        <v>46091</v>
      </c>
      <c r="B742" s="18" t="s">
        <v>51</v>
      </c>
      <c r="C742" s="18" t="s">
        <v>75</v>
      </c>
      <c r="D742" s="6" t="s">
        <v>11</v>
      </c>
      <c r="E742" s="6" t="s">
        <v>13</v>
      </c>
      <c r="F742" s="6" t="s">
        <v>659</v>
      </c>
      <c r="G742" s="7">
        <v>632</v>
      </c>
    </row>
    <row r="743" spans="1:7" x14ac:dyDescent="0.3">
      <c r="A743" s="18">
        <v>46113</v>
      </c>
      <c r="B743" s="18" t="s">
        <v>51</v>
      </c>
      <c r="C743" s="18" t="s">
        <v>75</v>
      </c>
      <c r="D743" s="6" t="s">
        <v>11</v>
      </c>
      <c r="E743" s="6" t="s">
        <v>57</v>
      </c>
      <c r="F743" s="6" t="s">
        <v>659</v>
      </c>
      <c r="G743" s="7">
        <v>632</v>
      </c>
    </row>
    <row r="744" spans="1:7" x14ac:dyDescent="0.3">
      <c r="A744" s="18">
        <v>46113</v>
      </c>
      <c r="B744" s="18" t="s">
        <v>51</v>
      </c>
      <c r="C744" s="18" t="s">
        <v>75</v>
      </c>
      <c r="D744" s="6" t="s">
        <v>11</v>
      </c>
      <c r="E744" s="6" t="s">
        <v>42</v>
      </c>
      <c r="F744" s="6" t="s">
        <v>659</v>
      </c>
      <c r="G744" s="7">
        <v>632</v>
      </c>
    </row>
    <row r="745" spans="1:7" x14ac:dyDescent="0.3">
      <c r="A745" s="18">
        <v>46113</v>
      </c>
      <c r="B745" s="18" t="s">
        <v>51</v>
      </c>
      <c r="C745" s="18" t="s">
        <v>75</v>
      </c>
      <c r="D745" s="6" t="s">
        <v>11</v>
      </c>
      <c r="E745" s="6" t="s">
        <v>13</v>
      </c>
      <c r="F745" s="6" t="s">
        <v>659</v>
      </c>
      <c r="G745" s="7">
        <v>632</v>
      </c>
    </row>
    <row r="746" spans="1:7" x14ac:dyDescent="0.3">
      <c r="A746" s="18">
        <v>46113</v>
      </c>
      <c r="B746" s="18" t="s">
        <v>51</v>
      </c>
      <c r="C746" s="18" t="s">
        <v>75</v>
      </c>
      <c r="D746" s="6" t="s">
        <v>11</v>
      </c>
      <c r="E746" s="6" t="s">
        <v>50</v>
      </c>
      <c r="F746" s="6" t="s">
        <v>659</v>
      </c>
      <c r="G746" s="7">
        <v>632</v>
      </c>
    </row>
    <row r="747" spans="1:7" x14ac:dyDescent="0.3">
      <c r="A747" s="18">
        <v>46150</v>
      </c>
      <c r="B747" s="18" t="s">
        <v>51</v>
      </c>
      <c r="C747" s="18" t="s">
        <v>75</v>
      </c>
      <c r="D747" s="34" t="s">
        <v>11</v>
      </c>
      <c r="E747" s="34" t="s">
        <v>57</v>
      </c>
      <c r="F747" s="6" t="s">
        <v>659</v>
      </c>
      <c r="G747" s="35">
        <v>632</v>
      </c>
    </row>
    <row r="748" spans="1:7" x14ac:dyDescent="0.3">
      <c r="A748" s="18">
        <v>46150</v>
      </c>
      <c r="B748" s="18" t="s">
        <v>51</v>
      </c>
      <c r="C748" s="18" t="s">
        <v>75</v>
      </c>
      <c r="D748" s="34" t="s">
        <v>11</v>
      </c>
      <c r="E748" s="34" t="s">
        <v>42</v>
      </c>
      <c r="F748" s="6" t="s">
        <v>659</v>
      </c>
      <c r="G748" s="35">
        <v>632</v>
      </c>
    </row>
    <row r="749" spans="1:7" x14ac:dyDescent="0.3">
      <c r="A749" s="18">
        <v>46150</v>
      </c>
      <c r="B749" s="18" t="s">
        <v>51</v>
      </c>
      <c r="C749" s="18" t="s">
        <v>75</v>
      </c>
      <c r="D749" s="34" t="s">
        <v>11</v>
      </c>
      <c r="E749" s="34" t="s">
        <v>50</v>
      </c>
      <c r="F749" s="6" t="s">
        <v>659</v>
      </c>
      <c r="G749" s="35">
        <v>632</v>
      </c>
    </row>
    <row r="750" spans="1:7" x14ac:dyDescent="0.3">
      <c r="A750" s="18">
        <v>46150</v>
      </c>
      <c r="B750" s="18" t="s">
        <v>51</v>
      </c>
      <c r="C750" s="18" t="s">
        <v>75</v>
      </c>
      <c r="D750" s="34" t="s">
        <v>11</v>
      </c>
      <c r="E750" s="34" t="s">
        <v>13</v>
      </c>
      <c r="F750" s="6" t="s">
        <v>659</v>
      </c>
      <c r="G750" s="35">
        <v>632</v>
      </c>
    </row>
    <row r="751" spans="1:7" x14ac:dyDescent="0.3">
      <c r="A751" s="18">
        <v>46183</v>
      </c>
      <c r="B751" s="18" t="s">
        <v>51</v>
      </c>
      <c r="C751" s="18" t="s">
        <v>75</v>
      </c>
      <c r="D751" s="34" t="s">
        <v>11</v>
      </c>
      <c r="E751" s="34" t="s">
        <v>57</v>
      </c>
      <c r="F751" s="6" t="s">
        <v>659</v>
      </c>
      <c r="G751" s="35">
        <v>632</v>
      </c>
    </row>
    <row r="752" spans="1:7" x14ac:dyDescent="0.3">
      <c r="A752" s="18">
        <v>46183</v>
      </c>
      <c r="B752" s="18" t="s">
        <v>51</v>
      </c>
      <c r="C752" s="18" t="s">
        <v>75</v>
      </c>
      <c r="D752" s="34" t="s">
        <v>11</v>
      </c>
      <c r="E752" s="34" t="s">
        <v>42</v>
      </c>
      <c r="F752" s="6" t="s">
        <v>659</v>
      </c>
      <c r="G752" s="35">
        <v>632</v>
      </c>
    </row>
    <row r="753" spans="1:7" x14ac:dyDescent="0.3">
      <c r="A753" s="18">
        <v>46183</v>
      </c>
      <c r="B753" s="18" t="s">
        <v>51</v>
      </c>
      <c r="C753" s="18" t="s">
        <v>75</v>
      </c>
      <c r="D753" s="34" t="s">
        <v>11</v>
      </c>
      <c r="E753" s="34" t="s">
        <v>13</v>
      </c>
      <c r="F753" s="6" t="s">
        <v>659</v>
      </c>
      <c r="G753" s="35">
        <v>632</v>
      </c>
    </row>
    <row r="754" spans="1:7" x14ac:dyDescent="0.3">
      <c r="A754" s="18">
        <v>46183</v>
      </c>
      <c r="B754" s="18" t="s">
        <v>51</v>
      </c>
      <c r="C754" s="18" t="s">
        <v>75</v>
      </c>
      <c r="D754" s="34" t="s">
        <v>11</v>
      </c>
      <c r="E754" s="34" t="s">
        <v>50</v>
      </c>
      <c r="F754" s="6" t="s">
        <v>659</v>
      </c>
      <c r="G754" s="35">
        <v>632</v>
      </c>
    </row>
    <row r="755" spans="1:7" x14ac:dyDescent="0.3">
      <c r="A755" s="18">
        <v>46077</v>
      </c>
      <c r="B755" s="18" t="s">
        <v>51</v>
      </c>
      <c r="C755" s="18" t="s">
        <v>645</v>
      </c>
      <c r="D755" s="6" t="s">
        <v>510</v>
      </c>
      <c r="E755" s="6" t="s">
        <v>47</v>
      </c>
      <c r="F755" s="6" t="s">
        <v>656</v>
      </c>
      <c r="G755" s="7">
        <v>228</v>
      </c>
    </row>
    <row r="756" spans="1:7" x14ac:dyDescent="0.3">
      <c r="A756" s="18">
        <v>46090</v>
      </c>
      <c r="B756" s="18" t="s">
        <v>51</v>
      </c>
      <c r="C756" s="18" t="s">
        <v>645</v>
      </c>
      <c r="D756" s="6" t="s">
        <v>544</v>
      </c>
      <c r="E756" s="6" t="s">
        <v>42</v>
      </c>
      <c r="F756" s="6" t="s">
        <v>656</v>
      </c>
      <c r="G756" s="7">
        <v>69</v>
      </c>
    </row>
    <row r="757" spans="1:7" x14ac:dyDescent="0.3">
      <c r="A757" s="18">
        <v>46191</v>
      </c>
      <c r="B757" s="18" t="s">
        <v>51</v>
      </c>
      <c r="C757" s="18" t="s">
        <v>645</v>
      </c>
      <c r="D757" s="6" t="s">
        <v>731</v>
      </c>
      <c r="E757" s="6" t="s">
        <v>47</v>
      </c>
      <c r="F757" s="6" t="s">
        <v>656</v>
      </c>
      <c r="G757" s="7">
        <v>267.98</v>
      </c>
    </row>
    <row r="758" spans="1:7" x14ac:dyDescent="0.3">
      <c r="A758" s="18">
        <v>46079</v>
      </c>
      <c r="B758" s="18" t="s">
        <v>51</v>
      </c>
      <c r="C758" s="18" t="s">
        <v>645</v>
      </c>
      <c r="D758" s="6" t="s">
        <v>512</v>
      </c>
      <c r="E758" s="6" t="s">
        <v>57</v>
      </c>
      <c r="F758" s="6" t="s">
        <v>656</v>
      </c>
      <c r="G758" s="7">
        <v>59.05</v>
      </c>
    </row>
    <row r="759" spans="1:7" x14ac:dyDescent="0.3">
      <c r="A759" s="18">
        <v>46040</v>
      </c>
      <c r="B759" s="18" t="s">
        <v>51</v>
      </c>
      <c r="C759" s="18" t="s">
        <v>645</v>
      </c>
      <c r="D759" s="6" t="s">
        <v>403</v>
      </c>
      <c r="E759" s="6" t="s">
        <v>47</v>
      </c>
      <c r="F759" s="6" t="s">
        <v>656</v>
      </c>
      <c r="G759" s="7">
        <v>20</v>
      </c>
    </row>
    <row r="760" spans="1:7" x14ac:dyDescent="0.3">
      <c r="A760" s="18">
        <v>46113</v>
      </c>
      <c r="B760" s="18" t="s">
        <v>51</v>
      </c>
      <c r="C760" s="18" t="s">
        <v>645</v>
      </c>
      <c r="D760" s="6" t="s">
        <v>751</v>
      </c>
      <c r="E760" s="6" t="s">
        <v>47</v>
      </c>
      <c r="F760" s="6" t="s">
        <v>656</v>
      </c>
      <c r="G760" s="7">
        <v>365.02</v>
      </c>
    </row>
    <row r="761" spans="1:7" x14ac:dyDescent="0.3">
      <c r="A761" s="18">
        <v>46113</v>
      </c>
      <c r="B761" s="18" t="s">
        <v>51</v>
      </c>
      <c r="C761" s="18" t="s">
        <v>645</v>
      </c>
      <c r="D761" s="6" t="s">
        <v>751</v>
      </c>
      <c r="E761" s="6" t="s">
        <v>47</v>
      </c>
      <c r="F761" s="6" t="s">
        <v>656</v>
      </c>
      <c r="G761" s="7">
        <v>81.81</v>
      </c>
    </row>
    <row r="762" spans="1:7" x14ac:dyDescent="0.3">
      <c r="A762" s="18">
        <v>46148</v>
      </c>
      <c r="B762" s="18" t="s">
        <v>51</v>
      </c>
      <c r="C762" s="18" t="s">
        <v>645</v>
      </c>
      <c r="D762" s="6" t="s">
        <v>881</v>
      </c>
      <c r="E762" s="6" t="s">
        <v>47</v>
      </c>
      <c r="F762" s="6" t="s">
        <v>656</v>
      </c>
      <c r="G762" s="7">
        <v>46.41</v>
      </c>
    </row>
    <row r="763" spans="1:7" x14ac:dyDescent="0.3">
      <c r="A763" s="18">
        <v>46113</v>
      </c>
      <c r="B763" s="18" t="s">
        <v>51</v>
      </c>
      <c r="C763" s="18" t="s">
        <v>645</v>
      </c>
      <c r="D763" s="6" t="s">
        <v>768</v>
      </c>
      <c r="E763" s="6" t="s">
        <v>57</v>
      </c>
      <c r="F763" s="6" t="s">
        <v>656</v>
      </c>
      <c r="G763" s="7">
        <v>253.69</v>
      </c>
    </row>
    <row r="764" spans="1:7" x14ac:dyDescent="0.3">
      <c r="A764" s="18">
        <v>46113</v>
      </c>
      <c r="B764" s="18" t="s">
        <v>51</v>
      </c>
      <c r="C764" s="18" t="s">
        <v>645</v>
      </c>
      <c r="D764" s="6" t="s">
        <v>753</v>
      </c>
      <c r="E764" s="6" t="s">
        <v>47</v>
      </c>
      <c r="F764" s="6" t="s">
        <v>656</v>
      </c>
      <c r="G764" s="7">
        <v>190</v>
      </c>
    </row>
    <row r="765" spans="1:7" x14ac:dyDescent="0.3">
      <c r="A765" s="18">
        <v>46024</v>
      </c>
      <c r="B765" s="18" t="s">
        <v>51</v>
      </c>
      <c r="C765" s="18" t="s">
        <v>645</v>
      </c>
      <c r="D765" s="6" t="s">
        <v>318</v>
      </c>
      <c r="E765" s="6" t="s">
        <v>47</v>
      </c>
      <c r="F765" s="6" t="s">
        <v>656</v>
      </c>
      <c r="G765" s="7">
        <v>99.9</v>
      </c>
    </row>
    <row r="766" spans="1:7" x14ac:dyDescent="0.3">
      <c r="A766" s="18">
        <v>46025</v>
      </c>
      <c r="B766" s="18" t="s">
        <v>51</v>
      </c>
      <c r="C766" s="18" t="s">
        <v>645</v>
      </c>
      <c r="D766" s="6" t="s">
        <v>318</v>
      </c>
      <c r="E766" s="6" t="s">
        <v>47</v>
      </c>
      <c r="F766" s="6" t="s">
        <v>656</v>
      </c>
      <c r="G766" s="7">
        <v>44.8</v>
      </c>
    </row>
    <row r="767" spans="1:7" x14ac:dyDescent="0.3">
      <c r="A767" s="18">
        <v>46027</v>
      </c>
      <c r="B767" s="18" t="s">
        <v>51</v>
      </c>
      <c r="C767" s="18" t="s">
        <v>645</v>
      </c>
      <c r="D767" s="6" t="s">
        <v>318</v>
      </c>
      <c r="E767" s="6" t="s">
        <v>47</v>
      </c>
      <c r="F767" s="6" t="s">
        <v>656</v>
      </c>
      <c r="G767" s="7">
        <v>69.900000000000006</v>
      </c>
    </row>
    <row r="768" spans="1:7" x14ac:dyDescent="0.3">
      <c r="A768" s="18">
        <v>46029</v>
      </c>
      <c r="B768" s="18" t="s">
        <v>51</v>
      </c>
      <c r="C768" s="18" t="s">
        <v>645</v>
      </c>
      <c r="D768" s="6" t="s">
        <v>318</v>
      </c>
      <c r="E768" s="6" t="s">
        <v>47</v>
      </c>
      <c r="F768" s="6" t="s">
        <v>656</v>
      </c>
      <c r="G768" s="7">
        <v>19.899999999999999</v>
      </c>
    </row>
    <row r="769" spans="1:7" x14ac:dyDescent="0.3">
      <c r="A769" s="18">
        <v>46031</v>
      </c>
      <c r="B769" s="18" t="s">
        <v>51</v>
      </c>
      <c r="C769" s="18" t="s">
        <v>645</v>
      </c>
      <c r="D769" s="6" t="s">
        <v>318</v>
      </c>
      <c r="E769" s="6" t="s">
        <v>47</v>
      </c>
      <c r="F769" s="6" t="s">
        <v>656</v>
      </c>
      <c r="G769" s="7">
        <v>39.9</v>
      </c>
    </row>
    <row r="770" spans="1:7" x14ac:dyDescent="0.3">
      <c r="A770" s="18">
        <v>46032</v>
      </c>
      <c r="B770" s="18" t="s">
        <v>51</v>
      </c>
      <c r="C770" s="18" t="s">
        <v>645</v>
      </c>
      <c r="D770" s="6" t="s">
        <v>318</v>
      </c>
      <c r="E770" s="6" t="s">
        <v>47</v>
      </c>
      <c r="F770" s="6" t="s">
        <v>656</v>
      </c>
      <c r="G770" s="7">
        <v>99.9</v>
      </c>
    </row>
    <row r="771" spans="1:7" x14ac:dyDescent="0.3">
      <c r="A771" s="18">
        <v>46033</v>
      </c>
      <c r="B771" s="18" t="s">
        <v>51</v>
      </c>
      <c r="C771" s="18" t="s">
        <v>645</v>
      </c>
      <c r="D771" s="6" t="s">
        <v>318</v>
      </c>
      <c r="E771" s="6" t="s">
        <v>47</v>
      </c>
      <c r="F771" s="6" t="s">
        <v>656</v>
      </c>
      <c r="G771" s="7">
        <v>199.9</v>
      </c>
    </row>
    <row r="772" spans="1:7" x14ac:dyDescent="0.3">
      <c r="A772" s="18">
        <v>46034</v>
      </c>
      <c r="B772" s="18" t="s">
        <v>51</v>
      </c>
      <c r="C772" s="18" t="s">
        <v>645</v>
      </c>
      <c r="D772" s="6" t="s">
        <v>318</v>
      </c>
      <c r="E772" s="6" t="s">
        <v>47</v>
      </c>
      <c r="F772" s="6" t="s">
        <v>656</v>
      </c>
      <c r="G772" s="7">
        <v>49.9</v>
      </c>
    </row>
    <row r="773" spans="1:7" x14ac:dyDescent="0.3">
      <c r="A773" s="18">
        <v>46036</v>
      </c>
      <c r="B773" s="18" t="s">
        <v>51</v>
      </c>
      <c r="C773" s="18" t="s">
        <v>645</v>
      </c>
      <c r="D773" s="6" t="s">
        <v>318</v>
      </c>
      <c r="E773" s="6" t="s">
        <v>47</v>
      </c>
      <c r="F773" s="6" t="s">
        <v>656</v>
      </c>
      <c r="G773" s="7">
        <v>66.900000000000006</v>
      </c>
    </row>
    <row r="774" spans="1:7" x14ac:dyDescent="0.3">
      <c r="A774" s="18">
        <v>46037</v>
      </c>
      <c r="B774" s="18" t="s">
        <v>51</v>
      </c>
      <c r="C774" s="18" t="s">
        <v>645</v>
      </c>
      <c r="D774" s="6" t="s">
        <v>318</v>
      </c>
      <c r="E774" s="6" t="s">
        <v>47</v>
      </c>
      <c r="F774" s="6" t="s">
        <v>656</v>
      </c>
      <c r="G774" s="7">
        <v>59.9</v>
      </c>
    </row>
    <row r="775" spans="1:7" x14ac:dyDescent="0.3">
      <c r="A775" s="18">
        <v>46041</v>
      </c>
      <c r="B775" s="18" t="s">
        <v>51</v>
      </c>
      <c r="C775" s="18" t="s">
        <v>645</v>
      </c>
      <c r="D775" s="6" t="s">
        <v>318</v>
      </c>
      <c r="E775" s="6" t="s">
        <v>47</v>
      </c>
      <c r="F775" s="6" t="s">
        <v>656</v>
      </c>
      <c r="G775" s="7">
        <v>11</v>
      </c>
    </row>
    <row r="776" spans="1:7" x14ac:dyDescent="0.3">
      <c r="A776" s="18">
        <v>46044</v>
      </c>
      <c r="B776" s="18" t="s">
        <v>51</v>
      </c>
      <c r="C776" s="18" t="s">
        <v>645</v>
      </c>
      <c r="D776" s="6" t="s">
        <v>318</v>
      </c>
      <c r="E776" s="6" t="s">
        <v>47</v>
      </c>
      <c r="F776" s="6" t="s">
        <v>656</v>
      </c>
      <c r="G776" s="7">
        <v>44.9</v>
      </c>
    </row>
    <row r="777" spans="1:7" x14ac:dyDescent="0.3">
      <c r="A777" s="18">
        <v>46045</v>
      </c>
      <c r="B777" s="18" t="s">
        <v>51</v>
      </c>
      <c r="C777" s="18" t="s">
        <v>645</v>
      </c>
      <c r="D777" s="6" t="s">
        <v>318</v>
      </c>
      <c r="E777" s="6" t="s">
        <v>47</v>
      </c>
      <c r="F777" s="6" t="s">
        <v>656</v>
      </c>
      <c r="G777" s="7">
        <v>27.9</v>
      </c>
    </row>
    <row r="778" spans="1:7" x14ac:dyDescent="0.3">
      <c r="A778" s="18">
        <v>46046</v>
      </c>
      <c r="B778" s="18" t="s">
        <v>51</v>
      </c>
      <c r="C778" s="18" t="s">
        <v>645</v>
      </c>
      <c r="D778" s="6" t="s">
        <v>318</v>
      </c>
      <c r="E778" s="6" t="s">
        <v>47</v>
      </c>
      <c r="F778" s="6" t="s">
        <v>656</v>
      </c>
      <c r="G778" s="7">
        <v>66.900000000000006</v>
      </c>
    </row>
    <row r="779" spans="1:7" x14ac:dyDescent="0.3">
      <c r="A779" s="18">
        <v>46050</v>
      </c>
      <c r="B779" s="18" t="s">
        <v>51</v>
      </c>
      <c r="C779" s="18" t="s">
        <v>645</v>
      </c>
      <c r="D779" s="6" t="s">
        <v>318</v>
      </c>
      <c r="E779" s="6" t="s">
        <v>47</v>
      </c>
      <c r="F779" s="6" t="s">
        <v>656</v>
      </c>
      <c r="G779" s="7">
        <v>66.900000000000006</v>
      </c>
    </row>
    <row r="780" spans="1:7" x14ac:dyDescent="0.3">
      <c r="A780" s="18">
        <v>46055</v>
      </c>
      <c r="B780" s="18" t="s">
        <v>51</v>
      </c>
      <c r="C780" s="18" t="s">
        <v>645</v>
      </c>
      <c r="D780" s="6" t="s">
        <v>318</v>
      </c>
      <c r="E780" s="6" t="s">
        <v>47</v>
      </c>
      <c r="F780" s="6" t="s">
        <v>656</v>
      </c>
      <c r="G780" s="7">
        <v>99.9</v>
      </c>
    </row>
    <row r="781" spans="1:7" x14ac:dyDescent="0.3">
      <c r="A781" s="18">
        <v>46056</v>
      </c>
      <c r="B781" s="18" t="s">
        <v>51</v>
      </c>
      <c r="C781" s="18" t="s">
        <v>645</v>
      </c>
      <c r="D781" s="6" t="s">
        <v>318</v>
      </c>
      <c r="E781" s="6" t="s">
        <v>47</v>
      </c>
      <c r="F781" s="6" t="s">
        <v>656</v>
      </c>
      <c r="G781" s="7">
        <v>44.8</v>
      </c>
    </row>
    <row r="782" spans="1:7" x14ac:dyDescent="0.3">
      <c r="A782" s="18">
        <v>46058</v>
      </c>
      <c r="B782" s="18" t="s">
        <v>51</v>
      </c>
      <c r="C782" s="18" t="s">
        <v>645</v>
      </c>
      <c r="D782" s="6" t="s">
        <v>318</v>
      </c>
      <c r="E782" s="6" t="s">
        <v>47</v>
      </c>
      <c r="F782" s="6" t="s">
        <v>656</v>
      </c>
      <c r="G782" s="7">
        <v>69.900000000000006</v>
      </c>
    </row>
    <row r="783" spans="1:7" x14ac:dyDescent="0.3">
      <c r="A783" s="18">
        <v>46060</v>
      </c>
      <c r="B783" s="18" t="s">
        <v>51</v>
      </c>
      <c r="C783" s="18" t="s">
        <v>645</v>
      </c>
      <c r="D783" s="6" t="s">
        <v>318</v>
      </c>
      <c r="E783" s="6" t="s">
        <v>47</v>
      </c>
      <c r="F783" s="6" t="s">
        <v>656</v>
      </c>
      <c r="G783" s="7">
        <v>19.899999999999999</v>
      </c>
    </row>
    <row r="784" spans="1:7" x14ac:dyDescent="0.3">
      <c r="A784" s="18">
        <v>46062</v>
      </c>
      <c r="B784" s="18" t="s">
        <v>51</v>
      </c>
      <c r="C784" s="18" t="s">
        <v>645</v>
      </c>
      <c r="D784" s="6" t="s">
        <v>318</v>
      </c>
      <c r="E784" s="6" t="s">
        <v>47</v>
      </c>
      <c r="F784" s="6" t="s">
        <v>656</v>
      </c>
      <c r="G784" s="7">
        <v>39.9</v>
      </c>
    </row>
    <row r="785" spans="1:7" x14ac:dyDescent="0.3">
      <c r="A785" s="18">
        <v>46063</v>
      </c>
      <c r="B785" s="18" t="s">
        <v>51</v>
      </c>
      <c r="C785" s="18" t="s">
        <v>645</v>
      </c>
      <c r="D785" s="6" t="s">
        <v>318</v>
      </c>
      <c r="E785" s="6" t="s">
        <v>47</v>
      </c>
      <c r="F785" s="6" t="s">
        <v>656</v>
      </c>
      <c r="G785" s="7">
        <v>99.9</v>
      </c>
    </row>
    <row r="786" spans="1:7" x14ac:dyDescent="0.3">
      <c r="A786" s="18">
        <v>46064</v>
      </c>
      <c r="B786" s="18" t="s">
        <v>51</v>
      </c>
      <c r="C786" s="18" t="s">
        <v>645</v>
      </c>
      <c r="D786" s="6" t="s">
        <v>318</v>
      </c>
      <c r="E786" s="6" t="s">
        <v>47</v>
      </c>
      <c r="F786" s="6" t="s">
        <v>656</v>
      </c>
      <c r="G786" s="7">
        <v>199.9</v>
      </c>
    </row>
    <row r="787" spans="1:7" x14ac:dyDescent="0.3">
      <c r="A787" s="18">
        <v>46065</v>
      </c>
      <c r="B787" s="18" t="s">
        <v>51</v>
      </c>
      <c r="C787" s="18" t="s">
        <v>645</v>
      </c>
      <c r="D787" s="6" t="s">
        <v>318</v>
      </c>
      <c r="E787" s="6" t="s">
        <v>47</v>
      </c>
      <c r="F787" s="6" t="s">
        <v>656</v>
      </c>
      <c r="G787" s="7">
        <v>49.9</v>
      </c>
    </row>
    <row r="788" spans="1:7" x14ac:dyDescent="0.3">
      <c r="A788" s="18">
        <v>46067</v>
      </c>
      <c r="B788" s="18" t="s">
        <v>51</v>
      </c>
      <c r="C788" s="18" t="s">
        <v>645</v>
      </c>
      <c r="D788" s="6" t="s">
        <v>318</v>
      </c>
      <c r="E788" s="6" t="s">
        <v>47</v>
      </c>
      <c r="F788" s="6" t="s">
        <v>656</v>
      </c>
      <c r="G788" s="7">
        <v>66.900000000000006</v>
      </c>
    </row>
    <row r="789" spans="1:7" x14ac:dyDescent="0.3">
      <c r="A789" s="18">
        <v>46068</v>
      </c>
      <c r="B789" s="18" t="s">
        <v>51</v>
      </c>
      <c r="C789" s="18" t="s">
        <v>645</v>
      </c>
      <c r="D789" s="6" t="s">
        <v>318</v>
      </c>
      <c r="E789" s="6" t="s">
        <v>47</v>
      </c>
      <c r="F789" s="6" t="s">
        <v>656</v>
      </c>
      <c r="G789" s="7">
        <v>59.9</v>
      </c>
    </row>
    <row r="790" spans="1:7" x14ac:dyDescent="0.3">
      <c r="A790" s="18">
        <v>46075</v>
      </c>
      <c r="B790" s="18" t="s">
        <v>51</v>
      </c>
      <c r="C790" s="18" t="s">
        <v>645</v>
      </c>
      <c r="D790" s="6" t="s">
        <v>318</v>
      </c>
      <c r="E790" s="6" t="s">
        <v>47</v>
      </c>
      <c r="F790" s="6" t="s">
        <v>656</v>
      </c>
      <c r="G790" s="7">
        <v>44.9</v>
      </c>
    </row>
    <row r="791" spans="1:7" x14ac:dyDescent="0.3">
      <c r="A791" s="18">
        <v>46076</v>
      </c>
      <c r="B791" s="18" t="s">
        <v>51</v>
      </c>
      <c r="C791" s="18" t="s">
        <v>645</v>
      </c>
      <c r="D791" s="6" t="s">
        <v>318</v>
      </c>
      <c r="E791" s="6" t="s">
        <v>47</v>
      </c>
      <c r="F791" s="6" t="s">
        <v>656</v>
      </c>
      <c r="G791" s="7">
        <v>27.9</v>
      </c>
    </row>
    <row r="792" spans="1:7" x14ac:dyDescent="0.3">
      <c r="A792" s="18">
        <v>46077</v>
      </c>
      <c r="B792" s="18" t="s">
        <v>51</v>
      </c>
      <c r="C792" s="18" t="s">
        <v>645</v>
      </c>
      <c r="D792" s="6" t="s">
        <v>318</v>
      </c>
      <c r="E792" s="6" t="s">
        <v>47</v>
      </c>
      <c r="F792" s="6" t="s">
        <v>656</v>
      </c>
      <c r="G792" s="7">
        <v>66.900000000000006</v>
      </c>
    </row>
    <row r="793" spans="1:7" x14ac:dyDescent="0.3">
      <c r="A793" s="18">
        <v>46081</v>
      </c>
      <c r="B793" s="18" t="s">
        <v>51</v>
      </c>
      <c r="C793" s="18" t="s">
        <v>645</v>
      </c>
      <c r="D793" s="6" t="s">
        <v>318</v>
      </c>
      <c r="E793" s="6" t="s">
        <v>47</v>
      </c>
      <c r="F793" s="6" t="s">
        <v>656</v>
      </c>
      <c r="G793" s="7">
        <v>66.900000000000006</v>
      </c>
    </row>
    <row r="794" spans="1:7" x14ac:dyDescent="0.3">
      <c r="A794" s="18">
        <v>46083</v>
      </c>
      <c r="B794" s="18" t="s">
        <v>51</v>
      </c>
      <c r="C794" s="18" t="s">
        <v>645</v>
      </c>
      <c r="D794" s="6" t="s">
        <v>318</v>
      </c>
      <c r="E794" s="6" t="s">
        <v>47</v>
      </c>
      <c r="F794" s="6" t="s">
        <v>656</v>
      </c>
      <c r="G794" s="7">
        <v>99.9</v>
      </c>
    </row>
    <row r="795" spans="1:7" x14ac:dyDescent="0.3">
      <c r="A795" s="18">
        <v>46084</v>
      </c>
      <c r="B795" s="18" t="s">
        <v>51</v>
      </c>
      <c r="C795" s="18" t="s">
        <v>645</v>
      </c>
      <c r="D795" s="6" t="s">
        <v>318</v>
      </c>
      <c r="E795" s="6" t="s">
        <v>47</v>
      </c>
      <c r="F795" s="6" t="s">
        <v>656</v>
      </c>
      <c r="G795" s="7">
        <v>44.8</v>
      </c>
    </row>
    <row r="796" spans="1:7" x14ac:dyDescent="0.3">
      <c r="A796" s="18">
        <v>46086</v>
      </c>
      <c r="B796" s="18" t="s">
        <v>51</v>
      </c>
      <c r="C796" s="18" t="s">
        <v>645</v>
      </c>
      <c r="D796" s="6" t="s">
        <v>318</v>
      </c>
      <c r="E796" s="6" t="s">
        <v>47</v>
      </c>
      <c r="F796" s="6" t="s">
        <v>656</v>
      </c>
      <c r="G796" s="7">
        <v>139.9</v>
      </c>
    </row>
    <row r="797" spans="1:7" x14ac:dyDescent="0.3">
      <c r="A797" s="18">
        <v>46088</v>
      </c>
      <c r="B797" s="18" t="s">
        <v>51</v>
      </c>
      <c r="C797" s="18" t="s">
        <v>645</v>
      </c>
      <c r="D797" s="6" t="s">
        <v>318</v>
      </c>
      <c r="E797" s="6" t="s">
        <v>47</v>
      </c>
      <c r="F797" s="6" t="s">
        <v>656</v>
      </c>
      <c r="G797" s="7">
        <v>19.899999999999999</v>
      </c>
    </row>
    <row r="798" spans="1:7" x14ac:dyDescent="0.3">
      <c r="A798" s="18">
        <v>46090</v>
      </c>
      <c r="B798" s="18" t="s">
        <v>51</v>
      </c>
      <c r="C798" s="18" t="s">
        <v>645</v>
      </c>
      <c r="D798" s="6" t="s">
        <v>318</v>
      </c>
      <c r="E798" s="6" t="s">
        <v>42</v>
      </c>
      <c r="F798" s="6" t="s">
        <v>656</v>
      </c>
      <c r="G798" s="7">
        <v>39.9</v>
      </c>
    </row>
    <row r="799" spans="1:7" x14ac:dyDescent="0.3">
      <c r="A799" s="18">
        <v>46091</v>
      </c>
      <c r="B799" s="18" t="s">
        <v>51</v>
      </c>
      <c r="C799" s="18" t="s">
        <v>645</v>
      </c>
      <c r="D799" s="6" t="s">
        <v>318</v>
      </c>
      <c r="E799" s="6" t="s">
        <v>47</v>
      </c>
      <c r="F799" s="6" t="s">
        <v>656</v>
      </c>
      <c r="G799" s="7">
        <v>99.9</v>
      </c>
    </row>
    <row r="800" spans="1:7" x14ac:dyDescent="0.3">
      <c r="A800" s="18">
        <v>46092</v>
      </c>
      <c r="B800" s="18" t="s">
        <v>51</v>
      </c>
      <c r="C800" s="18" t="s">
        <v>645</v>
      </c>
      <c r="D800" s="6" t="s">
        <v>318</v>
      </c>
      <c r="E800" s="6" t="s">
        <v>47</v>
      </c>
      <c r="F800" s="6" t="s">
        <v>656</v>
      </c>
      <c r="G800" s="7">
        <v>199.9</v>
      </c>
    </row>
    <row r="801" spans="1:7" x14ac:dyDescent="0.3">
      <c r="A801" s="18">
        <v>46093</v>
      </c>
      <c r="B801" s="18" t="s">
        <v>51</v>
      </c>
      <c r="C801" s="18" t="s">
        <v>645</v>
      </c>
      <c r="D801" s="6" t="s">
        <v>318</v>
      </c>
      <c r="E801" s="6" t="s">
        <v>47</v>
      </c>
      <c r="F801" s="6" t="s">
        <v>656</v>
      </c>
      <c r="G801" s="7">
        <v>49.9</v>
      </c>
    </row>
    <row r="802" spans="1:7" x14ac:dyDescent="0.3">
      <c r="A802" s="18">
        <v>46095</v>
      </c>
      <c r="B802" s="18" t="s">
        <v>51</v>
      </c>
      <c r="C802" s="18" t="s">
        <v>645</v>
      </c>
      <c r="D802" s="6" t="s">
        <v>318</v>
      </c>
      <c r="E802" s="6" t="s">
        <v>47</v>
      </c>
      <c r="F802" s="6" t="s">
        <v>656</v>
      </c>
      <c r="G802" s="7">
        <v>66.900000000000006</v>
      </c>
    </row>
    <row r="803" spans="1:7" x14ac:dyDescent="0.3">
      <c r="A803" s="18">
        <v>46096</v>
      </c>
      <c r="B803" s="18" t="s">
        <v>51</v>
      </c>
      <c r="C803" s="18" t="s">
        <v>645</v>
      </c>
      <c r="D803" s="6" t="s">
        <v>318</v>
      </c>
      <c r="E803" s="6" t="s">
        <v>47</v>
      </c>
      <c r="F803" s="6" t="s">
        <v>656</v>
      </c>
      <c r="G803" s="7">
        <v>59.9</v>
      </c>
    </row>
    <row r="804" spans="1:7" x14ac:dyDescent="0.3">
      <c r="A804" s="18">
        <v>46103</v>
      </c>
      <c r="B804" s="18" t="s">
        <v>51</v>
      </c>
      <c r="C804" s="18" t="s">
        <v>645</v>
      </c>
      <c r="D804" s="6" t="s">
        <v>318</v>
      </c>
      <c r="E804" s="6" t="s">
        <v>47</v>
      </c>
      <c r="F804" s="6" t="s">
        <v>656</v>
      </c>
      <c r="G804" s="7">
        <v>44.9</v>
      </c>
    </row>
    <row r="805" spans="1:7" x14ac:dyDescent="0.3">
      <c r="A805" s="18">
        <v>46103</v>
      </c>
      <c r="B805" s="18" t="s">
        <v>51</v>
      </c>
      <c r="C805" s="18" t="s">
        <v>645</v>
      </c>
      <c r="D805" s="6" t="s">
        <v>318</v>
      </c>
      <c r="E805" s="6" t="s">
        <v>47</v>
      </c>
      <c r="F805" s="6" t="s">
        <v>656</v>
      </c>
      <c r="G805" s="7">
        <v>109.9</v>
      </c>
    </row>
    <row r="806" spans="1:7" x14ac:dyDescent="0.3">
      <c r="A806" s="18">
        <v>46104</v>
      </c>
      <c r="B806" s="18" t="s">
        <v>51</v>
      </c>
      <c r="C806" s="18" t="s">
        <v>645</v>
      </c>
      <c r="D806" s="6" t="s">
        <v>318</v>
      </c>
      <c r="E806" s="6" t="s">
        <v>47</v>
      </c>
      <c r="F806" s="6" t="s">
        <v>656</v>
      </c>
      <c r="G806" s="7">
        <v>34.9</v>
      </c>
    </row>
    <row r="807" spans="1:7" x14ac:dyDescent="0.3">
      <c r="A807" s="18">
        <v>46105</v>
      </c>
      <c r="B807" s="18" t="s">
        <v>51</v>
      </c>
      <c r="C807" s="18" t="s">
        <v>645</v>
      </c>
      <c r="D807" s="6" t="s">
        <v>318</v>
      </c>
      <c r="E807" s="6" t="s">
        <v>47</v>
      </c>
      <c r="F807" s="6" t="s">
        <v>656</v>
      </c>
      <c r="G807" s="7">
        <v>66.900000000000006</v>
      </c>
    </row>
    <row r="808" spans="1:7" x14ac:dyDescent="0.3">
      <c r="A808" s="18">
        <v>46109</v>
      </c>
      <c r="B808" s="18" t="s">
        <v>51</v>
      </c>
      <c r="C808" s="18" t="s">
        <v>645</v>
      </c>
      <c r="D808" s="6" t="s">
        <v>318</v>
      </c>
      <c r="E808" s="6" t="s">
        <v>47</v>
      </c>
      <c r="F808" s="6" t="s">
        <v>656</v>
      </c>
      <c r="G808" s="7">
        <v>66.900000000000006</v>
      </c>
    </row>
    <row r="809" spans="1:7" x14ac:dyDescent="0.3">
      <c r="A809" s="18">
        <v>46113</v>
      </c>
      <c r="B809" s="18" t="s">
        <v>51</v>
      </c>
      <c r="C809" s="18" t="s">
        <v>645</v>
      </c>
      <c r="D809" s="6" t="s">
        <v>318</v>
      </c>
      <c r="E809" s="6" t="s">
        <v>47</v>
      </c>
      <c r="F809" s="6" t="s">
        <v>656</v>
      </c>
      <c r="G809" s="7">
        <v>66.900000000000006</v>
      </c>
    </row>
    <row r="810" spans="1:7" x14ac:dyDescent="0.3">
      <c r="A810" s="18">
        <v>46113</v>
      </c>
      <c r="B810" s="18" t="s">
        <v>51</v>
      </c>
      <c r="C810" s="18" t="s">
        <v>645</v>
      </c>
      <c r="D810" s="6" t="s">
        <v>318</v>
      </c>
      <c r="E810" s="6" t="s">
        <v>47</v>
      </c>
      <c r="F810" s="6" t="s">
        <v>656</v>
      </c>
      <c r="G810" s="7">
        <v>59.9</v>
      </c>
    </row>
    <row r="811" spans="1:7" x14ac:dyDescent="0.3">
      <c r="A811" s="18">
        <v>46113</v>
      </c>
      <c r="B811" s="18" t="s">
        <v>51</v>
      </c>
      <c r="C811" s="18" t="s">
        <v>645</v>
      </c>
      <c r="D811" s="6" t="s">
        <v>318</v>
      </c>
      <c r="E811" s="6" t="s">
        <v>47</v>
      </c>
      <c r="F811" s="6" t="s">
        <v>656</v>
      </c>
      <c r="G811" s="7">
        <v>44.9</v>
      </c>
    </row>
    <row r="812" spans="1:7" x14ac:dyDescent="0.3">
      <c r="A812" s="18">
        <v>46113</v>
      </c>
      <c r="B812" s="18" t="s">
        <v>51</v>
      </c>
      <c r="C812" s="18" t="s">
        <v>645</v>
      </c>
      <c r="D812" s="6" t="s">
        <v>318</v>
      </c>
      <c r="E812" s="6" t="s">
        <v>47</v>
      </c>
      <c r="F812" s="6" t="s">
        <v>656</v>
      </c>
      <c r="G812" s="7">
        <v>34.9</v>
      </c>
    </row>
    <row r="813" spans="1:7" x14ac:dyDescent="0.3">
      <c r="A813" s="18">
        <v>46113</v>
      </c>
      <c r="B813" s="18" t="s">
        <v>51</v>
      </c>
      <c r="C813" s="18" t="s">
        <v>645</v>
      </c>
      <c r="D813" s="6" t="s">
        <v>318</v>
      </c>
      <c r="E813" s="6" t="s">
        <v>47</v>
      </c>
      <c r="F813" s="6" t="s">
        <v>656</v>
      </c>
      <c r="G813" s="7">
        <v>66.900000000000006</v>
      </c>
    </row>
    <row r="814" spans="1:7" x14ac:dyDescent="0.3">
      <c r="A814" s="18">
        <v>46113</v>
      </c>
      <c r="B814" s="18" t="s">
        <v>51</v>
      </c>
      <c r="C814" s="18" t="s">
        <v>645</v>
      </c>
      <c r="D814" s="6" t="s">
        <v>318</v>
      </c>
      <c r="E814" s="6" t="s">
        <v>47</v>
      </c>
      <c r="F814" s="6" t="s">
        <v>656</v>
      </c>
      <c r="G814" s="7">
        <v>66.900000000000006</v>
      </c>
    </row>
    <row r="815" spans="1:7" x14ac:dyDescent="0.3">
      <c r="A815" s="18">
        <v>46146</v>
      </c>
      <c r="B815" s="18" t="s">
        <v>51</v>
      </c>
      <c r="C815" s="18" t="s">
        <v>645</v>
      </c>
      <c r="D815" s="6" t="s">
        <v>318</v>
      </c>
      <c r="E815" s="6" t="s">
        <v>47</v>
      </c>
      <c r="F815" s="6" t="s">
        <v>656</v>
      </c>
      <c r="G815" s="7">
        <v>22.9</v>
      </c>
    </row>
    <row r="816" spans="1:7" x14ac:dyDescent="0.3">
      <c r="A816" s="18">
        <v>46147</v>
      </c>
      <c r="B816" s="18" t="s">
        <v>51</v>
      </c>
      <c r="C816" s="18" t="s">
        <v>645</v>
      </c>
      <c r="D816" s="6" t="s">
        <v>318</v>
      </c>
      <c r="E816" s="6" t="s">
        <v>47</v>
      </c>
      <c r="F816" s="6" t="s">
        <v>656</v>
      </c>
      <c r="G816" s="7">
        <v>139.9</v>
      </c>
    </row>
    <row r="817" spans="1:7" x14ac:dyDescent="0.3">
      <c r="A817" s="18">
        <v>46151</v>
      </c>
      <c r="B817" s="18" t="s">
        <v>51</v>
      </c>
      <c r="C817" s="18" t="s">
        <v>645</v>
      </c>
      <c r="D817" s="6" t="s">
        <v>318</v>
      </c>
      <c r="E817" s="6" t="s">
        <v>47</v>
      </c>
      <c r="F817" s="6" t="s">
        <v>656</v>
      </c>
      <c r="G817" s="7">
        <v>39.9</v>
      </c>
    </row>
    <row r="818" spans="1:7" x14ac:dyDescent="0.3">
      <c r="A818" s="18">
        <v>46153</v>
      </c>
      <c r="B818" s="18" t="s">
        <v>51</v>
      </c>
      <c r="C818" s="18" t="s">
        <v>645</v>
      </c>
      <c r="D818" s="6" t="s">
        <v>318</v>
      </c>
      <c r="E818" s="6" t="s">
        <v>47</v>
      </c>
      <c r="F818" s="6" t="s">
        <v>656</v>
      </c>
      <c r="G818" s="7">
        <v>66.900000000000006</v>
      </c>
    </row>
    <row r="819" spans="1:7" x14ac:dyDescent="0.3">
      <c r="A819" s="18">
        <v>46154</v>
      </c>
      <c r="B819" s="18" t="s">
        <v>51</v>
      </c>
      <c r="C819" s="18" t="s">
        <v>645</v>
      </c>
      <c r="D819" s="6" t="s">
        <v>318</v>
      </c>
      <c r="E819" s="6" t="s">
        <v>47</v>
      </c>
      <c r="F819" s="6" t="s">
        <v>656</v>
      </c>
      <c r="G819" s="7">
        <v>49.9</v>
      </c>
    </row>
    <row r="820" spans="1:7" x14ac:dyDescent="0.3">
      <c r="A820" s="18">
        <v>46155</v>
      </c>
      <c r="B820" s="18" t="s">
        <v>51</v>
      </c>
      <c r="C820" s="18" t="s">
        <v>645</v>
      </c>
      <c r="D820" s="6" t="s">
        <v>318</v>
      </c>
      <c r="E820" s="6" t="s">
        <v>47</v>
      </c>
      <c r="F820" s="6" t="s">
        <v>656</v>
      </c>
      <c r="G820" s="7">
        <v>5.5</v>
      </c>
    </row>
    <row r="821" spans="1:7" x14ac:dyDescent="0.3">
      <c r="A821" s="18">
        <v>46156</v>
      </c>
      <c r="B821" s="18" t="s">
        <v>51</v>
      </c>
      <c r="C821" s="18" t="s">
        <v>645</v>
      </c>
      <c r="D821" s="6" t="s">
        <v>318</v>
      </c>
      <c r="E821" s="6" t="s">
        <v>47</v>
      </c>
      <c r="F821" s="6" t="s">
        <v>656</v>
      </c>
      <c r="G821" s="7">
        <v>66.900000000000006</v>
      </c>
    </row>
    <row r="822" spans="1:7" x14ac:dyDescent="0.3">
      <c r="A822" s="18">
        <v>46157</v>
      </c>
      <c r="B822" s="18" t="s">
        <v>51</v>
      </c>
      <c r="C822" s="18" t="s">
        <v>645</v>
      </c>
      <c r="D822" s="6" t="s">
        <v>318</v>
      </c>
      <c r="E822" s="6" t="s">
        <v>47</v>
      </c>
      <c r="F822" s="6" t="s">
        <v>656</v>
      </c>
      <c r="G822" s="7">
        <v>19.899999999999999</v>
      </c>
    </row>
    <row r="823" spans="1:7" x14ac:dyDescent="0.3">
      <c r="A823" s="18">
        <v>46157</v>
      </c>
      <c r="B823" s="18" t="s">
        <v>51</v>
      </c>
      <c r="C823" s="18" t="s">
        <v>645</v>
      </c>
      <c r="D823" s="6" t="s">
        <v>318</v>
      </c>
      <c r="E823" s="6" t="s">
        <v>47</v>
      </c>
      <c r="F823" s="6" t="s">
        <v>656</v>
      </c>
      <c r="G823" s="7">
        <v>59.9</v>
      </c>
    </row>
    <row r="824" spans="1:7" x14ac:dyDescent="0.3">
      <c r="A824" s="18">
        <v>46164</v>
      </c>
      <c r="B824" s="18" t="s">
        <v>51</v>
      </c>
      <c r="C824" s="18" t="s">
        <v>645</v>
      </c>
      <c r="D824" s="6" t="s">
        <v>318</v>
      </c>
      <c r="E824" s="6" t="s">
        <v>47</v>
      </c>
      <c r="F824" s="6" t="s">
        <v>656</v>
      </c>
      <c r="G824" s="7">
        <v>44.9</v>
      </c>
    </row>
    <row r="825" spans="1:7" x14ac:dyDescent="0.3">
      <c r="A825" s="18">
        <v>46165</v>
      </c>
      <c r="B825" s="18" t="s">
        <v>51</v>
      </c>
      <c r="C825" s="18" t="s">
        <v>645</v>
      </c>
      <c r="D825" s="6" t="s">
        <v>318</v>
      </c>
      <c r="E825" s="6" t="s">
        <v>47</v>
      </c>
      <c r="F825" s="6" t="s">
        <v>656</v>
      </c>
      <c r="G825" s="7">
        <v>34.9</v>
      </c>
    </row>
    <row r="826" spans="1:7" x14ac:dyDescent="0.3">
      <c r="A826" s="18">
        <v>46166</v>
      </c>
      <c r="B826" s="18" t="s">
        <v>51</v>
      </c>
      <c r="C826" s="18" t="s">
        <v>645</v>
      </c>
      <c r="D826" s="6" t="s">
        <v>318</v>
      </c>
      <c r="E826" s="6" t="s">
        <v>47</v>
      </c>
      <c r="F826" s="6" t="s">
        <v>656</v>
      </c>
      <c r="G826" s="7">
        <v>66.900000000000006</v>
      </c>
    </row>
    <row r="827" spans="1:7" x14ac:dyDescent="0.3">
      <c r="A827" s="18">
        <v>46177</v>
      </c>
      <c r="B827" s="18" t="s">
        <v>51</v>
      </c>
      <c r="C827" s="18" t="s">
        <v>645</v>
      </c>
      <c r="D827" s="6" t="s">
        <v>318</v>
      </c>
      <c r="E827" s="6" t="s">
        <v>47</v>
      </c>
      <c r="F827" s="6" t="s">
        <v>656</v>
      </c>
      <c r="G827" s="7">
        <v>22.9</v>
      </c>
    </row>
    <row r="828" spans="1:7" x14ac:dyDescent="0.3">
      <c r="A828" s="18">
        <v>46178</v>
      </c>
      <c r="B828" s="18" t="s">
        <v>51</v>
      </c>
      <c r="C828" s="18" t="s">
        <v>645</v>
      </c>
      <c r="D828" s="6" t="s">
        <v>318</v>
      </c>
      <c r="E828" s="6" t="s">
        <v>47</v>
      </c>
      <c r="F828" s="6" t="s">
        <v>656</v>
      </c>
      <c r="G828" s="7">
        <v>139.9</v>
      </c>
    </row>
    <row r="829" spans="1:7" x14ac:dyDescent="0.3">
      <c r="A829" s="18">
        <v>46182</v>
      </c>
      <c r="B829" s="18" t="s">
        <v>51</v>
      </c>
      <c r="C829" s="18" t="s">
        <v>645</v>
      </c>
      <c r="D829" s="6" t="s">
        <v>318</v>
      </c>
      <c r="E829" s="6" t="s">
        <v>47</v>
      </c>
      <c r="F829" s="6" t="s">
        <v>656</v>
      </c>
      <c r="G829" s="7">
        <v>39.9</v>
      </c>
    </row>
    <row r="830" spans="1:7" x14ac:dyDescent="0.3">
      <c r="A830" s="18">
        <v>46184</v>
      </c>
      <c r="B830" s="18" t="s">
        <v>51</v>
      </c>
      <c r="C830" s="18" t="s">
        <v>645</v>
      </c>
      <c r="D830" s="6" t="s">
        <v>318</v>
      </c>
      <c r="E830" s="6" t="s">
        <v>47</v>
      </c>
      <c r="F830" s="6" t="s">
        <v>656</v>
      </c>
      <c r="G830" s="7">
        <v>66.900000000000006</v>
      </c>
    </row>
    <row r="831" spans="1:7" x14ac:dyDescent="0.3">
      <c r="A831" s="18">
        <v>46185</v>
      </c>
      <c r="B831" s="18" t="s">
        <v>51</v>
      </c>
      <c r="C831" s="18" t="s">
        <v>645</v>
      </c>
      <c r="D831" s="6" t="s">
        <v>318</v>
      </c>
      <c r="E831" s="6" t="s">
        <v>47</v>
      </c>
      <c r="F831" s="6" t="s">
        <v>656</v>
      </c>
      <c r="G831" s="7">
        <v>49.9</v>
      </c>
    </row>
    <row r="832" spans="1:7" x14ac:dyDescent="0.3">
      <c r="A832" s="18">
        <v>46187</v>
      </c>
      <c r="B832" s="18" t="s">
        <v>51</v>
      </c>
      <c r="C832" s="18" t="s">
        <v>645</v>
      </c>
      <c r="D832" s="6" t="s">
        <v>318</v>
      </c>
      <c r="E832" s="6" t="s">
        <v>47</v>
      </c>
      <c r="F832" s="6" t="s">
        <v>656</v>
      </c>
      <c r="G832" s="7">
        <v>19.899999999999999</v>
      </c>
    </row>
    <row r="833" spans="1:7" x14ac:dyDescent="0.3">
      <c r="A833" s="18">
        <v>46187</v>
      </c>
      <c r="B833" s="18" t="s">
        <v>51</v>
      </c>
      <c r="C833" s="18" t="s">
        <v>645</v>
      </c>
      <c r="D833" s="6" t="s">
        <v>318</v>
      </c>
      <c r="E833" s="6" t="s">
        <v>47</v>
      </c>
      <c r="F833" s="6" t="s">
        <v>656</v>
      </c>
      <c r="G833" s="7">
        <v>66.900000000000006</v>
      </c>
    </row>
    <row r="834" spans="1:7" x14ac:dyDescent="0.3">
      <c r="A834" s="18">
        <v>46188</v>
      </c>
      <c r="B834" s="18" t="s">
        <v>51</v>
      </c>
      <c r="C834" s="18" t="s">
        <v>645</v>
      </c>
      <c r="D834" s="6" t="s">
        <v>318</v>
      </c>
      <c r="E834" s="6" t="s">
        <v>47</v>
      </c>
      <c r="F834" s="6" t="s">
        <v>656</v>
      </c>
      <c r="G834" s="7">
        <v>59.9</v>
      </c>
    </row>
    <row r="835" spans="1:7" x14ac:dyDescent="0.3">
      <c r="A835" s="18">
        <v>46195</v>
      </c>
      <c r="B835" s="18" t="s">
        <v>51</v>
      </c>
      <c r="C835" s="18" t="s">
        <v>645</v>
      </c>
      <c r="D835" s="6" t="s">
        <v>318</v>
      </c>
      <c r="E835" s="6" t="s">
        <v>47</v>
      </c>
      <c r="F835" s="6" t="s">
        <v>656</v>
      </c>
      <c r="G835" s="7">
        <v>44.9</v>
      </c>
    </row>
    <row r="836" spans="1:7" x14ac:dyDescent="0.3">
      <c r="A836" s="18">
        <v>46196</v>
      </c>
      <c r="B836" s="18" t="s">
        <v>51</v>
      </c>
      <c r="C836" s="18" t="s">
        <v>645</v>
      </c>
      <c r="D836" s="6" t="s">
        <v>318</v>
      </c>
      <c r="E836" s="6" t="s">
        <v>47</v>
      </c>
      <c r="F836" s="6" t="s">
        <v>656</v>
      </c>
      <c r="G836" s="7">
        <v>34.9</v>
      </c>
    </row>
    <row r="837" spans="1:7" x14ac:dyDescent="0.3">
      <c r="A837" s="18">
        <v>46197</v>
      </c>
      <c r="B837" s="18" t="s">
        <v>51</v>
      </c>
      <c r="C837" s="18" t="s">
        <v>645</v>
      </c>
      <c r="D837" s="6" t="s">
        <v>318</v>
      </c>
      <c r="E837" s="6" t="s">
        <v>47</v>
      </c>
      <c r="F837" s="6" t="s">
        <v>656</v>
      </c>
      <c r="G837" s="7">
        <v>66.900000000000006</v>
      </c>
    </row>
    <row r="838" spans="1:7" x14ac:dyDescent="0.3">
      <c r="A838" s="18">
        <v>46201</v>
      </c>
      <c r="B838" s="18" t="s">
        <v>51</v>
      </c>
      <c r="C838" s="18" t="s">
        <v>645</v>
      </c>
      <c r="D838" s="6" t="s">
        <v>318</v>
      </c>
      <c r="E838" s="6" t="s">
        <v>47</v>
      </c>
      <c r="F838" s="6" t="s">
        <v>656</v>
      </c>
      <c r="G838" s="7">
        <v>66.900000000000006</v>
      </c>
    </row>
    <row r="839" spans="1:7" x14ac:dyDescent="0.3">
      <c r="A839" s="18">
        <v>46113</v>
      </c>
      <c r="B839" s="18" t="s">
        <v>51</v>
      </c>
      <c r="C839" s="18" t="s">
        <v>645</v>
      </c>
      <c r="D839" s="6" t="s">
        <v>705</v>
      </c>
      <c r="E839" s="6" t="s">
        <v>47</v>
      </c>
      <c r="F839" s="6" t="s">
        <v>656</v>
      </c>
      <c r="G839" s="7">
        <v>99.9</v>
      </c>
    </row>
    <row r="840" spans="1:7" x14ac:dyDescent="0.3">
      <c r="A840" s="18">
        <v>46113</v>
      </c>
      <c r="B840" s="18" t="s">
        <v>51</v>
      </c>
      <c r="C840" s="18" t="s">
        <v>645</v>
      </c>
      <c r="D840" s="6" t="s">
        <v>705</v>
      </c>
      <c r="E840" s="6" t="s">
        <v>47</v>
      </c>
      <c r="F840" s="6" t="s">
        <v>656</v>
      </c>
      <c r="G840" s="7">
        <v>22.9</v>
      </c>
    </row>
    <row r="841" spans="1:7" x14ac:dyDescent="0.3">
      <c r="A841" s="18">
        <v>46113</v>
      </c>
      <c r="B841" s="18" t="s">
        <v>51</v>
      </c>
      <c r="C841" s="18" t="s">
        <v>645</v>
      </c>
      <c r="D841" s="6" t="s">
        <v>705</v>
      </c>
      <c r="E841" s="6" t="s">
        <v>47</v>
      </c>
      <c r="F841" s="6" t="s">
        <v>656</v>
      </c>
      <c r="G841" s="7">
        <v>139.9</v>
      </c>
    </row>
    <row r="842" spans="1:7" x14ac:dyDescent="0.3">
      <c r="A842" s="18">
        <v>46113</v>
      </c>
      <c r="B842" s="18" t="s">
        <v>51</v>
      </c>
      <c r="C842" s="18" t="s">
        <v>645</v>
      </c>
      <c r="D842" s="6" t="s">
        <v>705</v>
      </c>
      <c r="E842" s="6" t="s">
        <v>47</v>
      </c>
      <c r="F842" s="6" t="s">
        <v>656</v>
      </c>
      <c r="G842" s="7">
        <v>39.9</v>
      </c>
    </row>
    <row r="843" spans="1:7" x14ac:dyDescent="0.3">
      <c r="A843" s="18">
        <v>46113</v>
      </c>
      <c r="B843" s="18" t="s">
        <v>51</v>
      </c>
      <c r="C843" s="18" t="s">
        <v>645</v>
      </c>
      <c r="D843" s="6" t="s">
        <v>705</v>
      </c>
      <c r="E843" s="6" t="s">
        <v>47</v>
      </c>
      <c r="F843" s="6" t="s">
        <v>656</v>
      </c>
      <c r="G843" s="7">
        <v>19.899999999999999</v>
      </c>
    </row>
    <row r="844" spans="1:7" x14ac:dyDescent="0.3">
      <c r="A844" s="18">
        <v>46113</v>
      </c>
      <c r="B844" s="18" t="s">
        <v>51</v>
      </c>
      <c r="C844" s="18" t="s">
        <v>645</v>
      </c>
      <c r="D844" s="6" t="s">
        <v>705</v>
      </c>
      <c r="E844" s="6" t="s">
        <v>47</v>
      </c>
      <c r="F844" s="6" t="s">
        <v>656</v>
      </c>
      <c r="G844" s="7">
        <v>99.9</v>
      </c>
    </row>
    <row r="845" spans="1:7" x14ac:dyDescent="0.3">
      <c r="A845" s="18">
        <v>46113</v>
      </c>
      <c r="B845" s="18" t="s">
        <v>51</v>
      </c>
      <c r="C845" s="18" t="s">
        <v>645</v>
      </c>
      <c r="D845" s="6" t="s">
        <v>705</v>
      </c>
      <c r="E845" s="6" t="s">
        <v>47</v>
      </c>
      <c r="F845" s="6" t="s">
        <v>656</v>
      </c>
      <c r="G845" s="7">
        <v>66.900000000000006</v>
      </c>
    </row>
    <row r="846" spans="1:7" x14ac:dyDescent="0.3">
      <c r="A846" s="18">
        <v>46113</v>
      </c>
      <c r="B846" s="18" t="s">
        <v>51</v>
      </c>
      <c r="C846" s="18" t="s">
        <v>645</v>
      </c>
      <c r="D846" s="6" t="s">
        <v>705</v>
      </c>
      <c r="E846" s="6" t="s">
        <v>47</v>
      </c>
      <c r="F846" s="6" t="s">
        <v>656</v>
      </c>
      <c r="G846" s="7">
        <v>49.9</v>
      </c>
    </row>
    <row r="847" spans="1:7" x14ac:dyDescent="0.3">
      <c r="A847" s="18">
        <v>46037</v>
      </c>
      <c r="B847" s="18" t="s">
        <v>51</v>
      </c>
      <c r="C847" s="18" t="s">
        <v>645</v>
      </c>
      <c r="D847" s="6" t="s">
        <v>436</v>
      </c>
      <c r="E847" s="6" t="s">
        <v>47</v>
      </c>
      <c r="F847" s="6" t="s">
        <v>659</v>
      </c>
      <c r="G847" s="7">
        <v>179.9</v>
      </c>
    </row>
    <row r="848" spans="1:7" x14ac:dyDescent="0.3">
      <c r="A848" s="18">
        <v>46113</v>
      </c>
      <c r="B848" s="18" t="s">
        <v>51</v>
      </c>
      <c r="C848" s="18" t="s">
        <v>645</v>
      </c>
      <c r="D848" s="6" t="s">
        <v>436</v>
      </c>
      <c r="E848" s="6" t="s">
        <v>47</v>
      </c>
      <c r="F848" s="6" t="s">
        <v>659</v>
      </c>
      <c r="G848" s="7">
        <v>123.4</v>
      </c>
    </row>
    <row r="849" spans="1:7" x14ac:dyDescent="0.3">
      <c r="A849" s="18">
        <v>46113</v>
      </c>
      <c r="B849" s="18" t="s">
        <v>51</v>
      </c>
      <c r="C849" s="18" t="s">
        <v>645</v>
      </c>
      <c r="D849" s="6" t="s">
        <v>750</v>
      </c>
      <c r="E849" s="6" t="s">
        <v>47</v>
      </c>
      <c r="F849" s="6" t="s">
        <v>656</v>
      </c>
      <c r="G849" s="7">
        <v>105.21</v>
      </c>
    </row>
    <row r="850" spans="1:7" x14ac:dyDescent="0.3">
      <c r="A850" s="18">
        <v>46139</v>
      </c>
      <c r="B850" s="18" t="s">
        <v>51</v>
      </c>
      <c r="C850" s="18" t="s">
        <v>645</v>
      </c>
      <c r="D850" s="6" t="s">
        <v>750</v>
      </c>
      <c r="E850" s="6" t="s">
        <v>57</v>
      </c>
      <c r="F850" s="6" t="s">
        <v>656</v>
      </c>
      <c r="G850" s="7">
        <v>159.21</v>
      </c>
    </row>
    <row r="851" spans="1:7" x14ac:dyDescent="0.3">
      <c r="A851" s="18">
        <v>46155</v>
      </c>
      <c r="B851" s="18" t="s">
        <v>51</v>
      </c>
      <c r="C851" s="18" t="s">
        <v>645</v>
      </c>
      <c r="D851" s="6" t="s">
        <v>750</v>
      </c>
      <c r="E851" s="6" t="s">
        <v>57</v>
      </c>
      <c r="F851" s="6" t="s">
        <v>656</v>
      </c>
      <c r="G851" s="7">
        <v>51.86</v>
      </c>
    </row>
    <row r="852" spans="1:7" x14ac:dyDescent="0.3">
      <c r="A852" s="18">
        <v>46158</v>
      </c>
      <c r="B852" s="18" t="s">
        <v>51</v>
      </c>
      <c r="C852" s="18" t="s">
        <v>645</v>
      </c>
      <c r="D852" s="6" t="s">
        <v>750</v>
      </c>
      <c r="E852" s="6" t="s">
        <v>57</v>
      </c>
      <c r="F852" s="6" t="s">
        <v>656</v>
      </c>
      <c r="G852" s="7">
        <v>161.03</v>
      </c>
    </row>
    <row r="853" spans="1:7" x14ac:dyDescent="0.3">
      <c r="A853" s="18">
        <v>46186</v>
      </c>
      <c r="B853" s="18" t="s">
        <v>51</v>
      </c>
      <c r="C853" s="18" t="s">
        <v>645</v>
      </c>
      <c r="D853" s="6" t="s">
        <v>750</v>
      </c>
      <c r="E853" s="6" t="s">
        <v>47</v>
      </c>
      <c r="F853" s="6" t="s">
        <v>656</v>
      </c>
      <c r="G853" s="7">
        <v>107.7</v>
      </c>
    </row>
    <row r="854" spans="1:7" x14ac:dyDescent="0.3">
      <c r="A854" s="18">
        <v>46040</v>
      </c>
      <c r="B854" s="18" t="s">
        <v>51</v>
      </c>
      <c r="C854" s="18" t="s">
        <v>645</v>
      </c>
      <c r="D854" s="6" t="s">
        <v>400</v>
      </c>
      <c r="E854" s="6" t="s">
        <v>47</v>
      </c>
      <c r="F854" s="6" t="s">
        <v>656</v>
      </c>
      <c r="G854" s="7">
        <v>66</v>
      </c>
    </row>
    <row r="855" spans="1:7" x14ac:dyDescent="0.3">
      <c r="A855" s="18">
        <v>46152</v>
      </c>
      <c r="B855" s="18" t="s">
        <v>51</v>
      </c>
      <c r="C855" s="18" t="s">
        <v>645</v>
      </c>
      <c r="D855" s="6" t="s">
        <v>888</v>
      </c>
      <c r="E855" s="6" t="s">
        <v>57</v>
      </c>
      <c r="F855" s="6" t="s">
        <v>656</v>
      </c>
      <c r="G855" s="7">
        <v>1304.19</v>
      </c>
    </row>
    <row r="856" spans="1:7" x14ac:dyDescent="0.3">
      <c r="A856" s="18">
        <v>46031</v>
      </c>
      <c r="B856" s="18" t="s">
        <v>51</v>
      </c>
      <c r="C856" s="18" t="s">
        <v>645</v>
      </c>
      <c r="D856" s="6" t="s">
        <v>365</v>
      </c>
      <c r="E856" s="6" t="s">
        <v>57</v>
      </c>
      <c r="F856" s="6" t="s">
        <v>656</v>
      </c>
      <c r="G856" s="7">
        <v>1196</v>
      </c>
    </row>
    <row r="857" spans="1:7" x14ac:dyDescent="0.3">
      <c r="A857" s="18">
        <v>46164</v>
      </c>
      <c r="B857" s="18" t="s">
        <v>51</v>
      </c>
      <c r="C857" s="18" t="s">
        <v>645</v>
      </c>
      <c r="D857" s="6" t="s">
        <v>914</v>
      </c>
      <c r="E857" s="6" t="s">
        <v>57</v>
      </c>
      <c r="F857" s="6" t="s">
        <v>656</v>
      </c>
      <c r="G857" s="7">
        <v>210</v>
      </c>
    </row>
    <row r="858" spans="1:7" x14ac:dyDescent="0.3">
      <c r="A858" s="18">
        <v>46072</v>
      </c>
      <c r="B858" s="18" t="s">
        <v>51</v>
      </c>
      <c r="C858" s="18" t="s">
        <v>645</v>
      </c>
      <c r="D858" s="6" t="s">
        <v>228</v>
      </c>
      <c r="E858" s="6" t="s">
        <v>57</v>
      </c>
      <c r="F858" s="6" t="s">
        <v>659</v>
      </c>
      <c r="G858" s="7">
        <v>1690</v>
      </c>
    </row>
    <row r="859" spans="1:7" x14ac:dyDescent="0.3">
      <c r="A859" s="18">
        <v>46113</v>
      </c>
      <c r="B859" s="18" t="s">
        <v>51</v>
      </c>
      <c r="C859" s="18" t="s">
        <v>645</v>
      </c>
      <c r="D859" s="6" t="s">
        <v>707</v>
      </c>
      <c r="E859" s="6" t="s">
        <v>47</v>
      </c>
      <c r="F859" s="6" t="s">
        <v>656</v>
      </c>
      <c r="G859" s="7">
        <v>351.5</v>
      </c>
    </row>
    <row r="860" spans="1:7" x14ac:dyDescent="0.3">
      <c r="A860" s="18">
        <v>46174</v>
      </c>
      <c r="B860" s="18" t="s">
        <v>51</v>
      </c>
      <c r="C860" s="18" t="s">
        <v>645</v>
      </c>
      <c r="D860" s="6" t="s">
        <v>707</v>
      </c>
      <c r="E860" s="6" t="s">
        <v>47</v>
      </c>
      <c r="F860" s="6" t="s">
        <v>656</v>
      </c>
      <c r="G860" s="7">
        <v>290.5</v>
      </c>
    </row>
    <row r="861" spans="1:7" x14ac:dyDescent="0.3">
      <c r="A861" s="18">
        <v>46198</v>
      </c>
      <c r="B861" s="18" t="s">
        <v>51</v>
      </c>
      <c r="C861" s="18" t="s">
        <v>645</v>
      </c>
      <c r="D861" s="6" t="s">
        <v>707</v>
      </c>
      <c r="E861" s="6" t="s">
        <v>47</v>
      </c>
      <c r="F861" s="6" t="s">
        <v>656</v>
      </c>
      <c r="G861" s="7">
        <v>144.4</v>
      </c>
    </row>
    <row r="862" spans="1:7" x14ac:dyDescent="0.3">
      <c r="A862" s="18">
        <v>46154</v>
      </c>
      <c r="B862" s="18" t="s">
        <v>51</v>
      </c>
      <c r="C862" s="18" t="s">
        <v>645</v>
      </c>
      <c r="D862" s="6" t="s">
        <v>891</v>
      </c>
      <c r="E862" s="6" t="s">
        <v>47</v>
      </c>
      <c r="F862" s="6" t="s">
        <v>656</v>
      </c>
      <c r="G862" s="7">
        <v>290.5</v>
      </c>
    </row>
    <row r="863" spans="1:7" x14ac:dyDescent="0.3">
      <c r="A863" s="18">
        <v>46076</v>
      </c>
      <c r="B863" s="18" t="s">
        <v>51</v>
      </c>
      <c r="C863" s="18" t="s">
        <v>645</v>
      </c>
      <c r="D863" s="6" t="s">
        <v>231</v>
      </c>
      <c r="E863" s="6" t="s">
        <v>42</v>
      </c>
      <c r="F863" s="6" t="s">
        <v>659</v>
      </c>
      <c r="G863" s="7">
        <v>123.4</v>
      </c>
    </row>
    <row r="864" spans="1:7" x14ac:dyDescent="0.3">
      <c r="A864" s="18">
        <v>46098</v>
      </c>
      <c r="B864" s="18" t="s">
        <v>51</v>
      </c>
      <c r="C864" s="18" t="s">
        <v>645</v>
      </c>
      <c r="D864" s="6" t="s">
        <v>146</v>
      </c>
      <c r="E864" s="6" t="s">
        <v>13</v>
      </c>
      <c r="F864" s="6" t="s">
        <v>659</v>
      </c>
      <c r="G864" s="7">
        <v>900</v>
      </c>
    </row>
    <row r="865" spans="1:7" x14ac:dyDescent="0.3">
      <c r="A865" s="18">
        <v>46023</v>
      </c>
      <c r="B865" s="18" t="s">
        <v>51</v>
      </c>
      <c r="C865" s="18" t="s">
        <v>645</v>
      </c>
      <c r="D865" s="6" t="s">
        <v>434</v>
      </c>
      <c r="E865" s="6" t="s">
        <v>47</v>
      </c>
      <c r="F865" s="6" t="s">
        <v>656</v>
      </c>
      <c r="G865" s="7">
        <v>2353.33</v>
      </c>
    </row>
    <row r="866" spans="1:7" x14ac:dyDescent="0.3">
      <c r="A866" s="18">
        <v>46054</v>
      </c>
      <c r="B866" s="18" t="s">
        <v>51</v>
      </c>
      <c r="C866" s="18" t="s">
        <v>645</v>
      </c>
      <c r="D866" s="6" t="s">
        <v>434</v>
      </c>
      <c r="E866" s="6" t="s">
        <v>47</v>
      </c>
      <c r="F866" s="6" t="s">
        <v>656</v>
      </c>
      <c r="G866" s="7">
        <v>2353.33</v>
      </c>
    </row>
    <row r="867" spans="1:7" x14ac:dyDescent="0.3">
      <c r="A867" s="18">
        <v>46145</v>
      </c>
      <c r="B867" s="18" t="s">
        <v>51</v>
      </c>
      <c r="C867" s="18" t="s">
        <v>645</v>
      </c>
      <c r="D867" s="33" t="s">
        <v>803</v>
      </c>
      <c r="E867" s="33" t="s">
        <v>57</v>
      </c>
      <c r="F867" s="6" t="s">
        <v>659</v>
      </c>
      <c r="G867" s="3">
        <v>313</v>
      </c>
    </row>
    <row r="868" spans="1:7" x14ac:dyDescent="0.3">
      <c r="A868" s="18">
        <v>46159</v>
      </c>
      <c r="B868" s="18" t="s">
        <v>51</v>
      </c>
      <c r="C868" s="18" t="s">
        <v>645</v>
      </c>
      <c r="D868" s="6" t="s">
        <v>746</v>
      </c>
      <c r="E868" s="6" t="s">
        <v>47</v>
      </c>
      <c r="F868" s="6" t="s">
        <v>656</v>
      </c>
      <c r="G868" s="7">
        <v>80.489999999999995</v>
      </c>
    </row>
    <row r="869" spans="1:7" x14ac:dyDescent="0.3">
      <c r="A869" s="18">
        <v>46030</v>
      </c>
      <c r="B869" s="18" t="s">
        <v>51</v>
      </c>
      <c r="C869" s="18" t="s">
        <v>645</v>
      </c>
      <c r="D869" s="6" t="s">
        <v>360</v>
      </c>
      <c r="E869" s="6" t="s">
        <v>47</v>
      </c>
      <c r="F869" s="6" t="s">
        <v>656</v>
      </c>
      <c r="G869" s="7">
        <v>108</v>
      </c>
    </row>
    <row r="870" spans="1:7" x14ac:dyDescent="0.3">
      <c r="A870" s="18">
        <v>46077</v>
      </c>
      <c r="B870" s="18" t="s">
        <v>51</v>
      </c>
      <c r="C870" s="18" t="s">
        <v>645</v>
      </c>
      <c r="D870" s="6" t="s">
        <v>360</v>
      </c>
      <c r="E870" s="6" t="s">
        <v>47</v>
      </c>
      <c r="F870" s="6" t="s">
        <v>656</v>
      </c>
      <c r="G870" s="7">
        <v>58</v>
      </c>
    </row>
    <row r="871" spans="1:7" x14ac:dyDescent="0.3">
      <c r="A871" s="18">
        <v>46062</v>
      </c>
      <c r="B871" s="18" t="s">
        <v>51</v>
      </c>
      <c r="C871" s="18" t="s">
        <v>645</v>
      </c>
      <c r="D871" s="6" t="s">
        <v>466</v>
      </c>
      <c r="E871" s="6" t="s">
        <v>42</v>
      </c>
      <c r="F871" s="6" t="s">
        <v>656</v>
      </c>
      <c r="G871" s="7">
        <v>149.99</v>
      </c>
    </row>
    <row r="872" spans="1:7" x14ac:dyDescent="0.3">
      <c r="A872" s="18">
        <v>46057</v>
      </c>
      <c r="B872" s="18" t="s">
        <v>51</v>
      </c>
      <c r="C872" s="18" t="s">
        <v>645</v>
      </c>
      <c r="D872" s="6" t="s">
        <v>463</v>
      </c>
      <c r="E872" s="6" t="s">
        <v>57</v>
      </c>
      <c r="F872" s="6" t="s">
        <v>656</v>
      </c>
      <c r="G872" s="7">
        <v>9231</v>
      </c>
    </row>
    <row r="873" spans="1:7" x14ac:dyDescent="0.3">
      <c r="A873" s="18">
        <v>46072</v>
      </c>
      <c r="B873" s="18" t="s">
        <v>51</v>
      </c>
      <c r="C873" s="18" t="s">
        <v>645</v>
      </c>
      <c r="D873" s="6" t="s">
        <v>463</v>
      </c>
      <c r="E873" s="6" t="s">
        <v>57</v>
      </c>
      <c r="F873" s="6" t="s">
        <v>656</v>
      </c>
      <c r="G873" s="7">
        <v>997</v>
      </c>
    </row>
    <row r="874" spans="1:7" x14ac:dyDescent="0.3">
      <c r="A874" s="18">
        <v>46195</v>
      </c>
      <c r="B874" s="47" t="s">
        <v>51</v>
      </c>
      <c r="C874" s="47" t="s">
        <v>645</v>
      </c>
      <c r="D874" s="8" t="s">
        <v>980</v>
      </c>
      <c r="E874" s="8" t="s">
        <v>57</v>
      </c>
      <c r="F874" s="6" t="s">
        <v>659</v>
      </c>
      <c r="G874" s="9">
        <v>1106.9100000000001</v>
      </c>
    </row>
    <row r="875" spans="1:7" x14ac:dyDescent="0.3">
      <c r="A875" s="18">
        <v>46159</v>
      </c>
      <c r="B875" s="18" t="s">
        <v>51</v>
      </c>
      <c r="C875" s="18" t="s">
        <v>645</v>
      </c>
      <c r="D875" s="6" t="s">
        <v>901</v>
      </c>
      <c r="E875" s="6" t="s">
        <v>47</v>
      </c>
      <c r="F875" s="6" t="s">
        <v>656</v>
      </c>
      <c r="G875" s="7">
        <v>202.8</v>
      </c>
    </row>
    <row r="876" spans="1:7" x14ac:dyDescent="0.3">
      <c r="A876" s="18">
        <v>46156</v>
      </c>
      <c r="B876" s="18" t="s">
        <v>51</v>
      </c>
      <c r="C876" s="18" t="s">
        <v>645</v>
      </c>
      <c r="D876" s="6" t="s">
        <v>896</v>
      </c>
      <c r="E876" s="6" t="s">
        <v>47</v>
      </c>
      <c r="F876" s="6" t="s">
        <v>656</v>
      </c>
      <c r="G876" s="7">
        <v>77</v>
      </c>
    </row>
    <row r="877" spans="1:7" x14ac:dyDescent="0.3">
      <c r="A877" s="18">
        <v>46107</v>
      </c>
      <c r="B877" s="18" t="s">
        <v>51</v>
      </c>
      <c r="C877" s="18" t="s">
        <v>645</v>
      </c>
      <c r="D877" s="6" t="s">
        <v>587</v>
      </c>
      <c r="E877" s="6" t="s">
        <v>47</v>
      </c>
      <c r="F877" s="6" t="s">
        <v>656</v>
      </c>
      <c r="G877" s="7">
        <v>1700</v>
      </c>
    </row>
    <row r="878" spans="1:7" x14ac:dyDescent="0.3">
      <c r="A878" s="18">
        <v>46084</v>
      </c>
      <c r="B878" s="18" t="s">
        <v>51</v>
      </c>
      <c r="C878" s="18" t="s">
        <v>645</v>
      </c>
      <c r="D878" s="6" t="s">
        <v>532</v>
      </c>
      <c r="E878" s="6" t="s">
        <v>47</v>
      </c>
      <c r="F878" s="6" t="s">
        <v>656</v>
      </c>
      <c r="G878" s="7">
        <v>7000</v>
      </c>
    </row>
    <row r="879" spans="1:7" x14ac:dyDescent="0.3">
      <c r="A879" s="18">
        <v>46113</v>
      </c>
      <c r="B879" s="18" t="s">
        <v>51</v>
      </c>
      <c r="C879" s="18" t="s">
        <v>645</v>
      </c>
      <c r="D879" s="6" t="s">
        <v>532</v>
      </c>
      <c r="E879" s="6" t="s">
        <v>47</v>
      </c>
      <c r="F879" s="6" t="s">
        <v>656</v>
      </c>
      <c r="G879" s="7">
        <v>7000</v>
      </c>
    </row>
    <row r="880" spans="1:7" x14ac:dyDescent="0.3">
      <c r="A880" s="18">
        <v>46143</v>
      </c>
      <c r="B880" s="18" t="s">
        <v>51</v>
      </c>
      <c r="C880" s="18" t="s">
        <v>645</v>
      </c>
      <c r="D880" s="6" t="s">
        <v>532</v>
      </c>
      <c r="E880" s="6" t="s">
        <v>47</v>
      </c>
      <c r="F880" s="6" t="s">
        <v>656</v>
      </c>
      <c r="G880" s="7">
        <v>7000</v>
      </c>
    </row>
    <row r="881" spans="1:7" x14ac:dyDescent="0.3">
      <c r="A881" s="18">
        <v>46174</v>
      </c>
      <c r="B881" s="18" t="s">
        <v>51</v>
      </c>
      <c r="C881" s="18" t="s">
        <v>645</v>
      </c>
      <c r="D881" s="6" t="s">
        <v>532</v>
      </c>
      <c r="E881" s="6" t="s">
        <v>47</v>
      </c>
      <c r="F881" s="6" t="s">
        <v>656</v>
      </c>
      <c r="G881" s="7">
        <v>7000</v>
      </c>
    </row>
    <row r="882" spans="1:7" x14ac:dyDescent="0.3">
      <c r="A882" s="18">
        <v>46090</v>
      </c>
      <c r="B882" s="18" t="s">
        <v>51</v>
      </c>
      <c r="C882" s="18" t="s">
        <v>645</v>
      </c>
      <c r="D882" s="6" t="s">
        <v>543</v>
      </c>
      <c r="E882" s="6" t="s">
        <v>42</v>
      </c>
      <c r="F882" s="6" t="s">
        <v>656</v>
      </c>
      <c r="G882" s="7">
        <v>34</v>
      </c>
    </row>
    <row r="883" spans="1:7" x14ac:dyDescent="0.3">
      <c r="A883" s="18">
        <v>46037</v>
      </c>
      <c r="B883" s="18" t="s">
        <v>51</v>
      </c>
      <c r="C883" s="18" t="s">
        <v>645</v>
      </c>
      <c r="D883" s="6" t="s">
        <v>160</v>
      </c>
      <c r="E883" s="6" t="s">
        <v>47</v>
      </c>
      <c r="F883" s="6" t="s">
        <v>659</v>
      </c>
      <c r="G883" s="7">
        <v>850</v>
      </c>
    </row>
    <row r="884" spans="1:7" x14ac:dyDescent="0.3">
      <c r="A884" s="18">
        <v>46031</v>
      </c>
      <c r="B884" s="18" t="s">
        <v>51</v>
      </c>
      <c r="C884" s="18" t="s">
        <v>645</v>
      </c>
      <c r="D884" s="6" t="s">
        <v>366</v>
      </c>
      <c r="E884" s="6" t="s">
        <v>57</v>
      </c>
      <c r="F884" s="6" t="s">
        <v>656</v>
      </c>
      <c r="G884" s="7">
        <v>199.97</v>
      </c>
    </row>
    <row r="885" spans="1:7" x14ac:dyDescent="0.3">
      <c r="A885" s="18">
        <v>46028</v>
      </c>
      <c r="B885" s="18" t="s">
        <v>51</v>
      </c>
      <c r="C885" s="18" t="s">
        <v>645</v>
      </c>
      <c r="D885" s="6" t="s">
        <v>348</v>
      </c>
      <c r="E885" s="6" t="s">
        <v>47</v>
      </c>
      <c r="F885" s="6" t="s">
        <v>656</v>
      </c>
      <c r="G885" s="7">
        <v>311.88</v>
      </c>
    </row>
    <row r="886" spans="1:7" x14ac:dyDescent="0.3">
      <c r="A886" s="18">
        <v>46059</v>
      </c>
      <c r="B886" s="18" t="s">
        <v>51</v>
      </c>
      <c r="C886" s="18" t="s">
        <v>645</v>
      </c>
      <c r="D886" s="6" t="s">
        <v>505</v>
      </c>
      <c r="E886" s="6" t="s">
        <v>57</v>
      </c>
      <c r="F886" s="6" t="s">
        <v>661</v>
      </c>
      <c r="G886" s="7">
        <v>11.9</v>
      </c>
    </row>
    <row r="887" spans="1:7" x14ac:dyDescent="0.3">
      <c r="A887" s="18">
        <v>46089</v>
      </c>
      <c r="B887" s="18" t="s">
        <v>51</v>
      </c>
      <c r="C887" s="18" t="s">
        <v>645</v>
      </c>
      <c r="D887" s="6" t="s">
        <v>542</v>
      </c>
      <c r="E887" s="6" t="s">
        <v>47</v>
      </c>
      <c r="F887" s="6" t="s">
        <v>656</v>
      </c>
      <c r="G887" s="7">
        <v>5</v>
      </c>
    </row>
    <row r="888" spans="1:7" x14ac:dyDescent="0.3">
      <c r="A888" s="18">
        <v>46113</v>
      </c>
      <c r="B888" s="18" t="s">
        <v>51</v>
      </c>
      <c r="C888" s="18" t="s">
        <v>645</v>
      </c>
      <c r="D888" s="6" t="s">
        <v>739</v>
      </c>
      <c r="E888" s="6" t="s">
        <v>47</v>
      </c>
      <c r="F888" s="6" t="s">
        <v>656</v>
      </c>
      <c r="G888" s="7">
        <v>228</v>
      </c>
    </row>
    <row r="889" spans="1:7" x14ac:dyDescent="0.3">
      <c r="A889" s="18">
        <v>46038</v>
      </c>
      <c r="B889" s="18" t="s">
        <v>51</v>
      </c>
      <c r="C889" s="18" t="s">
        <v>645</v>
      </c>
      <c r="D889" s="6" t="s">
        <v>392</v>
      </c>
      <c r="E889" s="6" t="s">
        <v>47</v>
      </c>
      <c r="F889" s="6" t="s">
        <v>656</v>
      </c>
      <c r="G889" s="7">
        <v>223.56</v>
      </c>
    </row>
    <row r="890" spans="1:7" x14ac:dyDescent="0.3">
      <c r="A890" s="18">
        <v>46113</v>
      </c>
      <c r="B890" s="18" t="s">
        <v>51</v>
      </c>
      <c r="C890" s="18" t="s">
        <v>645</v>
      </c>
      <c r="D890" s="6" t="s">
        <v>714</v>
      </c>
      <c r="E890" s="6" t="s">
        <v>42</v>
      </c>
      <c r="F890" s="6" t="s">
        <v>656</v>
      </c>
      <c r="G890" s="7">
        <v>31</v>
      </c>
    </row>
    <row r="891" spans="1:7" x14ac:dyDescent="0.3">
      <c r="A891" s="18">
        <v>46146</v>
      </c>
      <c r="B891" s="18" t="s">
        <v>51</v>
      </c>
      <c r="C891" s="18" t="s">
        <v>645</v>
      </c>
      <c r="D891" s="6" t="s">
        <v>714</v>
      </c>
      <c r="E891" s="6" t="s">
        <v>57</v>
      </c>
      <c r="F891" s="6" t="s">
        <v>656</v>
      </c>
      <c r="G891" s="7">
        <v>6</v>
      </c>
    </row>
    <row r="892" spans="1:7" x14ac:dyDescent="0.3">
      <c r="A892" s="18">
        <v>46113</v>
      </c>
      <c r="B892" s="18" t="s">
        <v>51</v>
      </c>
      <c r="C892" s="18" t="s">
        <v>645</v>
      </c>
      <c r="D892" s="6" t="s">
        <v>471</v>
      </c>
      <c r="E892" s="6" t="s">
        <v>57</v>
      </c>
      <c r="F892" s="6" t="s">
        <v>656</v>
      </c>
      <c r="G892" s="7">
        <v>4.41</v>
      </c>
    </row>
    <row r="893" spans="1:7" x14ac:dyDescent="0.3">
      <c r="A893" s="18">
        <v>46113</v>
      </c>
      <c r="B893" s="18" t="s">
        <v>51</v>
      </c>
      <c r="C893" s="18" t="s">
        <v>645</v>
      </c>
      <c r="D893" s="6" t="s">
        <v>708</v>
      </c>
      <c r="E893" s="6" t="s">
        <v>47</v>
      </c>
      <c r="F893" s="6" t="s">
        <v>656</v>
      </c>
      <c r="G893" s="7">
        <v>14</v>
      </c>
    </row>
    <row r="894" spans="1:7" x14ac:dyDescent="0.3">
      <c r="A894" s="18">
        <v>46045</v>
      </c>
      <c r="B894" s="18" t="s">
        <v>51</v>
      </c>
      <c r="C894" s="18" t="s">
        <v>645</v>
      </c>
      <c r="D894" s="6" t="s">
        <v>417</v>
      </c>
      <c r="E894" s="6" t="s">
        <v>57</v>
      </c>
      <c r="F894" s="6" t="s">
        <v>656</v>
      </c>
      <c r="G894" s="7">
        <v>23.25</v>
      </c>
    </row>
    <row r="895" spans="1:7" x14ac:dyDescent="0.3">
      <c r="A895" s="18">
        <v>46113</v>
      </c>
      <c r="B895" s="18" t="s">
        <v>51</v>
      </c>
      <c r="C895" s="18" t="s">
        <v>645</v>
      </c>
      <c r="D895" s="6" t="s">
        <v>702</v>
      </c>
      <c r="E895" s="6" t="s">
        <v>42</v>
      </c>
      <c r="F895" s="6" t="s">
        <v>656</v>
      </c>
      <c r="G895" s="7">
        <v>67</v>
      </c>
    </row>
    <row r="896" spans="1:7" x14ac:dyDescent="0.3">
      <c r="A896" s="18">
        <v>46067</v>
      </c>
      <c r="B896" s="18" t="s">
        <v>51</v>
      </c>
      <c r="C896" s="18" t="s">
        <v>645</v>
      </c>
      <c r="D896" s="6" t="s">
        <v>438</v>
      </c>
      <c r="E896" s="6" t="s">
        <v>47</v>
      </c>
      <c r="F896" s="6" t="s">
        <v>659</v>
      </c>
      <c r="G896" s="7">
        <v>105</v>
      </c>
    </row>
    <row r="897" spans="1:7" x14ac:dyDescent="0.3">
      <c r="A897" s="18">
        <v>46036</v>
      </c>
      <c r="B897" s="18" t="s">
        <v>51</v>
      </c>
      <c r="C897" s="18" t="s">
        <v>645</v>
      </c>
      <c r="D897" s="6" t="s">
        <v>382</v>
      </c>
      <c r="E897" s="6" t="s">
        <v>47</v>
      </c>
      <c r="F897" s="6" t="s">
        <v>656</v>
      </c>
      <c r="G897" s="7">
        <v>1115.02</v>
      </c>
    </row>
    <row r="898" spans="1:7" x14ac:dyDescent="0.3">
      <c r="A898" s="18">
        <v>46113</v>
      </c>
      <c r="B898" s="18" t="s">
        <v>51</v>
      </c>
      <c r="C898" s="18" t="s">
        <v>645</v>
      </c>
      <c r="D898" s="6" t="s">
        <v>771</v>
      </c>
      <c r="E898" s="6" t="s">
        <v>47</v>
      </c>
      <c r="F898" s="6" t="s">
        <v>656</v>
      </c>
      <c r="G898" s="7">
        <v>439.9</v>
      </c>
    </row>
    <row r="899" spans="1:7" x14ac:dyDescent="0.3">
      <c r="A899" s="18">
        <v>46105</v>
      </c>
      <c r="B899" s="18" t="s">
        <v>51</v>
      </c>
      <c r="C899" s="18" t="s">
        <v>645</v>
      </c>
      <c r="D899" s="6" t="s">
        <v>579</v>
      </c>
      <c r="E899" s="6" t="s">
        <v>47</v>
      </c>
      <c r="F899" s="6" t="s">
        <v>656</v>
      </c>
      <c r="G899" s="7">
        <v>77.260000000000005</v>
      </c>
    </row>
    <row r="900" spans="1:7" x14ac:dyDescent="0.3">
      <c r="A900" s="18">
        <v>46105</v>
      </c>
      <c r="B900" s="18" t="s">
        <v>51</v>
      </c>
      <c r="C900" s="18" t="s">
        <v>645</v>
      </c>
      <c r="D900" s="6" t="s">
        <v>579</v>
      </c>
      <c r="E900" s="6" t="s">
        <v>47</v>
      </c>
      <c r="F900" s="6" t="s">
        <v>656</v>
      </c>
      <c r="G900" s="7">
        <v>81.209999999999994</v>
      </c>
    </row>
    <row r="901" spans="1:7" x14ac:dyDescent="0.3">
      <c r="A901" s="18">
        <v>46105</v>
      </c>
      <c r="B901" s="18" t="s">
        <v>51</v>
      </c>
      <c r="C901" s="18" t="s">
        <v>645</v>
      </c>
      <c r="D901" s="6" t="s">
        <v>579</v>
      </c>
      <c r="E901" s="6" t="s">
        <v>47</v>
      </c>
      <c r="F901" s="6" t="s">
        <v>656</v>
      </c>
      <c r="G901" s="7">
        <v>114.45</v>
      </c>
    </row>
    <row r="902" spans="1:7" x14ac:dyDescent="0.3">
      <c r="A902" s="18">
        <v>46105</v>
      </c>
      <c r="B902" s="18" t="s">
        <v>51</v>
      </c>
      <c r="C902" s="18" t="s">
        <v>645</v>
      </c>
      <c r="D902" s="6" t="s">
        <v>579</v>
      </c>
      <c r="E902" s="6" t="s">
        <v>47</v>
      </c>
      <c r="F902" s="6" t="s">
        <v>656</v>
      </c>
      <c r="G902" s="7">
        <v>219.9</v>
      </c>
    </row>
    <row r="903" spans="1:7" x14ac:dyDescent="0.3">
      <c r="A903" s="18">
        <v>46105</v>
      </c>
      <c r="B903" s="18" t="s">
        <v>51</v>
      </c>
      <c r="C903" s="18" t="s">
        <v>645</v>
      </c>
      <c r="D903" s="6" t="s">
        <v>579</v>
      </c>
      <c r="E903" s="6" t="s">
        <v>47</v>
      </c>
      <c r="F903" s="6" t="s">
        <v>656</v>
      </c>
      <c r="G903" s="7">
        <v>333.07</v>
      </c>
    </row>
    <row r="904" spans="1:7" x14ac:dyDescent="0.3">
      <c r="A904" s="18">
        <v>46113</v>
      </c>
      <c r="B904" s="18" t="s">
        <v>51</v>
      </c>
      <c r="C904" s="18" t="s">
        <v>645</v>
      </c>
      <c r="D904" s="6" t="s">
        <v>703</v>
      </c>
      <c r="E904" s="6" t="s">
        <v>42</v>
      </c>
      <c r="F904" s="6" t="s">
        <v>656</v>
      </c>
      <c r="G904" s="7">
        <v>17.899999999999999</v>
      </c>
    </row>
    <row r="905" spans="1:7" x14ac:dyDescent="0.3">
      <c r="A905" s="18">
        <v>46113</v>
      </c>
      <c r="B905" s="18" t="s">
        <v>51</v>
      </c>
      <c r="C905" s="18" t="s">
        <v>645</v>
      </c>
      <c r="D905" s="6" t="s">
        <v>722</v>
      </c>
      <c r="E905" s="6" t="s">
        <v>42</v>
      </c>
      <c r="F905" s="6" t="s">
        <v>656</v>
      </c>
      <c r="G905" s="7">
        <v>85.3</v>
      </c>
    </row>
    <row r="906" spans="1:7" x14ac:dyDescent="0.3">
      <c r="A906" s="18">
        <v>46167</v>
      </c>
      <c r="B906" s="18" t="s">
        <v>51</v>
      </c>
      <c r="C906" s="18" t="s">
        <v>645</v>
      </c>
      <c r="D906" s="6" t="s">
        <v>915</v>
      </c>
      <c r="E906" s="6" t="s">
        <v>57</v>
      </c>
      <c r="F906" s="6" t="s">
        <v>656</v>
      </c>
      <c r="G906" s="7">
        <v>20</v>
      </c>
    </row>
    <row r="907" spans="1:7" x14ac:dyDescent="0.3">
      <c r="A907" s="18">
        <v>46041</v>
      </c>
      <c r="B907" s="18" t="s">
        <v>51</v>
      </c>
      <c r="C907" s="18" t="s">
        <v>645</v>
      </c>
      <c r="D907" s="6" t="s">
        <v>408</v>
      </c>
      <c r="E907" s="6" t="s">
        <v>57</v>
      </c>
      <c r="F907" s="6" t="s">
        <v>656</v>
      </c>
      <c r="G907" s="7">
        <v>1250</v>
      </c>
    </row>
    <row r="908" spans="1:7" x14ac:dyDescent="0.3">
      <c r="A908" s="18">
        <v>46155</v>
      </c>
      <c r="B908" s="18" t="s">
        <v>51</v>
      </c>
      <c r="C908" s="18" t="s">
        <v>645</v>
      </c>
      <c r="D908" s="6" t="s">
        <v>894</v>
      </c>
      <c r="E908" s="6" t="s">
        <v>47</v>
      </c>
      <c r="F908" s="6" t="s">
        <v>656</v>
      </c>
      <c r="G908" s="7">
        <v>49</v>
      </c>
    </row>
    <row r="909" spans="1:7" x14ac:dyDescent="0.3">
      <c r="A909" s="18">
        <v>46100</v>
      </c>
      <c r="B909" s="18" t="s">
        <v>51</v>
      </c>
      <c r="C909" s="18" t="s">
        <v>645</v>
      </c>
      <c r="D909" s="6" t="s">
        <v>529</v>
      </c>
      <c r="E909" s="6" t="s">
        <v>47</v>
      </c>
      <c r="F909" s="6" t="s">
        <v>656</v>
      </c>
      <c r="G909" s="7">
        <v>29.6</v>
      </c>
    </row>
    <row r="910" spans="1:7" x14ac:dyDescent="0.3">
      <c r="A910" s="18">
        <v>46023</v>
      </c>
      <c r="B910" s="18" t="s">
        <v>51</v>
      </c>
      <c r="C910" s="18" t="s">
        <v>645</v>
      </c>
      <c r="D910" s="6" t="s">
        <v>430</v>
      </c>
      <c r="E910" s="6" t="s">
        <v>47</v>
      </c>
      <c r="F910" s="6" t="s">
        <v>656</v>
      </c>
      <c r="G910" s="7">
        <v>1246.5</v>
      </c>
    </row>
    <row r="911" spans="1:7" x14ac:dyDescent="0.3">
      <c r="A911" s="18">
        <v>46070</v>
      </c>
      <c r="B911" s="18" t="s">
        <v>51</v>
      </c>
      <c r="C911" s="18" t="s">
        <v>645</v>
      </c>
      <c r="D911" s="6" t="s">
        <v>492</v>
      </c>
      <c r="E911" s="6" t="s">
        <v>57</v>
      </c>
      <c r="F911" s="6" t="s">
        <v>656</v>
      </c>
      <c r="G911" s="7">
        <v>129.99</v>
      </c>
    </row>
    <row r="912" spans="1:7" x14ac:dyDescent="0.3">
      <c r="A912" s="18">
        <v>46155</v>
      </c>
      <c r="B912" s="18" t="s">
        <v>51</v>
      </c>
      <c r="C912" s="18" t="s">
        <v>645</v>
      </c>
      <c r="D912" s="6" t="s">
        <v>893</v>
      </c>
      <c r="E912" s="6" t="s">
        <v>47</v>
      </c>
      <c r="F912" s="6" t="s">
        <v>656</v>
      </c>
      <c r="G912" s="7">
        <v>140</v>
      </c>
    </row>
    <row r="913" spans="1:7" x14ac:dyDescent="0.3">
      <c r="A913" s="18">
        <v>46023</v>
      </c>
      <c r="B913" s="18" t="s">
        <v>51</v>
      </c>
      <c r="C913" s="18" t="s">
        <v>645</v>
      </c>
      <c r="D913" s="6" t="s">
        <v>429</v>
      </c>
      <c r="E913" s="6" t="s">
        <v>47</v>
      </c>
      <c r="F913" s="6" t="s">
        <v>656</v>
      </c>
      <c r="G913" s="7">
        <v>9852.41</v>
      </c>
    </row>
    <row r="914" spans="1:7" x14ac:dyDescent="0.3">
      <c r="A914" s="18">
        <v>46071</v>
      </c>
      <c r="B914" s="18" t="s">
        <v>51</v>
      </c>
      <c r="C914" s="18" t="s">
        <v>645</v>
      </c>
      <c r="D914" s="6" t="s">
        <v>406</v>
      </c>
      <c r="E914" s="6" t="s">
        <v>47</v>
      </c>
      <c r="F914" s="6" t="s">
        <v>656</v>
      </c>
      <c r="G914" s="7">
        <v>169.39</v>
      </c>
    </row>
    <row r="915" spans="1:7" x14ac:dyDescent="0.3">
      <c r="A915" s="18">
        <v>46027</v>
      </c>
      <c r="B915" s="18" t="s">
        <v>51</v>
      </c>
      <c r="C915" s="18" t="s">
        <v>645</v>
      </c>
      <c r="D915" s="6" t="s">
        <v>337</v>
      </c>
      <c r="E915" s="6" t="s">
        <v>47</v>
      </c>
      <c r="F915" s="6" t="s">
        <v>656</v>
      </c>
      <c r="G915" s="7">
        <v>98</v>
      </c>
    </row>
    <row r="916" spans="1:7" x14ac:dyDescent="0.3">
      <c r="A916" s="18">
        <v>46195</v>
      </c>
      <c r="B916" s="18" t="s">
        <v>51</v>
      </c>
      <c r="C916" s="18" t="s">
        <v>645</v>
      </c>
      <c r="D916" s="6" t="s">
        <v>1104</v>
      </c>
      <c r="E916" s="6" t="s">
        <v>47</v>
      </c>
      <c r="F916" s="6" t="s">
        <v>656</v>
      </c>
      <c r="G916" s="7">
        <v>14.47</v>
      </c>
    </row>
    <row r="917" spans="1:7" x14ac:dyDescent="0.3">
      <c r="A917" s="18">
        <v>46191</v>
      </c>
      <c r="B917" s="18" t="s">
        <v>51</v>
      </c>
      <c r="C917" s="18" t="s">
        <v>645</v>
      </c>
      <c r="D917" s="6" t="s">
        <v>1099</v>
      </c>
      <c r="E917" s="6" t="s">
        <v>42</v>
      </c>
      <c r="F917" s="6" t="s">
        <v>656</v>
      </c>
      <c r="G917" s="7">
        <v>880</v>
      </c>
    </row>
    <row r="918" spans="1:7" x14ac:dyDescent="0.3">
      <c r="A918" s="18">
        <v>46113</v>
      </c>
      <c r="B918" s="18" t="s">
        <v>51</v>
      </c>
      <c r="C918" s="18" t="s">
        <v>645</v>
      </c>
      <c r="D918" s="6" t="s">
        <v>725</v>
      </c>
      <c r="E918" s="6" t="s">
        <v>57</v>
      </c>
      <c r="F918" s="6" t="s">
        <v>656</v>
      </c>
      <c r="G918" s="7">
        <v>47</v>
      </c>
    </row>
    <row r="919" spans="1:7" x14ac:dyDescent="0.3">
      <c r="A919" s="18">
        <v>46201</v>
      </c>
      <c r="B919" s="18" t="s">
        <v>51</v>
      </c>
      <c r="C919" s="18" t="s">
        <v>645</v>
      </c>
      <c r="D919" s="6" t="s">
        <v>1131</v>
      </c>
      <c r="E919" s="6" t="s">
        <v>47</v>
      </c>
      <c r="F919" s="6" t="s">
        <v>656</v>
      </c>
      <c r="G919" s="7">
        <v>30.96</v>
      </c>
    </row>
    <row r="920" spans="1:7" x14ac:dyDescent="0.3">
      <c r="A920" s="18">
        <v>46055</v>
      </c>
      <c r="B920" s="18" t="s">
        <v>51</v>
      </c>
      <c r="C920" s="18" t="s">
        <v>645</v>
      </c>
      <c r="D920" s="6" t="s">
        <v>461</v>
      </c>
      <c r="E920" s="6" t="s">
        <v>42</v>
      </c>
      <c r="F920" s="6" t="s">
        <v>656</v>
      </c>
      <c r="G920" s="7">
        <v>345</v>
      </c>
    </row>
    <row r="921" spans="1:7" x14ac:dyDescent="0.3">
      <c r="A921" s="18">
        <v>46059</v>
      </c>
      <c r="B921" s="18" t="s">
        <v>51</v>
      </c>
      <c r="C921" s="18" t="s">
        <v>645</v>
      </c>
      <c r="D921" s="6" t="s">
        <v>218</v>
      </c>
      <c r="E921" s="6" t="s">
        <v>57</v>
      </c>
      <c r="F921" s="6" t="s">
        <v>659</v>
      </c>
      <c r="G921" s="7">
        <v>30</v>
      </c>
    </row>
    <row r="922" spans="1:7" x14ac:dyDescent="0.3">
      <c r="A922" s="18">
        <v>46027</v>
      </c>
      <c r="B922" s="18" t="s">
        <v>51</v>
      </c>
      <c r="C922" s="18" t="s">
        <v>645</v>
      </c>
      <c r="D922" s="6" t="s">
        <v>339</v>
      </c>
      <c r="E922" s="6" t="s">
        <v>42</v>
      </c>
      <c r="F922" s="6" t="s">
        <v>656</v>
      </c>
      <c r="G922" s="7">
        <v>329</v>
      </c>
    </row>
    <row r="923" spans="1:7" x14ac:dyDescent="0.3">
      <c r="A923" s="18">
        <v>46036</v>
      </c>
      <c r="B923" s="18" t="s">
        <v>51</v>
      </c>
      <c r="C923" s="18" t="s">
        <v>645</v>
      </c>
      <c r="D923" s="6" t="s">
        <v>339</v>
      </c>
      <c r="E923" s="6" t="s">
        <v>42</v>
      </c>
      <c r="F923" s="6" t="s">
        <v>656</v>
      </c>
      <c r="G923" s="7">
        <v>246.75</v>
      </c>
    </row>
    <row r="924" spans="1:7" x14ac:dyDescent="0.3">
      <c r="A924" s="18">
        <v>46064</v>
      </c>
      <c r="B924" s="18" t="s">
        <v>51</v>
      </c>
      <c r="C924" s="18" t="s">
        <v>645</v>
      </c>
      <c r="D924" s="6" t="s">
        <v>339</v>
      </c>
      <c r="E924" s="6" t="s">
        <v>42</v>
      </c>
      <c r="F924" s="6" t="s">
        <v>656</v>
      </c>
      <c r="G924" s="7">
        <v>29</v>
      </c>
    </row>
    <row r="925" spans="1:7" x14ac:dyDescent="0.3">
      <c r="A925" s="18">
        <v>46079</v>
      </c>
      <c r="B925" s="18" t="s">
        <v>51</v>
      </c>
      <c r="C925" s="18" t="s">
        <v>645</v>
      </c>
      <c r="D925" s="6" t="s">
        <v>339</v>
      </c>
      <c r="E925" s="6" t="s">
        <v>42</v>
      </c>
      <c r="F925" s="6" t="s">
        <v>656</v>
      </c>
      <c r="G925" s="7">
        <v>270</v>
      </c>
    </row>
    <row r="926" spans="1:7" x14ac:dyDescent="0.3">
      <c r="A926" s="18">
        <v>46076</v>
      </c>
      <c r="B926" s="18" t="s">
        <v>51</v>
      </c>
      <c r="C926" s="18" t="s">
        <v>645</v>
      </c>
      <c r="D926" s="6" t="s">
        <v>508</v>
      </c>
      <c r="E926" s="6" t="s">
        <v>57</v>
      </c>
      <c r="F926" s="6" t="s">
        <v>656</v>
      </c>
      <c r="G926" s="7">
        <v>15</v>
      </c>
    </row>
    <row r="927" spans="1:7" x14ac:dyDescent="0.3">
      <c r="A927" s="18">
        <v>46068</v>
      </c>
      <c r="B927" s="18" t="s">
        <v>51</v>
      </c>
      <c r="C927" s="18" t="s">
        <v>645</v>
      </c>
      <c r="D927" s="6" t="s">
        <v>482</v>
      </c>
      <c r="E927" s="6" t="s">
        <v>47</v>
      </c>
      <c r="F927" s="6" t="s">
        <v>656</v>
      </c>
      <c r="G927" s="7">
        <v>71.92</v>
      </c>
    </row>
    <row r="928" spans="1:7" x14ac:dyDescent="0.3">
      <c r="A928" s="18">
        <v>46112</v>
      </c>
      <c r="B928" s="18" t="s">
        <v>51</v>
      </c>
      <c r="C928" s="18" t="s">
        <v>645</v>
      </c>
      <c r="D928" s="6" t="s">
        <v>612</v>
      </c>
      <c r="E928" s="6" t="s">
        <v>47</v>
      </c>
      <c r="F928" s="6" t="s">
        <v>656</v>
      </c>
      <c r="G928" s="7">
        <v>228</v>
      </c>
    </row>
    <row r="929" spans="1:7" x14ac:dyDescent="0.3">
      <c r="A929" s="18">
        <v>46090</v>
      </c>
      <c r="B929" s="18" t="s">
        <v>51</v>
      </c>
      <c r="C929" s="18" t="s">
        <v>645</v>
      </c>
      <c r="D929" s="6" t="s">
        <v>547</v>
      </c>
      <c r="E929" s="6" t="s">
        <v>42</v>
      </c>
      <c r="F929" s="6" t="s">
        <v>656</v>
      </c>
      <c r="G929" s="7">
        <v>15</v>
      </c>
    </row>
    <row r="930" spans="1:7" x14ac:dyDescent="0.3">
      <c r="A930" s="18">
        <v>46113</v>
      </c>
      <c r="B930" s="18" t="s">
        <v>51</v>
      </c>
      <c r="C930" s="18" t="s">
        <v>645</v>
      </c>
      <c r="D930" s="6" t="s">
        <v>547</v>
      </c>
      <c r="E930" s="6" t="s">
        <v>47</v>
      </c>
      <c r="F930" s="6" t="s">
        <v>656</v>
      </c>
      <c r="G930" s="7">
        <v>15</v>
      </c>
    </row>
    <row r="931" spans="1:7" x14ac:dyDescent="0.3">
      <c r="A931" s="18">
        <v>46113</v>
      </c>
      <c r="B931" s="18" t="s">
        <v>51</v>
      </c>
      <c r="C931" s="18" t="s">
        <v>645</v>
      </c>
      <c r="D931" s="6" t="s">
        <v>547</v>
      </c>
      <c r="E931" s="6" t="s">
        <v>42</v>
      </c>
      <c r="F931" s="6" t="s">
        <v>656</v>
      </c>
      <c r="G931" s="7">
        <v>15</v>
      </c>
    </row>
    <row r="932" spans="1:7" x14ac:dyDescent="0.3">
      <c r="A932" s="18">
        <v>46113</v>
      </c>
      <c r="B932" s="18" t="s">
        <v>51</v>
      </c>
      <c r="C932" s="18" t="s">
        <v>645</v>
      </c>
      <c r="D932" s="6" t="s">
        <v>547</v>
      </c>
      <c r="E932" s="6" t="s">
        <v>57</v>
      </c>
      <c r="F932" s="6" t="s">
        <v>656</v>
      </c>
      <c r="G932" s="7">
        <v>15</v>
      </c>
    </row>
    <row r="933" spans="1:7" x14ac:dyDescent="0.3">
      <c r="A933" s="18">
        <v>46153</v>
      </c>
      <c r="B933" s="18" t="s">
        <v>51</v>
      </c>
      <c r="C933" s="18" t="s">
        <v>645</v>
      </c>
      <c r="D933" s="6" t="s">
        <v>547</v>
      </c>
      <c r="E933" s="6" t="s">
        <v>47</v>
      </c>
      <c r="F933" s="6" t="s">
        <v>656</v>
      </c>
      <c r="G933" s="7">
        <v>15</v>
      </c>
    </row>
    <row r="934" spans="1:7" x14ac:dyDescent="0.3">
      <c r="A934" s="18">
        <v>46160</v>
      </c>
      <c r="B934" s="18" t="s">
        <v>51</v>
      </c>
      <c r="C934" s="18" t="s">
        <v>645</v>
      </c>
      <c r="D934" s="6" t="s">
        <v>547</v>
      </c>
      <c r="E934" s="6" t="s">
        <v>57</v>
      </c>
      <c r="F934" s="6" t="s">
        <v>656</v>
      </c>
      <c r="G934" s="7">
        <v>15</v>
      </c>
    </row>
    <row r="935" spans="1:7" x14ac:dyDescent="0.3">
      <c r="A935" s="18">
        <v>46188</v>
      </c>
      <c r="B935" s="18" t="s">
        <v>51</v>
      </c>
      <c r="C935" s="18" t="s">
        <v>645</v>
      </c>
      <c r="D935" s="6" t="s">
        <v>547</v>
      </c>
      <c r="E935" s="6" t="s">
        <v>47</v>
      </c>
      <c r="F935" s="6" t="s">
        <v>656</v>
      </c>
      <c r="G935" s="7">
        <v>15</v>
      </c>
    </row>
    <row r="936" spans="1:7" x14ac:dyDescent="0.3">
      <c r="A936" s="18">
        <v>46195</v>
      </c>
      <c r="B936" s="18" t="s">
        <v>51</v>
      </c>
      <c r="C936" s="18" t="s">
        <v>645</v>
      </c>
      <c r="D936" s="6" t="s">
        <v>547</v>
      </c>
      <c r="E936" s="6" t="s">
        <v>47</v>
      </c>
      <c r="F936" s="6" t="s">
        <v>656</v>
      </c>
      <c r="G936" s="7">
        <v>15</v>
      </c>
    </row>
    <row r="937" spans="1:7" x14ac:dyDescent="0.3">
      <c r="A937" s="18">
        <v>46025</v>
      </c>
      <c r="B937" s="18" t="s">
        <v>51</v>
      </c>
      <c r="C937" s="18" t="s">
        <v>645</v>
      </c>
      <c r="D937" s="6" t="s">
        <v>320</v>
      </c>
      <c r="E937" s="6" t="s">
        <v>47</v>
      </c>
      <c r="F937" s="6" t="s">
        <v>656</v>
      </c>
      <c r="G937" s="7">
        <v>59.99</v>
      </c>
    </row>
    <row r="938" spans="1:7" x14ac:dyDescent="0.3">
      <c r="A938" s="18">
        <v>46027</v>
      </c>
      <c r="B938" s="18" t="s">
        <v>51</v>
      </c>
      <c r="C938" s="18" t="s">
        <v>645</v>
      </c>
      <c r="D938" s="6" t="s">
        <v>342</v>
      </c>
      <c r="E938" s="6" t="s">
        <v>47</v>
      </c>
      <c r="F938" s="6" t="s">
        <v>656</v>
      </c>
      <c r="G938" s="7">
        <v>52.69</v>
      </c>
    </row>
    <row r="939" spans="1:7" x14ac:dyDescent="0.3">
      <c r="A939" s="18">
        <v>46079</v>
      </c>
      <c r="B939" s="18" t="s">
        <v>51</v>
      </c>
      <c r="C939" s="18" t="s">
        <v>645</v>
      </c>
      <c r="D939" s="6" t="s">
        <v>513</v>
      </c>
      <c r="E939" s="6" t="s">
        <v>47</v>
      </c>
      <c r="F939" s="6" t="s">
        <v>656</v>
      </c>
      <c r="G939" s="7">
        <v>80</v>
      </c>
    </row>
    <row r="940" spans="1:7" x14ac:dyDescent="0.3">
      <c r="A940" s="18">
        <v>46113</v>
      </c>
      <c r="B940" s="18" t="s">
        <v>51</v>
      </c>
      <c r="C940" s="18" t="s">
        <v>645</v>
      </c>
      <c r="D940" s="6" t="s">
        <v>740</v>
      </c>
      <c r="E940" s="6" t="s">
        <v>47</v>
      </c>
      <c r="F940" s="6" t="s">
        <v>656</v>
      </c>
      <c r="G940" s="7">
        <v>13.55</v>
      </c>
    </row>
    <row r="941" spans="1:7" x14ac:dyDescent="0.3">
      <c r="A941" s="18">
        <v>46113</v>
      </c>
      <c r="B941" s="18" t="s">
        <v>51</v>
      </c>
      <c r="C941" s="18" t="s">
        <v>645</v>
      </c>
      <c r="D941" s="6" t="s">
        <v>740</v>
      </c>
      <c r="E941" s="6" t="s">
        <v>57</v>
      </c>
      <c r="F941" s="6" t="s">
        <v>656</v>
      </c>
      <c r="G941" s="7">
        <v>45.75</v>
      </c>
    </row>
    <row r="942" spans="1:7" x14ac:dyDescent="0.3">
      <c r="A942" s="18">
        <v>46147</v>
      </c>
      <c r="B942" s="18" t="s">
        <v>51</v>
      </c>
      <c r="C942" s="18" t="s">
        <v>645</v>
      </c>
      <c r="D942" s="6" t="s">
        <v>879</v>
      </c>
      <c r="E942" s="6" t="s">
        <v>57</v>
      </c>
      <c r="F942" s="6" t="s">
        <v>656</v>
      </c>
      <c r="G942" s="7">
        <v>38</v>
      </c>
    </row>
    <row r="943" spans="1:7" x14ac:dyDescent="0.3">
      <c r="A943" s="18">
        <v>46093</v>
      </c>
      <c r="B943" s="18" t="s">
        <v>51</v>
      </c>
      <c r="C943" s="18" t="s">
        <v>645</v>
      </c>
      <c r="D943" s="6" t="s">
        <v>552</v>
      </c>
      <c r="E943" s="6" t="s">
        <v>42</v>
      </c>
      <c r="F943" s="6" t="s">
        <v>656</v>
      </c>
      <c r="G943" s="7">
        <v>25</v>
      </c>
    </row>
    <row r="944" spans="1:7" x14ac:dyDescent="0.3">
      <c r="A944" s="18">
        <v>46098</v>
      </c>
      <c r="B944" s="18" t="s">
        <v>51</v>
      </c>
      <c r="C944" s="18" t="s">
        <v>645</v>
      </c>
      <c r="D944" s="6" t="s">
        <v>552</v>
      </c>
      <c r="E944" s="6" t="s">
        <v>57</v>
      </c>
      <c r="F944" s="6" t="s">
        <v>656</v>
      </c>
      <c r="G944" s="7">
        <v>25</v>
      </c>
    </row>
    <row r="945" spans="1:7" x14ac:dyDescent="0.3">
      <c r="A945" s="18">
        <v>46105</v>
      </c>
      <c r="B945" s="18" t="s">
        <v>51</v>
      </c>
      <c r="C945" s="18" t="s">
        <v>645</v>
      </c>
      <c r="D945" s="6" t="s">
        <v>552</v>
      </c>
      <c r="E945" s="6" t="s">
        <v>57</v>
      </c>
      <c r="F945" s="6" t="s">
        <v>656</v>
      </c>
      <c r="G945" s="7">
        <v>25</v>
      </c>
    </row>
    <row r="946" spans="1:7" x14ac:dyDescent="0.3">
      <c r="A946" s="18">
        <v>46113</v>
      </c>
      <c r="B946" s="18" t="s">
        <v>51</v>
      </c>
      <c r="C946" s="18" t="s">
        <v>645</v>
      </c>
      <c r="D946" s="6" t="s">
        <v>552</v>
      </c>
      <c r="E946" s="6" t="s">
        <v>57</v>
      </c>
      <c r="F946" s="6" t="s">
        <v>656</v>
      </c>
      <c r="G946" s="7">
        <v>50</v>
      </c>
    </row>
    <row r="947" spans="1:7" x14ac:dyDescent="0.3">
      <c r="A947" s="18">
        <v>46147</v>
      </c>
      <c r="B947" s="18" t="s">
        <v>51</v>
      </c>
      <c r="C947" s="18" t="s">
        <v>645</v>
      </c>
      <c r="D947" s="6" t="s">
        <v>552</v>
      </c>
      <c r="E947" s="6" t="s">
        <v>42</v>
      </c>
      <c r="F947" s="6" t="s">
        <v>656</v>
      </c>
      <c r="G947" s="7">
        <v>25</v>
      </c>
    </row>
    <row r="948" spans="1:7" x14ac:dyDescent="0.3">
      <c r="A948" s="18">
        <v>46026</v>
      </c>
      <c r="B948" s="18" t="s">
        <v>51</v>
      </c>
      <c r="C948" s="18" t="s">
        <v>645</v>
      </c>
      <c r="D948" s="6" t="s">
        <v>333</v>
      </c>
      <c r="E948" s="6" t="s">
        <v>47</v>
      </c>
      <c r="F948" s="6" t="s">
        <v>656</v>
      </c>
      <c r="G948" s="7">
        <v>60</v>
      </c>
    </row>
    <row r="949" spans="1:7" x14ac:dyDescent="0.3">
      <c r="A949" s="18">
        <v>46088</v>
      </c>
      <c r="B949" s="18" t="s">
        <v>51</v>
      </c>
      <c r="C949" s="18" t="s">
        <v>645</v>
      </c>
      <c r="D949" s="6" t="s">
        <v>538</v>
      </c>
      <c r="E949" s="6" t="s">
        <v>57</v>
      </c>
      <c r="F949" s="6" t="s">
        <v>656</v>
      </c>
      <c r="G949" s="7">
        <v>228</v>
      </c>
    </row>
    <row r="950" spans="1:7" x14ac:dyDescent="0.3">
      <c r="A950" s="18">
        <v>46164</v>
      </c>
      <c r="B950" s="18" t="s">
        <v>51</v>
      </c>
      <c r="C950" s="18" t="s">
        <v>645</v>
      </c>
      <c r="D950" s="6" t="s">
        <v>913</v>
      </c>
      <c r="E950" s="6" t="s">
        <v>42</v>
      </c>
      <c r="F950" s="6" t="s">
        <v>656</v>
      </c>
      <c r="G950" s="7">
        <v>79.5</v>
      </c>
    </row>
    <row r="951" spans="1:7" x14ac:dyDescent="0.3">
      <c r="A951" s="18">
        <v>46101</v>
      </c>
      <c r="B951" s="18" t="s">
        <v>51</v>
      </c>
      <c r="C951" s="18" t="s">
        <v>645</v>
      </c>
      <c r="D951" s="6" t="s">
        <v>106</v>
      </c>
      <c r="E951" s="6" t="s">
        <v>47</v>
      </c>
      <c r="F951" s="6" t="s">
        <v>656</v>
      </c>
      <c r="G951" s="7">
        <v>44.1</v>
      </c>
    </row>
    <row r="952" spans="1:7" x14ac:dyDescent="0.3">
      <c r="A952" s="18">
        <v>46102</v>
      </c>
      <c r="B952" s="18" t="s">
        <v>51</v>
      </c>
      <c r="C952" s="18" t="s">
        <v>645</v>
      </c>
      <c r="D952" s="6" t="s">
        <v>106</v>
      </c>
      <c r="E952" s="6" t="s">
        <v>47</v>
      </c>
      <c r="F952" s="6" t="s">
        <v>656</v>
      </c>
      <c r="G952" s="7">
        <v>44.1</v>
      </c>
    </row>
    <row r="953" spans="1:7" x14ac:dyDescent="0.3">
      <c r="A953" s="18">
        <v>46041</v>
      </c>
      <c r="B953" s="18" t="s">
        <v>51</v>
      </c>
      <c r="C953" s="18" t="s">
        <v>645</v>
      </c>
      <c r="D953" s="6" t="s">
        <v>407</v>
      </c>
      <c r="E953" s="6" t="s">
        <v>47</v>
      </c>
      <c r="F953" s="6" t="s">
        <v>656</v>
      </c>
      <c r="G953" s="7">
        <v>14.3</v>
      </c>
    </row>
    <row r="954" spans="1:7" x14ac:dyDescent="0.3">
      <c r="A954" s="18">
        <v>46202</v>
      </c>
      <c r="B954" s="18" t="s">
        <v>51</v>
      </c>
      <c r="C954" s="18" t="s">
        <v>645</v>
      </c>
      <c r="D954" s="6" t="s">
        <v>407</v>
      </c>
      <c r="E954" s="6" t="s">
        <v>47</v>
      </c>
      <c r="F954" s="6" t="s">
        <v>656</v>
      </c>
      <c r="G954" s="7">
        <v>14.3</v>
      </c>
    </row>
    <row r="955" spans="1:7" x14ac:dyDescent="0.3">
      <c r="A955" s="18">
        <v>46041</v>
      </c>
      <c r="B955" s="18" t="s">
        <v>51</v>
      </c>
      <c r="C955" s="18" t="s">
        <v>645</v>
      </c>
      <c r="D955" s="6" t="s">
        <v>309</v>
      </c>
      <c r="E955" s="6" t="s">
        <v>47</v>
      </c>
      <c r="F955" s="6" t="s">
        <v>656</v>
      </c>
      <c r="G955" s="7">
        <v>5.43</v>
      </c>
    </row>
    <row r="956" spans="1:7" x14ac:dyDescent="0.3">
      <c r="A956" s="18">
        <v>46086</v>
      </c>
      <c r="B956" s="18" t="s">
        <v>51</v>
      </c>
      <c r="C956" s="18" t="s">
        <v>645</v>
      </c>
      <c r="D956" s="6" t="s">
        <v>309</v>
      </c>
      <c r="E956" s="6" t="s">
        <v>47</v>
      </c>
      <c r="F956" s="6" t="s">
        <v>656</v>
      </c>
      <c r="G956" s="7">
        <v>67.88</v>
      </c>
    </row>
    <row r="957" spans="1:7" x14ac:dyDescent="0.3">
      <c r="A957" s="18">
        <v>46149</v>
      </c>
      <c r="B957" s="18" t="s">
        <v>51</v>
      </c>
      <c r="C957" s="18" t="s">
        <v>645</v>
      </c>
      <c r="D957" s="6" t="s">
        <v>1134</v>
      </c>
      <c r="E957" s="6" t="s">
        <v>57</v>
      </c>
      <c r="F957" s="6" t="s">
        <v>656</v>
      </c>
      <c r="G957" s="7">
        <v>740.23</v>
      </c>
    </row>
    <row r="958" spans="1:7" x14ac:dyDescent="0.3">
      <c r="A958" s="18">
        <v>46174</v>
      </c>
      <c r="B958" s="18" t="s">
        <v>51</v>
      </c>
      <c r="C958" s="18" t="s">
        <v>645</v>
      </c>
      <c r="D958" s="6" t="s">
        <v>1134</v>
      </c>
      <c r="E958" s="6" t="s">
        <v>57</v>
      </c>
      <c r="F958" s="6" t="s">
        <v>656</v>
      </c>
      <c r="G958" s="7">
        <v>740.2</v>
      </c>
    </row>
    <row r="959" spans="1:7" x14ac:dyDescent="0.3">
      <c r="A959" s="18">
        <v>46023</v>
      </c>
      <c r="B959" s="18" t="s">
        <v>51</v>
      </c>
      <c r="C959" s="18" t="s">
        <v>645</v>
      </c>
      <c r="D959" s="6" t="s">
        <v>432</v>
      </c>
      <c r="E959" s="6" t="s">
        <v>42</v>
      </c>
      <c r="F959" s="6" t="s">
        <v>656</v>
      </c>
      <c r="G959" s="7">
        <v>815.4</v>
      </c>
    </row>
    <row r="960" spans="1:7" x14ac:dyDescent="0.3">
      <c r="A960" s="18">
        <v>46054</v>
      </c>
      <c r="B960" s="18" t="s">
        <v>51</v>
      </c>
      <c r="C960" s="18" t="s">
        <v>645</v>
      </c>
      <c r="D960" s="6" t="s">
        <v>432</v>
      </c>
      <c r="E960" s="6" t="s">
        <v>42</v>
      </c>
      <c r="F960" s="6" t="s">
        <v>656</v>
      </c>
      <c r="G960" s="7">
        <v>815.4</v>
      </c>
    </row>
    <row r="961" spans="1:7" x14ac:dyDescent="0.3">
      <c r="A961" s="18">
        <v>46082</v>
      </c>
      <c r="B961" s="18" t="s">
        <v>51</v>
      </c>
      <c r="C961" s="18" t="s">
        <v>645</v>
      </c>
      <c r="D961" s="6" t="s">
        <v>432</v>
      </c>
      <c r="E961" s="6" t="s">
        <v>42</v>
      </c>
      <c r="F961" s="6" t="s">
        <v>656</v>
      </c>
      <c r="G961" s="7">
        <v>815.4</v>
      </c>
    </row>
    <row r="962" spans="1:7" x14ac:dyDescent="0.3">
      <c r="A962" s="18">
        <v>46113</v>
      </c>
      <c r="B962" s="18" t="s">
        <v>51</v>
      </c>
      <c r="C962" s="18" t="s">
        <v>645</v>
      </c>
      <c r="D962" s="6" t="s">
        <v>432</v>
      </c>
      <c r="E962" s="6" t="s">
        <v>42</v>
      </c>
      <c r="F962" s="6" t="s">
        <v>656</v>
      </c>
      <c r="G962" s="7">
        <v>815.4</v>
      </c>
    </row>
    <row r="963" spans="1:7" x14ac:dyDescent="0.3">
      <c r="A963" s="18">
        <v>46160</v>
      </c>
      <c r="B963" s="18" t="s">
        <v>51</v>
      </c>
      <c r="C963" s="18" t="s">
        <v>645</v>
      </c>
      <c r="D963" s="6" t="s">
        <v>904</v>
      </c>
      <c r="E963" s="6" t="s">
        <v>57</v>
      </c>
      <c r="F963" s="6" t="s">
        <v>656</v>
      </c>
      <c r="G963" s="7">
        <v>529.6</v>
      </c>
    </row>
    <row r="964" spans="1:7" x14ac:dyDescent="0.3">
      <c r="A964" s="18">
        <v>46070</v>
      </c>
      <c r="B964" s="18" t="s">
        <v>51</v>
      </c>
      <c r="C964" s="18" t="s">
        <v>645</v>
      </c>
      <c r="D964" s="6" t="s">
        <v>495</v>
      </c>
      <c r="E964" s="6" t="s">
        <v>57</v>
      </c>
      <c r="F964" s="6" t="s">
        <v>656</v>
      </c>
      <c r="G964" s="7">
        <v>45</v>
      </c>
    </row>
    <row r="965" spans="1:7" x14ac:dyDescent="0.3">
      <c r="A965" s="18">
        <v>46113</v>
      </c>
      <c r="B965" s="18" t="s">
        <v>51</v>
      </c>
      <c r="C965" s="18" t="s">
        <v>645</v>
      </c>
      <c r="D965" s="6" t="s">
        <v>781</v>
      </c>
      <c r="E965" s="6" t="s">
        <v>57</v>
      </c>
      <c r="F965" s="6" t="s">
        <v>659</v>
      </c>
      <c r="G965" s="7">
        <v>996.55</v>
      </c>
    </row>
    <row r="966" spans="1:7" x14ac:dyDescent="0.3">
      <c r="A966" s="18">
        <v>46113</v>
      </c>
      <c r="B966" s="18" t="s">
        <v>51</v>
      </c>
      <c r="C966" s="18" t="s">
        <v>645</v>
      </c>
      <c r="D966" s="6" t="s">
        <v>772</v>
      </c>
      <c r="E966" s="6" t="s">
        <v>57</v>
      </c>
      <c r="F966" s="6" t="s">
        <v>656</v>
      </c>
      <c r="G966" s="7">
        <v>239</v>
      </c>
    </row>
    <row r="967" spans="1:7" x14ac:dyDescent="0.3">
      <c r="A967" s="18">
        <v>46162</v>
      </c>
      <c r="B967" s="18" t="s">
        <v>51</v>
      </c>
      <c r="C967" s="18" t="s">
        <v>645</v>
      </c>
      <c r="D967" s="6" t="s">
        <v>772</v>
      </c>
      <c r="E967" s="6" t="s">
        <v>57</v>
      </c>
      <c r="F967" s="6" t="s">
        <v>656</v>
      </c>
      <c r="G967" s="7">
        <v>120</v>
      </c>
    </row>
    <row r="968" spans="1:7" x14ac:dyDescent="0.3">
      <c r="A968" s="18">
        <v>46151</v>
      </c>
      <c r="B968" s="18" t="s">
        <v>51</v>
      </c>
      <c r="C968" s="18" t="s">
        <v>645</v>
      </c>
      <c r="D968" s="34" t="s">
        <v>806</v>
      </c>
      <c r="E968" s="34" t="s">
        <v>47</v>
      </c>
      <c r="F968" s="6" t="s">
        <v>659</v>
      </c>
      <c r="G968" s="35">
        <v>453</v>
      </c>
    </row>
    <row r="969" spans="1:7" x14ac:dyDescent="0.3">
      <c r="A969" s="18">
        <v>46076</v>
      </c>
      <c r="B969" s="18" t="s">
        <v>51</v>
      </c>
      <c r="C969" s="18" t="s">
        <v>645</v>
      </c>
      <c r="D969" s="6" t="s">
        <v>507</v>
      </c>
      <c r="E969" s="6" t="s">
        <v>42</v>
      </c>
      <c r="F969" s="6" t="s">
        <v>656</v>
      </c>
      <c r="G969" s="7">
        <v>21.99</v>
      </c>
    </row>
    <row r="970" spans="1:7" x14ac:dyDescent="0.3">
      <c r="A970" s="18">
        <v>46040</v>
      </c>
      <c r="B970" s="18" t="s">
        <v>51</v>
      </c>
      <c r="C970" s="18" t="s">
        <v>645</v>
      </c>
      <c r="D970" s="6" t="s">
        <v>402</v>
      </c>
      <c r="E970" s="6" t="s">
        <v>47</v>
      </c>
      <c r="F970" s="6" t="s">
        <v>656</v>
      </c>
      <c r="G970" s="7">
        <v>14</v>
      </c>
    </row>
    <row r="971" spans="1:7" x14ac:dyDescent="0.3">
      <c r="A971" s="18">
        <v>46113</v>
      </c>
      <c r="B971" s="18" t="s">
        <v>51</v>
      </c>
      <c r="C971" s="18" t="s">
        <v>645</v>
      </c>
      <c r="D971" s="6" t="s">
        <v>748</v>
      </c>
      <c r="E971" s="6" t="s">
        <v>57</v>
      </c>
      <c r="F971" s="6" t="s">
        <v>656</v>
      </c>
      <c r="G971" s="7">
        <v>57.8</v>
      </c>
    </row>
    <row r="972" spans="1:7" x14ac:dyDescent="0.3">
      <c r="A972" s="18">
        <v>46160</v>
      </c>
      <c r="B972" s="18" t="s">
        <v>51</v>
      </c>
      <c r="C972" s="18" t="s">
        <v>645</v>
      </c>
      <c r="D972" s="6" t="s">
        <v>748</v>
      </c>
      <c r="E972" s="6" t="s">
        <v>47</v>
      </c>
      <c r="F972" s="6" t="s">
        <v>656</v>
      </c>
      <c r="G972" s="7">
        <v>86.7</v>
      </c>
    </row>
    <row r="973" spans="1:7" x14ac:dyDescent="0.3">
      <c r="A973" s="18">
        <v>46023</v>
      </c>
      <c r="B973" s="18" t="s">
        <v>51</v>
      </c>
      <c r="C973" s="18" t="s">
        <v>645</v>
      </c>
      <c r="D973" s="6" t="s">
        <v>343</v>
      </c>
      <c r="E973" s="6" t="s">
        <v>47</v>
      </c>
      <c r="F973" s="6" t="s">
        <v>656</v>
      </c>
      <c r="G973" s="7">
        <v>287.8</v>
      </c>
    </row>
    <row r="974" spans="1:7" x14ac:dyDescent="0.3">
      <c r="A974" s="18">
        <v>46023</v>
      </c>
      <c r="B974" s="18" t="s">
        <v>51</v>
      </c>
      <c r="C974" s="18" t="s">
        <v>645</v>
      </c>
      <c r="D974" s="6" t="s">
        <v>343</v>
      </c>
      <c r="E974" s="6" t="s">
        <v>47</v>
      </c>
      <c r="F974" s="6" t="s">
        <v>656</v>
      </c>
      <c r="G974" s="7">
        <v>1244.45</v>
      </c>
    </row>
    <row r="975" spans="1:7" x14ac:dyDescent="0.3">
      <c r="A975" s="18">
        <v>46027</v>
      </c>
      <c r="B975" s="18" t="s">
        <v>51</v>
      </c>
      <c r="C975" s="18" t="s">
        <v>645</v>
      </c>
      <c r="D975" s="6" t="s">
        <v>343</v>
      </c>
      <c r="E975" s="6" t="s">
        <v>47</v>
      </c>
      <c r="F975" s="6" t="s">
        <v>656</v>
      </c>
      <c r="G975" s="7">
        <v>56.66</v>
      </c>
    </row>
    <row r="976" spans="1:7" x14ac:dyDescent="0.3">
      <c r="A976" s="18">
        <v>46027</v>
      </c>
      <c r="B976" s="18" t="s">
        <v>51</v>
      </c>
      <c r="C976" s="18" t="s">
        <v>645</v>
      </c>
      <c r="D976" s="6" t="s">
        <v>343</v>
      </c>
      <c r="E976" s="6" t="s">
        <v>47</v>
      </c>
      <c r="F976" s="6" t="s">
        <v>656</v>
      </c>
      <c r="G976" s="7">
        <v>75.790000000000006</v>
      </c>
    </row>
    <row r="977" spans="1:7" x14ac:dyDescent="0.3">
      <c r="A977" s="18">
        <v>46027</v>
      </c>
      <c r="B977" s="18" t="s">
        <v>51</v>
      </c>
      <c r="C977" s="18" t="s">
        <v>645</v>
      </c>
      <c r="D977" s="6" t="s">
        <v>343</v>
      </c>
      <c r="E977" s="6" t="s">
        <v>47</v>
      </c>
      <c r="F977" s="6" t="s">
        <v>656</v>
      </c>
      <c r="G977" s="7">
        <v>549</v>
      </c>
    </row>
    <row r="978" spans="1:7" x14ac:dyDescent="0.3">
      <c r="A978" s="18">
        <v>46028</v>
      </c>
      <c r="B978" s="18" t="s">
        <v>51</v>
      </c>
      <c r="C978" s="18" t="s">
        <v>645</v>
      </c>
      <c r="D978" s="6" t="s">
        <v>343</v>
      </c>
      <c r="E978" s="6" t="s">
        <v>47</v>
      </c>
      <c r="F978" s="6" t="s">
        <v>656</v>
      </c>
      <c r="G978" s="7">
        <v>87.69</v>
      </c>
    </row>
    <row r="979" spans="1:7" x14ac:dyDescent="0.3">
      <c r="A979" s="18">
        <v>46033</v>
      </c>
      <c r="B979" s="18" t="s">
        <v>51</v>
      </c>
      <c r="C979" s="18" t="s">
        <v>645</v>
      </c>
      <c r="D979" s="6" t="s">
        <v>343</v>
      </c>
      <c r="E979" s="6" t="s">
        <v>47</v>
      </c>
      <c r="F979" s="6" t="s">
        <v>656</v>
      </c>
      <c r="G979" s="7">
        <v>19</v>
      </c>
    </row>
    <row r="980" spans="1:7" x14ac:dyDescent="0.3">
      <c r="A980" s="18">
        <v>46033</v>
      </c>
      <c r="B980" s="18" t="s">
        <v>51</v>
      </c>
      <c r="C980" s="18" t="s">
        <v>645</v>
      </c>
      <c r="D980" s="6" t="s">
        <v>343</v>
      </c>
      <c r="E980" s="6" t="s">
        <v>47</v>
      </c>
      <c r="F980" s="6" t="s">
        <v>656</v>
      </c>
      <c r="G980" s="7">
        <v>82.79</v>
      </c>
    </row>
    <row r="981" spans="1:7" x14ac:dyDescent="0.3">
      <c r="A981" s="18">
        <v>46033</v>
      </c>
      <c r="B981" s="18" t="s">
        <v>51</v>
      </c>
      <c r="C981" s="18" t="s">
        <v>645</v>
      </c>
      <c r="D981" s="6" t="s">
        <v>343</v>
      </c>
      <c r="E981" s="6" t="s">
        <v>47</v>
      </c>
      <c r="F981" s="6" t="s">
        <v>656</v>
      </c>
      <c r="G981" s="7">
        <v>87.88</v>
      </c>
    </row>
    <row r="982" spans="1:7" x14ac:dyDescent="0.3">
      <c r="A982" s="18">
        <v>46033</v>
      </c>
      <c r="B982" s="18" t="s">
        <v>51</v>
      </c>
      <c r="C982" s="18" t="s">
        <v>645</v>
      </c>
      <c r="D982" s="6" t="s">
        <v>343</v>
      </c>
      <c r="E982" s="6" t="s">
        <v>47</v>
      </c>
      <c r="F982" s="6" t="s">
        <v>656</v>
      </c>
      <c r="G982" s="7">
        <v>100.79</v>
      </c>
    </row>
    <row r="983" spans="1:7" x14ac:dyDescent="0.3">
      <c r="A983" s="18">
        <v>46034</v>
      </c>
      <c r="B983" s="18" t="s">
        <v>51</v>
      </c>
      <c r="C983" s="18" t="s">
        <v>645</v>
      </c>
      <c r="D983" s="6" t="s">
        <v>343</v>
      </c>
      <c r="E983" s="6" t="s">
        <v>47</v>
      </c>
      <c r="F983" s="6" t="s">
        <v>656</v>
      </c>
      <c r="G983" s="7">
        <v>28.99</v>
      </c>
    </row>
    <row r="984" spans="1:7" x14ac:dyDescent="0.3">
      <c r="A984" s="18">
        <v>46034</v>
      </c>
      <c r="B984" s="18" t="s">
        <v>51</v>
      </c>
      <c r="C984" s="18" t="s">
        <v>645</v>
      </c>
      <c r="D984" s="6" t="s">
        <v>343</v>
      </c>
      <c r="E984" s="6" t="s">
        <v>47</v>
      </c>
      <c r="F984" s="6" t="s">
        <v>656</v>
      </c>
      <c r="G984" s="7">
        <v>109.9</v>
      </c>
    </row>
    <row r="985" spans="1:7" x14ac:dyDescent="0.3">
      <c r="A985" s="18">
        <v>46036</v>
      </c>
      <c r="B985" s="18" t="s">
        <v>51</v>
      </c>
      <c r="C985" s="18" t="s">
        <v>645</v>
      </c>
      <c r="D985" s="6" t="s">
        <v>343</v>
      </c>
      <c r="E985" s="6" t="s">
        <v>47</v>
      </c>
      <c r="F985" s="6" t="s">
        <v>656</v>
      </c>
      <c r="G985" s="7">
        <v>28.99</v>
      </c>
    </row>
    <row r="986" spans="1:7" x14ac:dyDescent="0.3">
      <c r="A986" s="18">
        <v>46036</v>
      </c>
      <c r="B986" s="18" t="s">
        <v>51</v>
      </c>
      <c r="C986" s="18" t="s">
        <v>645</v>
      </c>
      <c r="D986" s="6" t="s">
        <v>343</v>
      </c>
      <c r="E986" s="6" t="s">
        <v>47</v>
      </c>
      <c r="F986" s="6" t="s">
        <v>656</v>
      </c>
      <c r="G986" s="7">
        <v>139.9</v>
      </c>
    </row>
    <row r="987" spans="1:7" x14ac:dyDescent="0.3">
      <c r="A987" s="18">
        <v>46036</v>
      </c>
      <c r="B987" s="18" t="s">
        <v>51</v>
      </c>
      <c r="C987" s="18" t="s">
        <v>645</v>
      </c>
      <c r="D987" s="6" t="s">
        <v>343</v>
      </c>
      <c r="E987" s="6" t="s">
        <v>47</v>
      </c>
      <c r="F987" s="6" t="s">
        <v>656</v>
      </c>
      <c r="G987" s="7">
        <v>139.9</v>
      </c>
    </row>
    <row r="988" spans="1:7" x14ac:dyDescent="0.3">
      <c r="A988" s="18">
        <v>46038</v>
      </c>
      <c r="B988" s="18" t="s">
        <v>51</v>
      </c>
      <c r="C988" s="18" t="s">
        <v>645</v>
      </c>
      <c r="D988" s="6" t="s">
        <v>343</v>
      </c>
      <c r="E988" s="6" t="s">
        <v>47</v>
      </c>
      <c r="F988" s="6" t="s">
        <v>656</v>
      </c>
      <c r="G988" s="7">
        <v>71.92</v>
      </c>
    </row>
    <row r="989" spans="1:7" x14ac:dyDescent="0.3">
      <c r="A989" s="18">
        <v>46053</v>
      </c>
      <c r="B989" s="18" t="s">
        <v>51</v>
      </c>
      <c r="C989" s="18" t="s">
        <v>645</v>
      </c>
      <c r="D989" s="6" t="s">
        <v>343</v>
      </c>
      <c r="E989" s="6" t="s">
        <v>47</v>
      </c>
      <c r="F989" s="6" t="s">
        <v>656</v>
      </c>
      <c r="G989" s="7">
        <v>49.75</v>
      </c>
    </row>
    <row r="990" spans="1:7" x14ac:dyDescent="0.3">
      <c r="A990" s="18">
        <v>46054</v>
      </c>
      <c r="B990" s="18" t="s">
        <v>51</v>
      </c>
      <c r="C990" s="18" t="s">
        <v>645</v>
      </c>
      <c r="D990" s="6" t="s">
        <v>343</v>
      </c>
      <c r="E990" s="6" t="s">
        <v>47</v>
      </c>
      <c r="F990" s="6" t="s">
        <v>656</v>
      </c>
      <c r="G990" s="7">
        <v>66.89</v>
      </c>
    </row>
    <row r="991" spans="1:7" x14ac:dyDescent="0.3">
      <c r="A991" s="18">
        <v>46054</v>
      </c>
      <c r="B991" s="18" t="s">
        <v>51</v>
      </c>
      <c r="C991" s="18" t="s">
        <v>645</v>
      </c>
      <c r="D991" s="6" t="s">
        <v>343</v>
      </c>
      <c r="E991" s="6" t="s">
        <v>47</v>
      </c>
      <c r="F991" s="6" t="s">
        <v>656</v>
      </c>
      <c r="G991" s="7">
        <v>150.99</v>
      </c>
    </row>
    <row r="992" spans="1:7" x14ac:dyDescent="0.3">
      <c r="A992" s="18">
        <v>46054</v>
      </c>
      <c r="B992" s="18" t="s">
        <v>51</v>
      </c>
      <c r="C992" s="18" t="s">
        <v>645</v>
      </c>
      <c r="D992" s="6" t="s">
        <v>343</v>
      </c>
      <c r="E992" s="6" t="s">
        <v>47</v>
      </c>
      <c r="F992" s="6" t="s">
        <v>656</v>
      </c>
      <c r="G992" s="7">
        <v>287.8</v>
      </c>
    </row>
    <row r="993" spans="1:7" x14ac:dyDescent="0.3">
      <c r="A993" s="18">
        <v>46054</v>
      </c>
      <c r="B993" s="18" t="s">
        <v>51</v>
      </c>
      <c r="C993" s="18" t="s">
        <v>645</v>
      </c>
      <c r="D993" s="6" t="s">
        <v>343</v>
      </c>
      <c r="E993" s="6" t="s">
        <v>47</v>
      </c>
      <c r="F993" s="6" t="s">
        <v>656</v>
      </c>
      <c r="G993" s="7">
        <v>1205.93</v>
      </c>
    </row>
    <row r="994" spans="1:7" x14ac:dyDescent="0.3">
      <c r="A994" s="18">
        <v>46054</v>
      </c>
      <c r="B994" s="18" t="s">
        <v>51</v>
      </c>
      <c r="C994" s="18" t="s">
        <v>645</v>
      </c>
      <c r="D994" s="6" t="s">
        <v>343</v>
      </c>
      <c r="E994" s="6" t="s">
        <v>47</v>
      </c>
      <c r="F994" s="6" t="s">
        <v>656</v>
      </c>
      <c r="G994" s="7">
        <v>1369.96</v>
      </c>
    </row>
    <row r="995" spans="1:7" x14ac:dyDescent="0.3">
      <c r="A995" s="18">
        <v>46056</v>
      </c>
      <c r="B995" s="18" t="s">
        <v>51</v>
      </c>
      <c r="C995" s="18" t="s">
        <v>645</v>
      </c>
      <c r="D995" s="6" t="s">
        <v>343</v>
      </c>
      <c r="E995" s="6" t="s">
        <v>47</v>
      </c>
      <c r="F995" s="6" t="s">
        <v>656</v>
      </c>
      <c r="G995" s="7">
        <v>209.94</v>
      </c>
    </row>
    <row r="996" spans="1:7" x14ac:dyDescent="0.3">
      <c r="A996" s="18">
        <v>46058</v>
      </c>
      <c r="B996" s="18" t="s">
        <v>51</v>
      </c>
      <c r="C996" s="18" t="s">
        <v>645</v>
      </c>
      <c r="D996" s="6" t="s">
        <v>343</v>
      </c>
      <c r="E996" s="6" t="s">
        <v>47</v>
      </c>
      <c r="F996" s="6" t="s">
        <v>656</v>
      </c>
      <c r="G996" s="7">
        <v>20.27</v>
      </c>
    </row>
    <row r="997" spans="1:7" x14ac:dyDescent="0.3">
      <c r="A997" s="18">
        <v>46058</v>
      </c>
      <c r="B997" s="18" t="s">
        <v>51</v>
      </c>
      <c r="C997" s="18" t="s">
        <v>645</v>
      </c>
      <c r="D997" s="6" t="s">
        <v>343</v>
      </c>
      <c r="E997" s="6" t="s">
        <v>47</v>
      </c>
      <c r="F997" s="6" t="s">
        <v>656</v>
      </c>
      <c r="G997" s="7">
        <v>189.9</v>
      </c>
    </row>
    <row r="998" spans="1:7" x14ac:dyDescent="0.3">
      <c r="A998" s="18">
        <v>46058</v>
      </c>
      <c r="B998" s="18" t="s">
        <v>51</v>
      </c>
      <c r="C998" s="18" t="s">
        <v>645</v>
      </c>
      <c r="D998" s="6" t="s">
        <v>343</v>
      </c>
      <c r="E998" s="6" t="s">
        <v>47</v>
      </c>
      <c r="F998" s="6" t="s">
        <v>656</v>
      </c>
      <c r="G998" s="7">
        <v>558</v>
      </c>
    </row>
    <row r="999" spans="1:7" x14ac:dyDescent="0.3">
      <c r="A999" s="18">
        <v>46075</v>
      </c>
      <c r="B999" s="18" t="s">
        <v>51</v>
      </c>
      <c r="C999" s="18" t="s">
        <v>645</v>
      </c>
      <c r="D999" s="6" t="s">
        <v>343</v>
      </c>
      <c r="E999" s="6" t="s">
        <v>47</v>
      </c>
      <c r="F999" s="6" t="s">
        <v>656</v>
      </c>
      <c r="G999" s="7">
        <v>479</v>
      </c>
    </row>
    <row r="1000" spans="1:7" x14ac:dyDescent="0.3">
      <c r="A1000" s="18">
        <v>46079</v>
      </c>
      <c r="B1000" s="18" t="s">
        <v>51</v>
      </c>
      <c r="C1000" s="18" t="s">
        <v>645</v>
      </c>
      <c r="D1000" s="6" t="s">
        <v>343</v>
      </c>
      <c r="E1000" s="6" t="s">
        <v>47</v>
      </c>
      <c r="F1000" s="6" t="s">
        <v>656</v>
      </c>
      <c r="G1000" s="7">
        <v>309.99</v>
      </c>
    </row>
    <row r="1001" spans="1:7" x14ac:dyDescent="0.3">
      <c r="A1001" s="18">
        <v>46080</v>
      </c>
      <c r="B1001" s="18" t="s">
        <v>51</v>
      </c>
      <c r="C1001" s="18" t="s">
        <v>645</v>
      </c>
      <c r="D1001" s="6" t="s">
        <v>343</v>
      </c>
      <c r="E1001" s="6" t="s">
        <v>47</v>
      </c>
      <c r="F1001" s="6" t="s">
        <v>656</v>
      </c>
      <c r="G1001" s="7">
        <v>61.04</v>
      </c>
    </row>
    <row r="1002" spans="1:7" x14ac:dyDescent="0.3">
      <c r="A1002" s="18">
        <v>46081</v>
      </c>
      <c r="B1002" s="18" t="s">
        <v>51</v>
      </c>
      <c r="C1002" s="18" t="s">
        <v>645</v>
      </c>
      <c r="D1002" s="6" t="s">
        <v>343</v>
      </c>
      <c r="E1002" s="6" t="s">
        <v>47</v>
      </c>
      <c r="F1002" s="6" t="s">
        <v>656</v>
      </c>
      <c r="G1002" s="7">
        <v>128.08000000000001</v>
      </c>
    </row>
    <row r="1003" spans="1:7" x14ac:dyDescent="0.3">
      <c r="A1003" s="18">
        <v>46081</v>
      </c>
      <c r="B1003" s="18" t="s">
        <v>51</v>
      </c>
      <c r="C1003" s="18" t="s">
        <v>645</v>
      </c>
      <c r="D1003" s="6" t="s">
        <v>343</v>
      </c>
      <c r="E1003" s="6" t="s">
        <v>47</v>
      </c>
      <c r="F1003" s="6" t="s">
        <v>656</v>
      </c>
      <c r="G1003" s="7">
        <v>779.8</v>
      </c>
    </row>
    <row r="1004" spans="1:7" x14ac:dyDescent="0.3">
      <c r="A1004" s="18">
        <v>46082</v>
      </c>
      <c r="B1004" s="18" t="s">
        <v>51</v>
      </c>
      <c r="C1004" s="18" t="s">
        <v>645</v>
      </c>
      <c r="D1004" s="6" t="s">
        <v>343</v>
      </c>
      <c r="E1004" s="6" t="s">
        <v>47</v>
      </c>
      <c r="F1004" s="6" t="s">
        <v>656</v>
      </c>
      <c r="G1004" s="7">
        <v>20.260000000000002</v>
      </c>
    </row>
    <row r="1005" spans="1:7" x14ac:dyDescent="0.3">
      <c r="A1005" s="18">
        <v>46085</v>
      </c>
      <c r="B1005" s="18" t="s">
        <v>51</v>
      </c>
      <c r="C1005" s="18" t="s">
        <v>645</v>
      </c>
      <c r="D1005" s="6" t="s">
        <v>343</v>
      </c>
      <c r="E1005" s="6" t="s">
        <v>47</v>
      </c>
      <c r="F1005" s="6" t="s">
        <v>656</v>
      </c>
      <c r="G1005" s="7">
        <v>668.63</v>
      </c>
    </row>
    <row r="1006" spans="1:7" x14ac:dyDescent="0.3">
      <c r="A1006" s="18">
        <v>46088</v>
      </c>
      <c r="B1006" s="18" t="s">
        <v>51</v>
      </c>
      <c r="C1006" s="18" t="s">
        <v>645</v>
      </c>
      <c r="D1006" s="6" t="s">
        <v>343</v>
      </c>
      <c r="E1006" s="6" t="s">
        <v>47</v>
      </c>
      <c r="F1006" s="6" t="s">
        <v>656</v>
      </c>
      <c r="G1006" s="7">
        <v>75.89</v>
      </c>
    </row>
    <row r="1007" spans="1:7" x14ac:dyDescent="0.3">
      <c r="A1007" s="18">
        <v>46089</v>
      </c>
      <c r="B1007" s="18" t="s">
        <v>51</v>
      </c>
      <c r="C1007" s="18" t="s">
        <v>645</v>
      </c>
      <c r="D1007" s="6" t="s">
        <v>343</v>
      </c>
      <c r="E1007" s="6" t="s">
        <v>47</v>
      </c>
      <c r="F1007" s="6" t="s">
        <v>656</v>
      </c>
      <c r="G1007" s="7">
        <v>26.99</v>
      </c>
    </row>
    <row r="1008" spans="1:7" x14ac:dyDescent="0.3">
      <c r="A1008" s="18">
        <v>46090</v>
      </c>
      <c r="B1008" s="18" t="s">
        <v>51</v>
      </c>
      <c r="C1008" s="18" t="s">
        <v>645</v>
      </c>
      <c r="D1008" s="6" t="s">
        <v>343</v>
      </c>
      <c r="E1008" s="6" t="s">
        <v>47</v>
      </c>
      <c r="F1008" s="6" t="s">
        <v>656</v>
      </c>
      <c r="G1008" s="7">
        <v>321</v>
      </c>
    </row>
    <row r="1009" spans="1:7" x14ac:dyDescent="0.3">
      <c r="A1009" s="18">
        <v>46091</v>
      </c>
      <c r="B1009" s="18" t="s">
        <v>51</v>
      </c>
      <c r="C1009" s="18" t="s">
        <v>645</v>
      </c>
      <c r="D1009" s="6" t="s">
        <v>343</v>
      </c>
      <c r="E1009" s="6" t="s">
        <v>57</v>
      </c>
      <c r="F1009" s="6" t="s">
        <v>656</v>
      </c>
      <c r="G1009" s="7">
        <v>25</v>
      </c>
    </row>
    <row r="1010" spans="1:7" x14ac:dyDescent="0.3">
      <c r="A1010" s="18">
        <v>46097</v>
      </c>
      <c r="B1010" s="18" t="s">
        <v>51</v>
      </c>
      <c r="C1010" s="18" t="s">
        <v>645</v>
      </c>
      <c r="D1010" s="6" t="s">
        <v>343</v>
      </c>
      <c r="E1010" s="6" t="s">
        <v>47</v>
      </c>
      <c r="F1010" s="6" t="s">
        <v>656</v>
      </c>
      <c r="G1010" s="7">
        <v>444.6</v>
      </c>
    </row>
    <row r="1011" spans="1:7" x14ac:dyDescent="0.3">
      <c r="A1011" s="18">
        <v>46102</v>
      </c>
      <c r="B1011" s="18" t="s">
        <v>51</v>
      </c>
      <c r="C1011" s="18" t="s">
        <v>645</v>
      </c>
      <c r="D1011" s="6" t="s">
        <v>343</v>
      </c>
      <c r="E1011" s="6" t="s">
        <v>47</v>
      </c>
      <c r="F1011" s="6" t="s">
        <v>656</v>
      </c>
      <c r="G1011" s="7">
        <v>45.18</v>
      </c>
    </row>
    <row r="1012" spans="1:7" x14ac:dyDescent="0.3">
      <c r="A1012" s="18">
        <v>46102</v>
      </c>
      <c r="B1012" s="18" t="s">
        <v>51</v>
      </c>
      <c r="C1012" s="18" t="s">
        <v>645</v>
      </c>
      <c r="D1012" s="6" t="s">
        <v>343</v>
      </c>
      <c r="E1012" s="6" t="s">
        <v>47</v>
      </c>
      <c r="F1012" s="6" t="s">
        <v>656</v>
      </c>
      <c r="G1012" s="7">
        <v>46.98</v>
      </c>
    </row>
    <row r="1013" spans="1:7" x14ac:dyDescent="0.3">
      <c r="A1013" s="18">
        <v>46111</v>
      </c>
      <c r="B1013" s="18" t="s">
        <v>51</v>
      </c>
      <c r="C1013" s="18" t="s">
        <v>645</v>
      </c>
      <c r="D1013" s="6" t="s">
        <v>343</v>
      </c>
      <c r="E1013" s="6" t="s">
        <v>47</v>
      </c>
      <c r="F1013" s="6" t="s">
        <v>656</v>
      </c>
      <c r="G1013" s="7">
        <v>34.9</v>
      </c>
    </row>
    <row r="1014" spans="1:7" x14ac:dyDescent="0.3">
      <c r="A1014" s="18">
        <v>46111</v>
      </c>
      <c r="B1014" s="18" t="s">
        <v>51</v>
      </c>
      <c r="C1014" s="18" t="s">
        <v>645</v>
      </c>
      <c r="D1014" s="6" t="s">
        <v>343</v>
      </c>
      <c r="E1014" s="6" t="s">
        <v>47</v>
      </c>
      <c r="F1014" s="6" t="s">
        <v>656</v>
      </c>
      <c r="G1014" s="7">
        <v>433.52</v>
      </c>
    </row>
    <row r="1015" spans="1:7" x14ac:dyDescent="0.3">
      <c r="A1015" s="18">
        <v>46112</v>
      </c>
      <c r="B1015" s="18" t="s">
        <v>51</v>
      </c>
      <c r="C1015" s="18" t="s">
        <v>645</v>
      </c>
      <c r="D1015" s="6" t="s">
        <v>343</v>
      </c>
      <c r="E1015" s="6" t="s">
        <v>47</v>
      </c>
      <c r="F1015" s="6" t="s">
        <v>656</v>
      </c>
      <c r="G1015" s="7">
        <v>30.89</v>
      </c>
    </row>
    <row r="1016" spans="1:7" x14ac:dyDescent="0.3">
      <c r="A1016" s="18">
        <v>46113</v>
      </c>
      <c r="B1016" s="18" t="s">
        <v>51</v>
      </c>
      <c r="C1016" s="18" t="s">
        <v>645</v>
      </c>
      <c r="D1016" s="6" t="s">
        <v>343</v>
      </c>
      <c r="E1016" s="6" t="s">
        <v>47</v>
      </c>
      <c r="F1016" s="6" t="s">
        <v>656</v>
      </c>
      <c r="G1016" s="7">
        <v>59.48</v>
      </c>
    </row>
    <row r="1017" spans="1:7" x14ac:dyDescent="0.3">
      <c r="A1017" s="18">
        <v>46113</v>
      </c>
      <c r="B1017" s="18" t="s">
        <v>51</v>
      </c>
      <c r="C1017" s="18" t="s">
        <v>645</v>
      </c>
      <c r="D1017" s="6" t="s">
        <v>343</v>
      </c>
      <c r="E1017" s="6" t="s">
        <v>47</v>
      </c>
      <c r="F1017" s="6" t="s">
        <v>656</v>
      </c>
      <c r="G1017" s="7">
        <v>396.71</v>
      </c>
    </row>
    <row r="1018" spans="1:7" x14ac:dyDescent="0.3">
      <c r="A1018" s="18">
        <v>46113</v>
      </c>
      <c r="B1018" s="18" t="s">
        <v>51</v>
      </c>
      <c r="C1018" s="18" t="s">
        <v>645</v>
      </c>
      <c r="D1018" s="6" t="s">
        <v>343</v>
      </c>
      <c r="E1018" s="6" t="s">
        <v>47</v>
      </c>
      <c r="F1018" s="6" t="s">
        <v>656</v>
      </c>
      <c r="G1018" s="7">
        <v>156.1</v>
      </c>
    </row>
    <row r="1019" spans="1:7" x14ac:dyDescent="0.3">
      <c r="A1019" s="18">
        <v>46113</v>
      </c>
      <c r="B1019" s="18" t="s">
        <v>51</v>
      </c>
      <c r="C1019" s="18" t="s">
        <v>645</v>
      </c>
      <c r="D1019" s="6" t="s">
        <v>343</v>
      </c>
      <c r="E1019" s="6" t="s">
        <v>47</v>
      </c>
      <c r="F1019" s="6" t="s">
        <v>656</v>
      </c>
      <c r="G1019" s="7">
        <v>279.89999999999998</v>
      </c>
    </row>
    <row r="1020" spans="1:7" x14ac:dyDescent="0.3">
      <c r="A1020" s="18">
        <v>46113</v>
      </c>
      <c r="B1020" s="18" t="s">
        <v>51</v>
      </c>
      <c r="C1020" s="18" t="s">
        <v>645</v>
      </c>
      <c r="D1020" s="6" t="s">
        <v>343</v>
      </c>
      <c r="E1020" s="6" t="s">
        <v>47</v>
      </c>
      <c r="F1020" s="6" t="s">
        <v>656</v>
      </c>
      <c r="G1020" s="7">
        <v>39.99</v>
      </c>
    </row>
    <row r="1021" spans="1:7" x14ac:dyDescent="0.3">
      <c r="A1021" s="18">
        <v>46113</v>
      </c>
      <c r="B1021" s="18" t="s">
        <v>51</v>
      </c>
      <c r="C1021" s="18" t="s">
        <v>645</v>
      </c>
      <c r="D1021" s="6" t="s">
        <v>343</v>
      </c>
      <c r="E1021" s="6" t="s">
        <v>47</v>
      </c>
      <c r="F1021" s="6" t="s">
        <v>656</v>
      </c>
      <c r="G1021" s="7">
        <v>260</v>
      </c>
    </row>
    <row r="1022" spans="1:7" x14ac:dyDescent="0.3">
      <c r="A1022" s="18">
        <v>46113</v>
      </c>
      <c r="B1022" s="18" t="s">
        <v>51</v>
      </c>
      <c r="C1022" s="18" t="s">
        <v>645</v>
      </c>
      <c r="D1022" s="6" t="s">
        <v>343</v>
      </c>
      <c r="E1022" s="6" t="s">
        <v>47</v>
      </c>
      <c r="F1022" s="6" t="s">
        <v>656</v>
      </c>
      <c r="G1022" s="7">
        <v>297</v>
      </c>
    </row>
    <row r="1023" spans="1:7" x14ac:dyDescent="0.3">
      <c r="A1023" s="18">
        <v>46113</v>
      </c>
      <c r="B1023" s="18" t="s">
        <v>51</v>
      </c>
      <c r="C1023" s="18" t="s">
        <v>645</v>
      </c>
      <c r="D1023" s="6" t="s">
        <v>343</v>
      </c>
      <c r="E1023" s="6" t="s">
        <v>47</v>
      </c>
      <c r="F1023" s="6" t="s">
        <v>656</v>
      </c>
      <c r="G1023" s="7">
        <v>87.79</v>
      </c>
    </row>
    <row r="1024" spans="1:7" x14ac:dyDescent="0.3">
      <c r="A1024" s="18">
        <v>46113</v>
      </c>
      <c r="B1024" s="18" t="s">
        <v>51</v>
      </c>
      <c r="C1024" s="18" t="s">
        <v>645</v>
      </c>
      <c r="D1024" s="6" t="s">
        <v>343</v>
      </c>
      <c r="E1024" s="6" t="s">
        <v>47</v>
      </c>
      <c r="F1024" s="6" t="s">
        <v>656</v>
      </c>
      <c r="G1024" s="7">
        <v>119.89</v>
      </c>
    </row>
    <row r="1025" spans="1:7" x14ac:dyDescent="0.3">
      <c r="A1025" s="18">
        <v>46113</v>
      </c>
      <c r="B1025" s="18" t="s">
        <v>51</v>
      </c>
      <c r="C1025" s="18" t="s">
        <v>645</v>
      </c>
      <c r="D1025" s="6" t="s">
        <v>343</v>
      </c>
      <c r="E1025" s="6" t="s">
        <v>47</v>
      </c>
      <c r="F1025" s="6" t="s">
        <v>656</v>
      </c>
      <c r="G1025" s="7">
        <v>99.58</v>
      </c>
    </row>
    <row r="1026" spans="1:7" x14ac:dyDescent="0.3">
      <c r="A1026" s="18">
        <v>46113</v>
      </c>
      <c r="B1026" s="18" t="s">
        <v>51</v>
      </c>
      <c r="C1026" s="18" t="s">
        <v>645</v>
      </c>
      <c r="D1026" s="6" t="s">
        <v>343</v>
      </c>
      <c r="E1026" s="6" t="s">
        <v>47</v>
      </c>
      <c r="F1026" s="6" t="s">
        <v>656</v>
      </c>
      <c r="G1026" s="7">
        <v>74.56</v>
      </c>
    </row>
    <row r="1027" spans="1:7" x14ac:dyDescent="0.3">
      <c r="A1027" s="18">
        <v>46113</v>
      </c>
      <c r="B1027" s="18" t="s">
        <v>51</v>
      </c>
      <c r="C1027" s="18" t="s">
        <v>645</v>
      </c>
      <c r="D1027" s="6" t="s">
        <v>343</v>
      </c>
      <c r="E1027" s="6" t="s">
        <v>47</v>
      </c>
      <c r="F1027" s="6" t="s">
        <v>656</v>
      </c>
      <c r="G1027" s="7">
        <v>712.43</v>
      </c>
    </row>
    <row r="1028" spans="1:7" x14ac:dyDescent="0.3">
      <c r="A1028" s="18">
        <v>46113</v>
      </c>
      <c r="B1028" s="18" t="s">
        <v>51</v>
      </c>
      <c r="C1028" s="18" t="s">
        <v>645</v>
      </c>
      <c r="D1028" s="6" t="s">
        <v>343</v>
      </c>
      <c r="E1028" s="6" t="s">
        <v>47</v>
      </c>
      <c r="F1028" s="6" t="s">
        <v>656</v>
      </c>
      <c r="G1028" s="7">
        <v>129.97999999999999</v>
      </c>
    </row>
    <row r="1029" spans="1:7" x14ac:dyDescent="0.3">
      <c r="A1029" s="18">
        <v>46147</v>
      </c>
      <c r="B1029" s="18" t="s">
        <v>51</v>
      </c>
      <c r="C1029" s="18" t="s">
        <v>645</v>
      </c>
      <c r="D1029" s="6" t="s">
        <v>343</v>
      </c>
      <c r="E1029" s="6" t="s">
        <v>47</v>
      </c>
      <c r="F1029" s="6" t="s">
        <v>656</v>
      </c>
      <c r="G1029" s="7">
        <v>57.98</v>
      </c>
    </row>
    <row r="1030" spans="1:7" x14ac:dyDescent="0.3">
      <c r="A1030" s="18">
        <v>46150</v>
      </c>
      <c r="B1030" s="18" t="s">
        <v>51</v>
      </c>
      <c r="C1030" s="18" t="s">
        <v>645</v>
      </c>
      <c r="D1030" s="6" t="s">
        <v>343</v>
      </c>
      <c r="E1030" s="6" t="s">
        <v>47</v>
      </c>
      <c r="F1030" s="6" t="s">
        <v>656</v>
      </c>
      <c r="G1030" s="7">
        <v>590.12</v>
      </c>
    </row>
    <row r="1031" spans="1:7" x14ac:dyDescent="0.3">
      <c r="A1031" s="18">
        <v>46151</v>
      </c>
      <c r="B1031" s="18" t="s">
        <v>51</v>
      </c>
      <c r="C1031" s="18" t="s">
        <v>645</v>
      </c>
      <c r="D1031" s="6" t="s">
        <v>343</v>
      </c>
      <c r="E1031" s="6" t="s">
        <v>47</v>
      </c>
      <c r="F1031" s="6" t="s">
        <v>656</v>
      </c>
      <c r="G1031" s="7">
        <v>82.89</v>
      </c>
    </row>
    <row r="1032" spans="1:7" x14ac:dyDescent="0.3">
      <c r="A1032" s="18">
        <v>46151</v>
      </c>
      <c r="B1032" s="18" t="s">
        <v>51</v>
      </c>
      <c r="C1032" s="18" t="s">
        <v>645</v>
      </c>
      <c r="D1032" s="6" t="s">
        <v>343</v>
      </c>
      <c r="E1032" s="6" t="s">
        <v>47</v>
      </c>
      <c r="F1032" s="6" t="s">
        <v>656</v>
      </c>
      <c r="G1032" s="7">
        <v>130.94999999999999</v>
      </c>
    </row>
    <row r="1033" spans="1:7" x14ac:dyDescent="0.3">
      <c r="A1033" s="18">
        <v>46156</v>
      </c>
      <c r="B1033" s="18" t="s">
        <v>51</v>
      </c>
      <c r="C1033" s="18" t="s">
        <v>645</v>
      </c>
      <c r="D1033" s="6" t="s">
        <v>343</v>
      </c>
      <c r="E1033" s="6" t="s">
        <v>47</v>
      </c>
      <c r="F1033" s="6" t="s">
        <v>656</v>
      </c>
      <c r="G1033" s="7">
        <v>259.79000000000002</v>
      </c>
    </row>
    <row r="1034" spans="1:7" x14ac:dyDescent="0.3">
      <c r="A1034" s="18">
        <v>46157</v>
      </c>
      <c r="B1034" s="18" t="s">
        <v>51</v>
      </c>
      <c r="C1034" s="18" t="s">
        <v>645</v>
      </c>
      <c r="D1034" s="6" t="s">
        <v>343</v>
      </c>
      <c r="E1034" s="6" t="s">
        <v>47</v>
      </c>
      <c r="F1034" s="6" t="s">
        <v>656</v>
      </c>
      <c r="G1034" s="7">
        <v>513</v>
      </c>
    </row>
    <row r="1035" spans="1:7" x14ac:dyDescent="0.3">
      <c r="A1035" s="18">
        <v>46159</v>
      </c>
      <c r="B1035" s="18" t="s">
        <v>51</v>
      </c>
      <c r="C1035" s="18" t="s">
        <v>645</v>
      </c>
      <c r="D1035" s="6" t="s">
        <v>343</v>
      </c>
      <c r="E1035" s="6" t="s">
        <v>47</v>
      </c>
      <c r="F1035" s="6" t="s">
        <v>656</v>
      </c>
      <c r="G1035" s="7">
        <v>91.97</v>
      </c>
    </row>
    <row r="1036" spans="1:7" x14ac:dyDescent="0.3">
      <c r="A1036" s="18">
        <v>46159</v>
      </c>
      <c r="B1036" s="18" t="s">
        <v>51</v>
      </c>
      <c r="C1036" s="18" t="s">
        <v>645</v>
      </c>
      <c r="D1036" s="6" t="s">
        <v>343</v>
      </c>
      <c r="E1036" s="6" t="s">
        <v>47</v>
      </c>
      <c r="F1036" s="6" t="s">
        <v>656</v>
      </c>
      <c r="G1036" s="7">
        <v>169.8</v>
      </c>
    </row>
    <row r="1037" spans="1:7" x14ac:dyDescent="0.3">
      <c r="A1037" s="18">
        <v>46159</v>
      </c>
      <c r="B1037" s="18" t="s">
        <v>51</v>
      </c>
      <c r="C1037" s="18" t="s">
        <v>645</v>
      </c>
      <c r="D1037" s="6" t="s">
        <v>343</v>
      </c>
      <c r="E1037" s="6" t="s">
        <v>47</v>
      </c>
      <c r="F1037" s="6" t="s">
        <v>656</v>
      </c>
      <c r="G1037" s="7">
        <v>4406.97</v>
      </c>
    </row>
    <row r="1038" spans="1:7" x14ac:dyDescent="0.3">
      <c r="A1038" s="18">
        <v>46159</v>
      </c>
      <c r="B1038" s="18" t="s">
        <v>51</v>
      </c>
      <c r="C1038" s="18" t="s">
        <v>645</v>
      </c>
      <c r="D1038" s="6" t="s">
        <v>343</v>
      </c>
      <c r="E1038" s="6" t="s">
        <v>47</v>
      </c>
      <c r="F1038" s="6" t="s">
        <v>656</v>
      </c>
      <c r="G1038" s="7">
        <v>273.11</v>
      </c>
    </row>
    <row r="1039" spans="1:7" x14ac:dyDescent="0.3">
      <c r="A1039" s="18">
        <v>46159</v>
      </c>
      <c r="B1039" s="18" t="s">
        <v>51</v>
      </c>
      <c r="C1039" s="18" t="s">
        <v>645</v>
      </c>
      <c r="D1039" s="6" t="s">
        <v>343</v>
      </c>
      <c r="E1039" s="6" t="s">
        <v>47</v>
      </c>
      <c r="F1039" s="6" t="s">
        <v>656</v>
      </c>
      <c r="G1039" s="7">
        <v>74.290000000000006</v>
      </c>
    </row>
    <row r="1040" spans="1:7" x14ac:dyDescent="0.3">
      <c r="A1040" s="18">
        <v>46159</v>
      </c>
      <c r="B1040" s="18" t="s">
        <v>51</v>
      </c>
      <c r="C1040" s="18" t="s">
        <v>645</v>
      </c>
      <c r="D1040" s="6" t="s">
        <v>343</v>
      </c>
      <c r="E1040" s="6" t="s">
        <v>47</v>
      </c>
      <c r="F1040" s="6" t="s">
        <v>656</v>
      </c>
      <c r="G1040" s="7">
        <v>91.97</v>
      </c>
    </row>
    <row r="1041" spans="1:7" x14ac:dyDescent="0.3">
      <c r="A1041" s="18">
        <v>46160</v>
      </c>
      <c r="B1041" s="18" t="s">
        <v>51</v>
      </c>
      <c r="C1041" s="18" t="s">
        <v>645</v>
      </c>
      <c r="D1041" s="6" t="s">
        <v>343</v>
      </c>
      <c r="E1041" s="6" t="s">
        <v>47</v>
      </c>
      <c r="F1041" s="6" t="s">
        <v>656</v>
      </c>
      <c r="G1041" s="7">
        <v>29.9</v>
      </c>
    </row>
    <row r="1042" spans="1:7" x14ac:dyDescent="0.3">
      <c r="A1042" s="18">
        <v>46161</v>
      </c>
      <c r="B1042" s="18" t="s">
        <v>51</v>
      </c>
      <c r="C1042" s="18" t="s">
        <v>645</v>
      </c>
      <c r="D1042" s="6" t="s">
        <v>343</v>
      </c>
      <c r="E1042" s="6" t="s">
        <v>47</v>
      </c>
      <c r="F1042" s="6" t="s">
        <v>656</v>
      </c>
      <c r="G1042" s="7">
        <v>39.9</v>
      </c>
    </row>
    <row r="1043" spans="1:7" x14ac:dyDescent="0.3">
      <c r="A1043" s="18">
        <v>46165</v>
      </c>
      <c r="B1043" s="18" t="s">
        <v>51</v>
      </c>
      <c r="C1043" s="18" t="s">
        <v>645</v>
      </c>
      <c r="D1043" s="6" t="s">
        <v>343</v>
      </c>
      <c r="E1043" s="6" t="s">
        <v>47</v>
      </c>
      <c r="F1043" s="6" t="s">
        <v>656</v>
      </c>
      <c r="G1043" s="7">
        <v>68.67</v>
      </c>
    </row>
    <row r="1044" spans="1:7" x14ac:dyDescent="0.3">
      <c r="A1044" s="18">
        <v>46166</v>
      </c>
      <c r="B1044" s="18" t="s">
        <v>51</v>
      </c>
      <c r="C1044" s="18" t="s">
        <v>645</v>
      </c>
      <c r="D1044" s="6" t="s">
        <v>343</v>
      </c>
      <c r="E1044" s="6" t="s">
        <v>47</v>
      </c>
      <c r="F1044" s="6" t="s">
        <v>656</v>
      </c>
      <c r="G1044" s="7">
        <v>62.44</v>
      </c>
    </row>
    <row r="1045" spans="1:7" x14ac:dyDescent="0.3">
      <c r="A1045" s="18">
        <v>46174</v>
      </c>
      <c r="B1045" s="18" t="s">
        <v>51</v>
      </c>
      <c r="C1045" s="18" t="s">
        <v>645</v>
      </c>
      <c r="D1045" s="6" t="s">
        <v>343</v>
      </c>
      <c r="E1045" s="6" t="s">
        <v>47</v>
      </c>
      <c r="F1045" s="6" t="s">
        <v>656</v>
      </c>
      <c r="G1045" s="7">
        <v>215</v>
      </c>
    </row>
    <row r="1046" spans="1:7" x14ac:dyDescent="0.3">
      <c r="A1046" s="18">
        <v>46185</v>
      </c>
      <c r="B1046" s="18" t="s">
        <v>51</v>
      </c>
      <c r="C1046" s="18" t="s">
        <v>645</v>
      </c>
      <c r="D1046" s="6" t="s">
        <v>343</v>
      </c>
      <c r="E1046" s="6" t="s">
        <v>47</v>
      </c>
      <c r="F1046" s="6" t="s">
        <v>656</v>
      </c>
      <c r="G1046" s="7">
        <v>127.26</v>
      </c>
    </row>
    <row r="1047" spans="1:7" x14ac:dyDescent="0.3">
      <c r="A1047" s="18">
        <v>46113</v>
      </c>
      <c r="B1047" s="18" t="s">
        <v>51</v>
      </c>
      <c r="C1047" s="18" t="s">
        <v>645</v>
      </c>
      <c r="D1047" s="6" t="s">
        <v>719</v>
      </c>
      <c r="E1047" s="6" t="s">
        <v>42</v>
      </c>
      <c r="F1047" s="6" t="s">
        <v>656</v>
      </c>
      <c r="G1047" s="7">
        <v>10</v>
      </c>
    </row>
    <row r="1048" spans="1:7" x14ac:dyDescent="0.3">
      <c r="A1048" s="18">
        <v>46160</v>
      </c>
      <c r="B1048" s="18" t="s">
        <v>51</v>
      </c>
      <c r="C1048" s="18" t="s">
        <v>645</v>
      </c>
      <c r="D1048" s="6" t="s">
        <v>902</v>
      </c>
      <c r="E1048" s="6" t="s">
        <v>47</v>
      </c>
      <c r="F1048" s="6" t="s">
        <v>656</v>
      </c>
      <c r="G1048" s="7">
        <v>550.79999999999995</v>
      </c>
    </row>
    <row r="1049" spans="1:7" x14ac:dyDescent="0.3">
      <c r="A1049" s="18">
        <v>46164</v>
      </c>
      <c r="B1049" s="18" t="s">
        <v>51</v>
      </c>
      <c r="C1049" s="18" t="s">
        <v>645</v>
      </c>
      <c r="D1049" s="6" t="s">
        <v>902</v>
      </c>
      <c r="E1049" s="6" t="s">
        <v>42</v>
      </c>
      <c r="F1049" s="6" t="s">
        <v>656</v>
      </c>
      <c r="G1049" s="7">
        <v>350.1</v>
      </c>
    </row>
    <row r="1050" spans="1:7" x14ac:dyDescent="0.3">
      <c r="A1050" s="18">
        <v>46118</v>
      </c>
      <c r="B1050" s="18" t="s">
        <v>51</v>
      </c>
      <c r="C1050" s="18" t="s">
        <v>645</v>
      </c>
      <c r="D1050" s="6" t="s">
        <v>675</v>
      </c>
      <c r="E1050" s="6" t="s">
        <v>57</v>
      </c>
      <c r="F1050" s="6" t="s">
        <v>673</v>
      </c>
      <c r="G1050" s="7">
        <v>49.9</v>
      </c>
    </row>
    <row r="1051" spans="1:7" x14ac:dyDescent="0.3">
      <c r="A1051" s="18">
        <v>46165</v>
      </c>
      <c r="B1051" s="18" t="s">
        <v>51</v>
      </c>
      <c r="C1051" s="18" t="s">
        <v>645</v>
      </c>
      <c r="D1051" s="6" t="s">
        <v>414</v>
      </c>
      <c r="E1051" s="6" t="s">
        <v>47</v>
      </c>
      <c r="F1051" s="6" t="s">
        <v>656</v>
      </c>
      <c r="G1051" s="7">
        <v>59.9</v>
      </c>
    </row>
    <row r="1052" spans="1:7" x14ac:dyDescent="0.3">
      <c r="A1052" s="18">
        <v>46196</v>
      </c>
      <c r="B1052" s="18" t="s">
        <v>51</v>
      </c>
      <c r="C1052" s="18" t="s">
        <v>645</v>
      </c>
      <c r="D1052" s="6" t="s">
        <v>414</v>
      </c>
      <c r="E1052" s="6" t="s">
        <v>47</v>
      </c>
      <c r="F1052" s="6" t="s">
        <v>656</v>
      </c>
      <c r="G1052" s="7">
        <v>59.9</v>
      </c>
    </row>
    <row r="1053" spans="1:7" x14ac:dyDescent="0.3">
      <c r="A1053" s="18">
        <v>46113</v>
      </c>
      <c r="B1053" s="18" t="s">
        <v>51</v>
      </c>
      <c r="C1053" s="18" t="s">
        <v>645</v>
      </c>
      <c r="D1053" s="6" t="s">
        <v>720</v>
      </c>
      <c r="E1053" s="6" t="s">
        <v>42</v>
      </c>
      <c r="F1053" s="6" t="s">
        <v>656</v>
      </c>
      <c r="G1053" s="7">
        <v>248</v>
      </c>
    </row>
    <row r="1054" spans="1:7" x14ac:dyDescent="0.3">
      <c r="A1054" s="18">
        <v>46087</v>
      </c>
      <c r="B1054" s="18" t="s">
        <v>51</v>
      </c>
      <c r="C1054" s="18" t="s">
        <v>645</v>
      </c>
      <c r="D1054" s="6" t="s">
        <v>537</v>
      </c>
      <c r="E1054" s="6" t="s">
        <v>57</v>
      </c>
      <c r="F1054" s="6" t="s">
        <v>656</v>
      </c>
      <c r="G1054" s="7">
        <v>130.19999999999999</v>
      </c>
    </row>
    <row r="1055" spans="1:7" x14ac:dyDescent="0.3">
      <c r="A1055" s="18">
        <v>46148</v>
      </c>
      <c r="B1055" s="18" t="s">
        <v>51</v>
      </c>
      <c r="C1055" s="18" t="s">
        <v>645</v>
      </c>
      <c r="D1055" s="6" t="s">
        <v>882</v>
      </c>
      <c r="E1055" s="6" t="s">
        <v>47</v>
      </c>
      <c r="F1055" s="6" t="s">
        <v>656</v>
      </c>
      <c r="G1055" s="7">
        <v>7</v>
      </c>
    </row>
    <row r="1056" spans="1:7" x14ac:dyDescent="0.3">
      <c r="A1056" s="18">
        <v>46071</v>
      </c>
      <c r="B1056" s="18" t="s">
        <v>51</v>
      </c>
      <c r="C1056" s="18" t="s">
        <v>645</v>
      </c>
      <c r="D1056" s="6" t="s">
        <v>500</v>
      </c>
      <c r="E1056" s="6" t="s">
        <v>47</v>
      </c>
      <c r="F1056" s="6" t="s">
        <v>656</v>
      </c>
      <c r="G1056" s="7">
        <v>62.3</v>
      </c>
    </row>
    <row r="1057" spans="1:7" x14ac:dyDescent="0.3">
      <c r="A1057" s="18">
        <v>46087</v>
      </c>
      <c r="B1057" s="18" t="s">
        <v>51</v>
      </c>
      <c r="C1057" s="18" t="s">
        <v>645</v>
      </c>
      <c r="D1057" s="6" t="s">
        <v>96</v>
      </c>
      <c r="E1057" s="6" t="s">
        <v>47</v>
      </c>
      <c r="F1057" s="6" t="s">
        <v>659</v>
      </c>
      <c r="G1057" s="7">
        <v>329.65</v>
      </c>
    </row>
    <row r="1058" spans="1:7" x14ac:dyDescent="0.3">
      <c r="A1058" s="18">
        <v>46105</v>
      </c>
      <c r="B1058" s="18" t="s">
        <v>51</v>
      </c>
      <c r="C1058" s="18" t="s">
        <v>645</v>
      </c>
      <c r="D1058" s="6" t="s">
        <v>96</v>
      </c>
      <c r="E1058" s="6" t="s">
        <v>47</v>
      </c>
      <c r="F1058" s="6" t="s">
        <v>659</v>
      </c>
      <c r="G1058" s="7">
        <v>169.9</v>
      </c>
    </row>
    <row r="1059" spans="1:7" x14ac:dyDescent="0.3">
      <c r="A1059" s="18">
        <v>46113</v>
      </c>
      <c r="B1059" s="18" t="s">
        <v>51</v>
      </c>
      <c r="C1059" s="18" t="s">
        <v>645</v>
      </c>
      <c r="D1059" s="6" t="s">
        <v>786</v>
      </c>
      <c r="E1059" s="6" t="s">
        <v>47</v>
      </c>
      <c r="F1059" s="6" t="s">
        <v>659</v>
      </c>
      <c r="G1059" s="7">
        <v>32.880000000000003</v>
      </c>
    </row>
    <row r="1060" spans="1:7" x14ac:dyDescent="0.3">
      <c r="A1060" s="18">
        <v>46086</v>
      </c>
      <c r="B1060" s="18" t="s">
        <v>51</v>
      </c>
      <c r="C1060" s="18" t="s">
        <v>645</v>
      </c>
      <c r="D1060" s="6" t="s">
        <v>535</v>
      </c>
      <c r="E1060" s="6" t="s">
        <v>42</v>
      </c>
      <c r="F1060" s="6" t="s">
        <v>656</v>
      </c>
      <c r="G1060" s="7">
        <v>19</v>
      </c>
    </row>
    <row r="1061" spans="1:7" x14ac:dyDescent="0.3">
      <c r="A1061" s="18">
        <v>46041</v>
      </c>
      <c r="B1061" s="18" t="s">
        <v>51</v>
      </c>
      <c r="C1061" s="18" t="s">
        <v>645</v>
      </c>
      <c r="D1061" s="6" t="s">
        <v>435</v>
      </c>
      <c r="E1061" s="6" t="s">
        <v>42</v>
      </c>
      <c r="F1061" s="6" t="s">
        <v>656</v>
      </c>
      <c r="G1061" s="7">
        <v>785</v>
      </c>
    </row>
    <row r="1062" spans="1:7" x14ac:dyDescent="0.3">
      <c r="A1062" s="18">
        <v>46054</v>
      </c>
      <c r="B1062" s="18" t="s">
        <v>51</v>
      </c>
      <c r="C1062" s="18" t="s">
        <v>645</v>
      </c>
      <c r="D1062" s="6" t="s">
        <v>435</v>
      </c>
      <c r="E1062" s="6" t="s">
        <v>42</v>
      </c>
      <c r="F1062" s="6" t="s">
        <v>656</v>
      </c>
      <c r="G1062" s="7">
        <v>785</v>
      </c>
    </row>
    <row r="1063" spans="1:7" x14ac:dyDescent="0.3">
      <c r="A1063" s="18">
        <v>46026</v>
      </c>
      <c r="B1063" s="18" t="s">
        <v>51</v>
      </c>
      <c r="C1063" s="18" t="s">
        <v>645</v>
      </c>
      <c r="D1063" s="6" t="s">
        <v>331</v>
      </c>
      <c r="E1063" s="6" t="s">
        <v>47</v>
      </c>
      <c r="F1063" s="6" t="s">
        <v>656</v>
      </c>
      <c r="G1063" s="7">
        <v>30</v>
      </c>
    </row>
    <row r="1064" spans="1:7" x14ac:dyDescent="0.3">
      <c r="A1064" s="18">
        <v>46113</v>
      </c>
      <c r="B1064" s="18" t="s">
        <v>51</v>
      </c>
      <c r="C1064" s="18" t="s">
        <v>645</v>
      </c>
      <c r="D1064" s="6" t="s">
        <v>724</v>
      </c>
      <c r="E1064" s="6" t="s">
        <v>57</v>
      </c>
      <c r="F1064" s="6" t="s">
        <v>656</v>
      </c>
      <c r="G1064" s="7">
        <v>30.3</v>
      </c>
    </row>
    <row r="1065" spans="1:7" x14ac:dyDescent="0.3">
      <c r="A1065" s="18">
        <v>46198</v>
      </c>
      <c r="B1065" s="18" t="s">
        <v>51</v>
      </c>
      <c r="C1065" s="18" t="s">
        <v>645</v>
      </c>
      <c r="D1065" s="6" t="s">
        <v>899</v>
      </c>
      <c r="E1065" s="6" t="s">
        <v>47</v>
      </c>
      <c r="F1065" s="6" t="s">
        <v>656</v>
      </c>
      <c r="G1065" s="7">
        <v>19.899999999999999</v>
      </c>
    </row>
    <row r="1066" spans="1:7" x14ac:dyDescent="0.3">
      <c r="A1066" s="18">
        <v>46105</v>
      </c>
      <c r="B1066" s="18" t="s">
        <v>51</v>
      </c>
      <c r="C1066" s="18" t="s">
        <v>645</v>
      </c>
      <c r="D1066" s="6" t="s">
        <v>577</v>
      </c>
      <c r="E1066" s="6" t="s">
        <v>57</v>
      </c>
      <c r="F1066" s="6" t="s">
        <v>656</v>
      </c>
      <c r="G1066" s="7">
        <v>45</v>
      </c>
    </row>
    <row r="1067" spans="1:7" x14ac:dyDescent="0.3">
      <c r="A1067" s="18">
        <v>46101</v>
      </c>
      <c r="B1067" s="18" t="s">
        <v>51</v>
      </c>
      <c r="C1067" s="18" t="s">
        <v>645</v>
      </c>
      <c r="D1067" s="6" t="s">
        <v>571</v>
      </c>
      <c r="E1067" s="6" t="s">
        <v>57</v>
      </c>
      <c r="F1067" s="6" t="s">
        <v>656</v>
      </c>
      <c r="G1067" s="7">
        <v>40</v>
      </c>
    </row>
    <row r="1068" spans="1:7" x14ac:dyDescent="0.3">
      <c r="A1068" s="18">
        <v>46023</v>
      </c>
      <c r="B1068" s="18" t="s">
        <v>51</v>
      </c>
      <c r="C1068" s="18" t="s">
        <v>645</v>
      </c>
      <c r="D1068" s="6" t="s">
        <v>433</v>
      </c>
      <c r="E1068" s="6" t="s">
        <v>47</v>
      </c>
      <c r="F1068" s="6" t="s">
        <v>656</v>
      </c>
      <c r="G1068" s="7">
        <v>9050</v>
      </c>
    </row>
    <row r="1069" spans="1:7" x14ac:dyDescent="0.3">
      <c r="A1069" s="18">
        <v>46054</v>
      </c>
      <c r="B1069" s="18" t="s">
        <v>51</v>
      </c>
      <c r="C1069" s="18" t="s">
        <v>645</v>
      </c>
      <c r="D1069" s="6" t="s">
        <v>433</v>
      </c>
      <c r="E1069" s="6" t="s">
        <v>47</v>
      </c>
      <c r="F1069" s="6" t="s">
        <v>656</v>
      </c>
      <c r="G1069" s="7">
        <v>9050</v>
      </c>
    </row>
    <row r="1070" spans="1:7" x14ac:dyDescent="0.3">
      <c r="A1070" s="18">
        <v>46082</v>
      </c>
      <c r="B1070" s="18" t="s">
        <v>51</v>
      </c>
      <c r="C1070" s="18" t="s">
        <v>645</v>
      </c>
      <c r="D1070" s="6" t="s">
        <v>433</v>
      </c>
      <c r="E1070" s="6" t="s">
        <v>47</v>
      </c>
      <c r="F1070" s="6" t="s">
        <v>656</v>
      </c>
      <c r="G1070" s="7">
        <v>9050</v>
      </c>
    </row>
    <row r="1071" spans="1:7" x14ac:dyDescent="0.3">
      <c r="A1071" s="18">
        <v>46113</v>
      </c>
      <c r="B1071" s="18" t="s">
        <v>51</v>
      </c>
      <c r="C1071" s="18" t="s">
        <v>645</v>
      </c>
      <c r="D1071" s="6" t="s">
        <v>433</v>
      </c>
      <c r="E1071" s="6" t="s">
        <v>47</v>
      </c>
      <c r="F1071" s="6" t="s">
        <v>656</v>
      </c>
      <c r="G1071" s="7">
        <v>9050</v>
      </c>
    </row>
    <row r="1072" spans="1:7" x14ac:dyDescent="0.3">
      <c r="A1072" s="18">
        <v>46143</v>
      </c>
      <c r="B1072" s="18" t="s">
        <v>51</v>
      </c>
      <c r="C1072" s="18" t="s">
        <v>645</v>
      </c>
      <c r="D1072" s="6" t="s">
        <v>433</v>
      </c>
      <c r="E1072" s="6" t="s">
        <v>47</v>
      </c>
      <c r="F1072" s="6" t="s">
        <v>656</v>
      </c>
      <c r="G1072" s="7">
        <v>9050</v>
      </c>
    </row>
    <row r="1073" spans="1:7" x14ac:dyDescent="0.3">
      <c r="A1073" s="18">
        <v>46174</v>
      </c>
      <c r="B1073" s="18" t="s">
        <v>51</v>
      </c>
      <c r="C1073" s="18" t="s">
        <v>645</v>
      </c>
      <c r="D1073" s="6" t="s">
        <v>433</v>
      </c>
      <c r="E1073" s="6" t="s">
        <v>47</v>
      </c>
      <c r="F1073" s="6" t="s">
        <v>656</v>
      </c>
      <c r="G1073" s="7">
        <v>9050</v>
      </c>
    </row>
    <row r="1074" spans="1:7" x14ac:dyDescent="0.3">
      <c r="A1074" s="18">
        <v>46079</v>
      </c>
      <c r="B1074" s="18" t="s">
        <v>51</v>
      </c>
      <c r="C1074" s="18" t="s">
        <v>645</v>
      </c>
      <c r="D1074" s="6" t="s">
        <v>516</v>
      </c>
      <c r="E1074" s="6" t="s">
        <v>42</v>
      </c>
      <c r="F1074" s="6" t="s">
        <v>656</v>
      </c>
      <c r="G1074" s="7">
        <v>547</v>
      </c>
    </row>
    <row r="1075" spans="1:7" x14ac:dyDescent="0.3">
      <c r="A1075" s="18">
        <v>46153</v>
      </c>
      <c r="B1075" s="18" t="s">
        <v>51</v>
      </c>
      <c r="C1075" s="18" t="s">
        <v>645</v>
      </c>
      <c r="D1075" s="6" t="s">
        <v>890</v>
      </c>
      <c r="E1075" s="6" t="s">
        <v>47</v>
      </c>
      <c r="F1075" s="6" t="s">
        <v>656</v>
      </c>
      <c r="G1075" s="7">
        <v>8</v>
      </c>
    </row>
    <row r="1076" spans="1:7" x14ac:dyDescent="0.3">
      <c r="A1076" s="18">
        <v>46153</v>
      </c>
      <c r="B1076" s="18" t="s">
        <v>51</v>
      </c>
      <c r="C1076" s="18" t="s">
        <v>645</v>
      </c>
      <c r="D1076" s="6" t="s">
        <v>889</v>
      </c>
      <c r="E1076" s="6" t="s">
        <v>47</v>
      </c>
      <c r="F1076" s="6" t="s">
        <v>656</v>
      </c>
      <c r="G1076" s="7">
        <v>4.5999999999999996</v>
      </c>
    </row>
    <row r="1077" spans="1:7" x14ac:dyDescent="0.3">
      <c r="A1077" s="18">
        <v>46091</v>
      </c>
      <c r="B1077" s="18" t="s">
        <v>51</v>
      </c>
      <c r="C1077" s="18" t="s">
        <v>645</v>
      </c>
      <c r="D1077" s="6" t="s">
        <v>549</v>
      </c>
      <c r="E1077" s="6" t="s">
        <v>47</v>
      </c>
      <c r="F1077" s="6" t="s">
        <v>656</v>
      </c>
      <c r="G1077" s="7">
        <v>17.05</v>
      </c>
    </row>
    <row r="1078" spans="1:7" x14ac:dyDescent="0.3">
      <c r="A1078" s="18">
        <v>46194</v>
      </c>
      <c r="B1078" s="18" t="s">
        <v>51</v>
      </c>
      <c r="C1078" s="18" t="s">
        <v>645</v>
      </c>
      <c r="D1078" s="6" t="s">
        <v>1101</v>
      </c>
      <c r="E1078" s="6" t="s">
        <v>47</v>
      </c>
      <c r="F1078" s="6" t="s">
        <v>656</v>
      </c>
      <c r="G1078" s="7">
        <v>1034.2</v>
      </c>
    </row>
    <row r="1079" spans="1:7" x14ac:dyDescent="0.3">
      <c r="A1079" s="18">
        <v>46113</v>
      </c>
      <c r="B1079" s="18" t="s">
        <v>51</v>
      </c>
      <c r="C1079" s="18" t="s">
        <v>645</v>
      </c>
      <c r="D1079" s="6" t="s">
        <v>236</v>
      </c>
      <c r="E1079" s="6" t="s">
        <v>47</v>
      </c>
      <c r="F1079" s="6" t="s">
        <v>656</v>
      </c>
      <c r="G1079" s="7">
        <v>369.97</v>
      </c>
    </row>
    <row r="1080" spans="1:7" x14ac:dyDescent="0.3">
      <c r="A1080" s="18">
        <v>46076</v>
      </c>
      <c r="B1080" s="18" t="s">
        <v>51</v>
      </c>
      <c r="C1080" s="18" t="s">
        <v>645</v>
      </c>
      <c r="D1080" s="6" t="s">
        <v>176</v>
      </c>
      <c r="E1080" s="6" t="s">
        <v>57</v>
      </c>
      <c r="F1080" s="6" t="s">
        <v>656</v>
      </c>
      <c r="G1080" s="7">
        <v>20</v>
      </c>
    </row>
    <row r="1081" spans="1:7" x14ac:dyDescent="0.3">
      <c r="A1081" s="18">
        <v>46082</v>
      </c>
      <c r="B1081" s="18" t="s">
        <v>51</v>
      </c>
      <c r="C1081" s="18" t="s">
        <v>645</v>
      </c>
      <c r="D1081" s="6" t="s">
        <v>530</v>
      </c>
      <c r="E1081" s="6" t="s">
        <v>47</v>
      </c>
      <c r="F1081" s="6" t="s">
        <v>656</v>
      </c>
      <c r="G1081" s="7">
        <v>180</v>
      </c>
    </row>
    <row r="1082" spans="1:7" x14ac:dyDescent="0.3">
      <c r="A1082" s="18">
        <v>46100</v>
      </c>
      <c r="B1082" s="18" t="s">
        <v>51</v>
      </c>
      <c r="C1082" s="18" t="s">
        <v>645</v>
      </c>
      <c r="D1082" s="6" t="s">
        <v>530</v>
      </c>
      <c r="E1082" s="6" t="s">
        <v>42</v>
      </c>
      <c r="F1082" s="6" t="s">
        <v>656</v>
      </c>
      <c r="G1082" s="7">
        <v>510</v>
      </c>
    </row>
    <row r="1083" spans="1:7" x14ac:dyDescent="0.3">
      <c r="A1083" s="18">
        <v>46202</v>
      </c>
      <c r="B1083" s="18" t="s">
        <v>51</v>
      </c>
      <c r="C1083" s="18" t="s">
        <v>645</v>
      </c>
      <c r="D1083" s="6" t="s">
        <v>1132</v>
      </c>
      <c r="E1083" s="6" t="s">
        <v>47</v>
      </c>
      <c r="F1083" s="6" t="s">
        <v>656</v>
      </c>
      <c r="G1083" s="7">
        <v>33.64</v>
      </c>
    </row>
    <row r="1084" spans="1:7" x14ac:dyDescent="0.3">
      <c r="A1084" s="18">
        <v>46163</v>
      </c>
      <c r="B1084" s="18" t="s">
        <v>51</v>
      </c>
      <c r="C1084" s="18" t="s">
        <v>645</v>
      </c>
      <c r="D1084" s="6" t="s">
        <v>911</v>
      </c>
      <c r="E1084" s="6" t="s">
        <v>57</v>
      </c>
      <c r="F1084" s="6" t="s">
        <v>656</v>
      </c>
      <c r="G1084" s="7">
        <v>218.5</v>
      </c>
    </row>
    <row r="1085" spans="1:7" x14ac:dyDescent="0.3">
      <c r="A1085" s="18">
        <v>46113</v>
      </c>
      <c r="B1085" s="18" t="s">
        <v>51</v>
      </c>
      <c r="C1085" s="18" t="s">
        <v>645</v>
      </c>
      <c r="D1085" s="6" t="s">
        <v>736</v>
      </c>
      <c r="E1085" s="6" t="s">
        <v>57</v>
      </c>
      <c r="F1085" s="6" t="s">
        <v>656</v>
      </c>
      <c r="G1085" s="7">
        <v>33</v>
      </c>
    </row>
    <row r="1086" spans="1:7" x14ac:dyDescent="0.3">
      <c r="A1086" s="18">
        <v>46040</v>
      </c>
      <c r="B1086" s="18" t="s">
        <v>51</v>
      </c>
      <c r="C1086" s="18" t="s">
        <v>645</v>
      </c>
      <c r="D1086" s="6" t="s">
        <v>401</v>
      </c>
      <c r="E1086" s="6" t="s">
        <v>47</v>
      </c>
      <c r="F1086" s="6" t="s">
        <v>656</v>
      </c>
      <c r="G1086" s="7">
        <v>308</v>
      </c>
    </row>
    <row r="1087" spans="1:7" x14ac:dyDescent="0.3">
      <c r="A1087" s="18">
        <v>46113</v>
      </c>
      <c r="B1087" s="18" t="s">
        <v>51</v>
      </c>
      <c r="C1087" s="18" t="s">
        <v>645</v>
      </c>
      <c r="D1087" s="6" t="s">
        <v>704</v>
      </c>
      <c r="E1087" s="6" t="s">
        <v>57</v>
      </c>
      <c r="F1087" s="6" t="s">
        <v>656</v>
      </c>
      <c r="G1087" s="7">
        <v>274068.63</v>
      </c>
    </row>
    <row r="1088" spans="1:7" x14ac:dyDescent="0.3">
      <c r="A1088" s="18">
        <v>46038</v>
      </c>
      <c r="B1088" s="18" t="s">
        <v>51</v>
      </c>
      <c r="C1088" s="18" t="s">
        <v>645</v>
      </c>
      <c r="D1088" s="6" t="s">
        <v>394</v>
      </c>
      <c r="E1088" s="6" t="s">
        <v>47</v>
      </c>
      <c r="F1088" s="6" t="s">
        <v>656</v>
      </c>
      <c r="G1088" s="7">
        <v>36</v>
      </c>
    </row>
    <row r="1089" spans="1:7" x14ac:dyDescent="0.3">
      <c r="A1089" s="18">
        <v>46072</v>
      </c>
      <c r="B1089" s="18" t="s">
        <v>51</v>
      </c>
      <c r="C1089" s="18" t="s">
        <v>645</v>
      </c>
      <c r="D1089" s="6" t="s">
        <v>227</v>
      </c>
      <c r="E1089" s="6" t="s">
        <v>57</v>
      </c>
      <c r="F1089" s="6" t="s">
        <v>659</v>
      </c>
      <c r="G1089" s="7">
        <v>1789.2</v>
      </c>
    </row>
    <row r="1090" spans="1:7" x14ac:dyDescent="0.3">
      <c r="A1090" s="18">
        <v>46027</v>
      </c>
      <c r="B1090" s="18" t="s">
        <v>51</v>
      </c>
      <c r="C1090" s="18" t="s">
        <v>645</v>
      </c>
      <c r="D1090" s="6" t="s">
        <v>338</v>
      </c>
      <c r="E1090" s="6" t="s">
        <v>47</v>
      </c>
      <c r="F1090" s="6" t="s">
        <v>656</v>
      </c>
      <c r="G1090" s="7">
        <v>10</v>
      </c>
    </row>
    <row r="1091" spans="1:7" x14ac:dyDescent="0.3">
      <c r="A1091" s="18">
        <v>46060</v>
      </c>
      <c r="B1091" s="18" t="s">
        <v>51</v>
      </c>
      <c r="C1091" s="18" t="s">
        <v>645</v>
      </c>
      <c r="D1091" s="6" t="s">
        <v>338</v>
      </c>
      <c r="E1091" s="6" t="s">
        <v>47</v>
      </c>
      <c r="F1091" s="6" t="s">
        <v>661</v>
      </c>
      <c r="G1091" s="7">
        <v>199.9</v>
      </c>
    </row>
    <row r="1092" spans="1:7" x14ac:dyDescent="0.3">
      <c r="A1092" s="18">
        <v>46151</v>
      </c>
      <c r="B1092" s="18" t="s">
        <v>51</v>
      </c>
      <c r="C1092" s="18" t="s">
        <v>645</v>
      </c>
      <c r="D1092" s="6" t="s">
        <v>338</v>
      </c>
      <c r="E1092" s="6" t="s">
        <v>57</v>
      </c>
      <c r="F1092" s="6" t="s">
        <v>656</v>
      </c>
      <c r="G1092" s="7">
        <v>1669.7</v>
      </c>
    </row>
    <row r="1093" spans="1:7" x14ac:dyDescent="0.3">
      <c r="A1093" s="18">
        <v>46151</v>
      </c>
      <c r="B1093" s="18" t="s">
        <v>51</v>
      </c>
      <c r="C1093" s="18" t="s">
        <v>645</v>
      </c>
      <c r="D1093" s="6" t="s">
        <v>338</v>
      </c>
      <c r="E1093" s="6" t="s">
        <v>57</v>
      </c>
      <c r="F1093" s="6" t="s">
        <v>656</v>
      </c>
      <c r="G1093" s="7">
        <v>219.9</v>
      </c>
    </row>
    <row r="1094" spans="1:7" x14ac:dyDescent="0.3">
      <c r="A1094" s="18">
        <v>46186</v>
      </c>
      <c r="B1094" s="18" t="s">
        <v>51</v>
      </c>
      <c r="C1094" s="18" t="s">
        <v>645</v>
      </c>
      <c r="D1094" s="6" t="s">
        <v>338</v>
      </c>
      <c r="E1094" s="6" t="s">
        <v>47</v>
      </c>
      <c r="F1094" s="6" t="s">
        <v>656</v>
      </c>
      <c r="G1094" s="7">
        <v>189.9</v>
      </c>
    </row>
    <row r="1095" spans="1:7" x14ac:dyDescent="0.3">
      <c r="A1095" s="18">
        <v>46067</v>
      </c>
      <c r="B1095" s="18" t="s">
        <v>51</v>
      </c>
      <c r="C1095" s="18" t="s">
        <v>645</v>
      </c>
      <c r="D1095" s="6" t="s">
        <v>224</v>
      </c>
      <c r="E1095" s="6" t="s">
        <v>47</v>
      </c>
      <c r="F1095" s="6" t="s">
        <v>656</v>
      </c>
      <c r="G1095" s="7">
        <v>22</v>
      </c>
    </row>
    <row r="1096" spans="1:7" x14ac:dyDescent="0.3">
      <c r="A1096" s="18">
        <v>46065</v>
      </c>
      <c r="B1096" s="18" t="s">
        <v>51</v>
      </c>
      <c r="C1096" s="18" t="s">
        <v>645</v>
      </c>
      <c r="D1096" s="6" t="s">
        <v>437</v>
      </c>
      <c r="E1096" s="6" t="s">
        <v>47</v>
      </c>
      <c r="F1096" s="6" t="s">
        <v>659</v>
      </c>
      <c r="G1096" s="7">
        <v>1115.5</v>
      </c>
    </row>
    <row r="1097" spans="1:7" x14ac:dyDescent="0.3">
      <c r="A1097" s="18">
        <v>46027</v>
      </c>
      <c r="B1097" s="18" t="s">
        <v>51</v>
      </c>
      <c r="C1097" s="18" t="s">
        <v>645</v>
      </c>
      <c r="D1097" s="6" t="s">
        <v>340</v>
      </c>
      <c r="E1097" s="6" t="s">
        <v>47</v>
      </c>
      <c r="F1097" s="6" t="s">
        <v>656</v>
      </c>
      <c r="G1097" s="7">
        <v>600</v>
      </c>
    </row>
    <row r="1098" spans="1:7" x14ac:dyDescent="0.3">
      <c r="A1098" s="18">
        <v>46036</v>
      </c>
      <c r="B1098" s="18" t="s">
        <v>51</v>
      </c>
      <c r="C1098" s="18" t="s">
        <v>645</v>
      </c>
      <c r="D1098" s="6" t="s">
        <v>378</v>
      </c>
      <c r="E1098" s="6" t="s">
        <v>47</v>
      </c>
      <c r="F1098" s="6" t="s">
        <v>656</v>
      </c>
      <c r="G1098" s="7">
        <v>52</v>
      </c>
    </row>
    <row r="1099" spans="1:7" x14ac:dyDescent="0.3">
      <c r="A1099" s="18">
        <v>46110</v>
      </c>
      <c r="B1099" s="18" t="s">
        <v>51</v>
      </c>
      <c r="C1099" s="18" t="s">
        <v>645</v>
      </c>
      <c r="D1099" s="6" t="s">
        <v>602</v>
      </c>
      <c r="E1099" s="6" t="s">
        <v>47</v>
      </c>
      <c r="F1099" s="6" t="s">
        <v>656</v>
      </c>
      <c r="G1099" s="7">
        <v>189.65</v>
      </c>
    </row>
    <row r="1100" spans="1:7" x14ac:dyDescent="0.3">
      <c r="A1100" s="18">
        <v>46113</v>
      </c>
      <c r="B1100" s="18" t="s">
        <v>51</v>
      </c>
      <c r="C1100" s="18" t="s">
        <v>645</v>
      </c>
      <c r="D1100" s="6" t="s">
        <v>737</v>
      </c>
      <c r="E1100" s="6" t="s">
        <v>57</v>
      </c>
      <c r="F1100" s="6" t="s">
        <v>656</v>
      </c>
      <c r="G1100" s="7">
        <v>58</v>
      </c>
    </row>
    <row r="1101" spans="1:7" x14ac:dyDescent="0.3">
      <c r="A1101" s="18">
        <v>46070</v>
      </c>
      <c r="B1101" s="18" t="s">
        <v>51</v>
      </c>
      <c r="C1101" s="18" t="s">
        <v>645</v>
      </c>
      <c r="D1101" s="6" t="s">
        <v>496</v>
      </c>
      <c r="E1101" s="6" t="s">
        <v>57</v>
      </c>
      <c r="F1101" s="6" t="s">
        <v>656</v>
      </c>
      <c r="G1101" s="7">
        <v>599.9</v>
      </c>
    </row>
    <row r="1102" spans="1:7" x14ac:dyDescent="0.3">
      <c r="A1102" s="18">
        <v>46079</v>
      </c>
      <c r="B1102" s="18" t="s">
        <v>51</v>
      </c>
      <c r="C1102" s="18" t="s">
        <v>645</v>
      </c>
      <c r="D1102" s="6" t="s">
        <v>514</v>
      </c>
      <c r="E1102" s="6" t="s">
        <v>42</v>
      </c>
      <c r="F1102" s="6" t="s">
        <v>656</v>
      </c>
      <c r="G1102" s="7">
        <v>279</v>
      </c>
    </row>
    <row r="1103" spans="1:7" x14ac:dyDescent="0.3">
      <c r="A1103" s="18">
        <v>46203</v>
      </c>
      <c r="B1103" s="18" t="s">
        <v>51</v>
      </c>
      <c r="C1103" s="18" t="s">
        <v>645</v>
      </c>
      <c r="D1103" s="6" t="s">
        <v>1133</v>
      </c>
      <c r="E1103" s="6" t="s">
        <v>47</v>
      </c>
      <c r="F1103" s="6" t="s">
        <v>656</v>
      </c>
      <c r="G1103" s="7">
        <v>453.13</v>
      </c>
    </row>
    <row r="1104" spans="1:7" x14ac:dyDescent="0.3">
      <c r="A1104" s="18">
        <v>46202</v>
      </c>
      <c r="B1104" s="18" t="s">
        <v>51</v>
      </c>
      <c r="C1104" s="18" t="s">
        <v>52</v>
      </c>
      <c r="D1104" s="6" t="s">
        <v>1007</v>
      </c>
      <c r="E1104" s="8" t="s">
        <v>42</v>
      </c>
      <c r="F1104" s="6" t="s">
        <v>659</v>
      </c>
      <c r="G1104" s="3">
        <v>380</v>
      </c>
    </row>
    <row r="1105" spans="1:7" x14ac:dyDescent="0.3">
      <c r="A1105" s="18">
        <v>46090</v>
      </c>
      <c r="B1105" s="18" t="s">
        <v>51</v>
      </c>
      <c r="C1105" s="18" t="s">
        <v>52</v>
      </c>
      <c r="D1105" s="6" t="s">
        <v>9</v>
      </c>
      <c r="E1105" s="6" t="s">
        <v>42</v>
      </c>
      <c r="F1105" s="6" t="s">
        <v>659</v>
      </c>
      <c r="G1105" s="7">
        <v>380</v>
      </c>
    </row>
    <row r="1106" spans="1:7" x14ac:dyDescent="0.3">
      <c r="A1106" s="18">
        <v>46113</v>
      </c>
      <c r="B1106" s="18" t="s">
        <v>51</v>
      </c>
      <c r="C1106" s="18" t="s">
        <v>52</v>
      </c>
      <c r="D1106" s="6" t="s">
        <v>795</v>
      </c>
      <c r="E1106" s="6" t="s">
        <v>42</v>
      </c>
      <c r="F1106" s="6" t="s">
        <v>659</v>
      </c>
      <c r="G1106" s="7">
        <v>320</v>
      </c>
    </row>
    <row r="1107" spans="1:7" x14ac:dyDescent="0.3">
      <c r="A1107" s="18">
        <v>46113</v>
      </c>
      <c r="B1107" s="18" t="s">
        <v>51</v>
      </c>
      <c r="C1107" s="18" t="s">
        <v>52</v>
      </c>
      <c r="D1107" s="6" t="s">
        <v>728</v>
      </c>
      <c r="E1107" s="6" t="s">
        <v>42</v>
      </c>
      <c r="F1107" s="6" t="s">
        <v>656</v>
      </c>
      <c r="G1107" s="7">
        <v>471.6</v>
      </c>
    </row>
    <row r="1108" spans="1:7" x14ac:dyDescent="0.3">
      <c r="A1108" s="18">
        <v>46042</v>
      </c>
      <c r="B1108" s="18" t="s">
        <v>51</v>
      </c>
      <c r="C1108" s="18" t="s">
        <v>52</v>
      </c>
      <c r="D1108" s="6" t="s">
        <v>411</v>
      </c>
      <c r="E1108" s="6" t="s">
        <v>42</v>
      </c>
      <c r="F1108" s="6" t="s">
        <v>656</v>
      </c>
      <c r="G1108" s="7">
        <v>105</v>
      </c>
    </row>
    <row r="1109" spans="1:7" x14ac:dyDescent="0.3">
      <c r="A1109" s="18">
        <v>46066</v>
      </c>
      <c r="B1109" s="18" t="s">
        <v>51</v>
      </c>
      <c r="C1109" s="18" t="s">
        <v>52</v>
      </c>
      <c r="D1109" s="6" t="s">
        <v>411</v>
      </c>
      <c r="E1109" s="6" t="s">
        <v>42</v>
      </c>
      <c r="F1109" s="6" t="s">
        <v>656</v>
      </c>
      <c r="G1109" s="7">
        <v>53</v>
      </c>
    </row>
    <row r="1110" spans="1:7" x14ac:dyDescent="0.3">
      <c r="A1110" s="18">
        <v>46094</v>
      </c>
      <c r="B1110" s="18" t="s">
        <v>51</v>
      </c>
      <c r="C1110" s="18" t="s">
        <v>52</v>
      </c>
      <c r="D1110" s="6" t="s">
        <v>411</v>
      </c>
      <c r="E1110" s="6" t="s">
        <v>42</v>
      </c>
      <c r="F1110" s="6" t="s">
        <v>656</v>
      </c>
      <c r="G1110" s="7">
        <v>116</v>
      </c>
    </row>
    <row r="1111" spans="1:7" x14ac:dyDescent="0.3">
      <c r="A1111" s="18">
        <v>46105</v>
      </c>
      <c r="B1111" s="18" t="s">
        <v>51</v>
      </c>
      <c r="C1111" s="18" t="s">
        <v>52</v>
      </c>
      <c r="D1111" s="6" t="s">
        <v>411</v>
      </c>
      <c r="E1111" s="6" t="s">
        <v>42</v>
      </c>
      <c r="F1111" s="6" t="s">
        <v>656</v>
      </c>
      <c r="G1111" s="7">
        <v>53</v>
      </c>
    </row>
    <row r="1112" spans="1:7" x14ac:dyDescent="0.3">
      <c r="A1112" s="18">
        <v>46113</v>
      </c>
      <c r="B1112" s="18" t="s">
        <v>51</v>
      </c>
      <c r="C1112" s="18" t="s">
        <v>52</v>
      </c>
      <c r="D1112" s="6" t="s">
        <v>411</v>
      </c>
      <c r="E1112" s="6" t="s">
        <v>42</v>
      </c>
      <c r="F1112" s="6" t="s">
        <v>656</v>
      </c>
      <c r="G1112" s="7">
        <v>53</v>
      </c>
    </row>
    <row r="1113" spans="1:7" x14ac:dyDescent="0.3">
      <c r="A1113" s="18">
        <v>46142</v>
      </c>
      <c r="B1113" s="18" t="s">
        <v>51</v>
      </c>
      <c r="C1113" s="18" t="s">
        <v>52</v>
      </c>
      <c r="D1113" s="6" t="s">
        <v>411</v>
      </c>
      <c r="E1113" s="6" t="s">
        <v>42</v>
      </c>
      <c r="F1113" s="6" t="s">
        <v>656</v>
      </c>
      <c r="G1113" s="7">
        <v>116</v>
      </c>
    </row>
    <row r="1114" spans="1:7" x14ac:dyDescent="0.3">
      <c r="A1114" s="18">
        <v>46161</v>
      </c>
      <c r="B1114" s="18" t="s">
        <v>51</v>
      </c>
      <c r="C1114" s="18" t="s">
        <v>52</v>
      </c>
      <c r="D1114" s="6" t="s">
        <v>411</v>
      </c>
      <c r="E1114" s="6" t="s">
        <v>42</v>
      </c>
      <c r="F1114" s="6" t="s">
        <v>656</v>
      </c>
      <c r="G1114" s="7">
        <v>53</v>
      </c>
    </row>
    <row r="1115" spans="1:7" x14ac:dyDescent="0.3">
      <c r="A1115" s="18">
        <v>46036</v>
      </c>
      <c r="B1115" s="18" t="s">
        <v>51</v>
      </c>
      <c r="C1115" s="18" t="s">
        <v>52</v>
      </c>
      <c r="D1115" s="6" t="s">
        <v>379</v>
      </c>
      <c r="E1115" s="6" t="s">
        <v>57</v>
      </c>
      <c r="F1115" s="6" t="s">
        <v>656</v>
      </c>
      <c r="G1115" s="7">
        <v>132</v>
      </c>
    </row>
    <row r="1116" spans="1:7" x14ac:dyDescent="0.3">
      <c r="A1116" s="18">
        <v>46083</v>
      </c>
      <c r="B1116" s="18" t="s">
        <v>51</v>
      </c>
      <c r="C1116" s="18" t="s">
        <v>52</v>
      </c>
      <c r="D1116" s="6" t="s">
        <v>2</v>
      </c>
      <c r="E1116" s="6" t="s">
        <v>50</v>
      </c>
      <c r="F1116" s="6" t="s">
        <v>659</v>
      </c>
      <c r="G1116" s="7">
        <v>220</v>
      </c>
    </row>
    <row r="1117" spans="1:7" x14ac:dyDescent="0.3">
      <c r="A1117" s="18">
        <v>46181</v>
      </c>
      <c r="B1117" s="18" t="s">
        <v>51</v>
      </c>
      <c r="C1117" s="18" t="s">
        <v>52</v>
      </c>
      <c r="D1117" s="6" t="s">
        <v>2</v>
      </c>
      <c r="E1117" s="6" t="s">
        <v>50</v>
      </c>
      <c r="F1117" s="6" t="s">
        <v>659</v>
      </c>
      <c r="G1117" s="9">
        <v>250</v>
      </c>
    </row>
    <row r="1118" spans="1:7" x14ac:dyDescent="0.3">
      <c r="A1118" s="18">
        <v>46037</v>
      </c>
      <c r="B1118" s="18" t="s">
        <v>51</v>
      </c>
      <c r="C1118" s="18" t="s">
        <v>52</v>
      </c>
      <c r="D1118" s="6" t="s">
        <v>17</v>
      </c>
      <c r="E1118" s="6" t="s">
        <v>42</v>
      </c>
      <c r="F1118" s="6" t="s">
        <v>659</v>
      </c>
      <c r="G1118" s="7">
        <v>220</v>
      </c>
    </row>
    <row r="1119" spans="1:7" x14ac:dyDescent="0.3">
      <c r="A1119" s="18">
        <v>46076</v>
      </c>
      <c r="B1119" s="18" t="s">
        <v>51</v>
      </c>
      <c r="C1119" s="18" t="s">
        <v>52</v>
      </c>
      <c r="D1119" s="6" t="s">
        <v>17</v>
      </c>
      <c r="E1119" s="6" t="s">
        <v>42</v>
      </c>
      <c r="F1119" s="6" t="s">
        <v>659</v>
      </c>
      <c r="G1119" s="7">
        <v>220</v>
      </c>
    </row>
    <row r="1120" spans="1:7" x14ac:dyDescent="0.3">
      <c r="A1120" s="18">
        <v>46085</v>
      </c>
      <c r="B1120" s="18" t="s">
        <v>51</v>
      </c>
      <c r="C1120" s="18" t="s">
        <v>52</v>
      </c>
      <c r="D1120" s="6" t="s">
        <v>17</v>
      </c>
      <c r="E1120" s="6" t="s">
        <v>42</v>
      </c>
      <c r="F1120" s="6" t="s">
        <v>659</v>
      </c>
      <c r="G1120" s="7">
        <v>220</v>
      </c>
    </row>
    <row r="1121" spans="1:7" x14ac:dyDescent="0.3">
      <c r="A1121" s="18">
        <v>46090</v>
      </c>
      <c r="B1121" s="18" t="s">
        <v>51</v>
      </c>
      <c r="C1121" s="18" t="s">
        <v>52</v>
      </c>
      <c r="D1121" s="6" t="s">
        <v>17</v>
      </c>
      <c r="E1121" s="6" t="s">
        <v>42</v>
      </c>
      <c r="F1121" s="6" t="s">
        <v>659</v>
      </c>
      <c r="G1121" s="7">
        <v>220</v>
      </c>
    </row>
    <row r="1122" spans="1:7" x14ac:dyDescent="0.3">
      <c r="A1122" s="18">
        <v>46098</v>
      </c>
      <c r="B1122" s="18" t="s">
        <v>51</v>
      </c>
      <c r="C1122" s="18" t="s">
        <v>52</v>
      </c>
      <c r="D1122" s="6" t="s">
        <v>17</v>
      </c>
      <c r="E1122" s="6" t="s">
        <v>42</v>
      </c>
      <c r="F1122" s="6" t="s">
        <v>659</v>
      </c>
      <c r="G1122" s="7">
        <v>220</v>
      </c>
    </row>
    <row r="1123" spans="1:7" x14ac:dyDescent="0.3">
      <c r="A1123" s="18">
        <v>46104</v>
      </c>
      <c r="B1123" s="18" t="s">
        <v>51</v>
      </c>
      <c r="C1123" s="18" t="s">
        <v>52</v>
      </c>
      <c r="D1123" s="6" t="s">
        <v>17</v>
      </c>
      <c r="E1123" s="6" t="s">
        <v>42</v>
      </c>
      <c r="F1123" s="6" t="s">
        <v>659</v>
      </c>
      <c r="G1123" s="7">
        <v>220</v>
      </c>
    </row>
    <row r="1124" spans="1:7" x14ac:dyDescent="0.3">
      <c r="A1124" s="18">
        <v>46113</v>
      </c>
      <c r="B1124" s="18" t="s">
        <v>51</v>
      </c>
      <c r="C1124" s="18" t="s">
        <v>52</v>
      </c>
      <c r="D1124" s="6" t="s">
        <v>17</v>
      </c>
      <c r="E1124" s="6" t="s">
        <v>42</v>
      </c>
      <c r="F1124" s="6" t="s">
        <v>659</v>
      </c>
      <c r="G1124" s="7">
        <v>220</v>
      </c>
    </row>
    <row r="1125" spans="1:7" x14ac:dyDescent="0.3">
      <c r="A1125" s="18">
        <v>46113</v>
      </c>
      <c r="B1125" s="18" t="s">
        <v>51</v>
      </c>
      <c r="C1125" s="18" t="s">
        <v>52</v>
      </c>
      <c r="D1125" s="6" t="s">
        <v>17</v>
      </c>
      <c r="E1125" s="6" t="s">
        <v>42</v>
      </c>
      <c r="F1125" s="6" t="s">
        <v>659</v>
      </c>
      <c r="G1125" s="7">
        <v>220</v>
      </c>
    </row>
    <row r="1126" spans="1:7" x14ac:dyDescent="0.3">
      <c r="A1126" s="18">
        <v>46113</v>
      </c>
      <c r="B1126" s="18" t="s">
        <v>51</v>
      </c>
      <c r="C1126" s="18" t="s">
        <v>52</v>
      </c>
      <c r="D1126" s="6" t="s">
        <v>17</v>
      </c>
      <c r="E1126" s="6" t="s">
        <v>42</v>
      </c>
      <c r="F1126" s="6" t="s">
        <v>659</v>
      </c>
      <c r="G1126" s="7">
        <v>220</v>
      </c>
    </row>
    <row r="1127" spans="1:7" x14ac:dyDescent="0.3">
      <c r="A1127" s="18">
        <v>46113</v>
      </c>
      <c r="B1127" s="18" t="s">
        <v>51</v>
      </c>
      <c r="C1127" s="18" t="s">
        <v>52</v>
      </c>
      <c r="D1127" s="6" t="s">
        <v>17</v>
      </c>
      <c r="E1127" s="6" t="s">
        <v>42</v>
      </c>
      <c r="F1127" s="6" t="s">
        <v>659</v>
      </c>
      <c r="G1127" s="7">
        <v>220</v>
      </c>
    </row>
    <row r="1128" spans="1:7" x14ac:dyDescent="0.3">
      <c r="A1128" s="18">
        <v>46113</v>
      </c>
      <c r="B1128" s="18" t="s">
        <v>51</v>
      </c>
      <c r="C1128" s="18" t="s">
        <v>52</v>
      </c>
      <c r="D1128" s="6" t="s">
        <v>17</v>
      </c>
      <c r="E1128" s="6" t="s">
        <v>42</v>
      </c>
      <c r="F1128" s="6" t="s">
        <v>659</v>
      </c>
      <c r="G1128" s="7">
        <v>220</v>
      </c>
    </row>
    <row r="1129" spans="1:7" x14ac:dyDescent="0.3">
      <c r="A1129" s="18">
        <v>46146</v>
      </c>
      <c r="B1129" s="18" t="s">
        <v>51</v>
      </c>
      <c r="C1129" s="18" t="s">
        <v>52</v>
      </c>
      <c r="D1129" s="6" t="s">
        <v>17</v>
      </c>
      <c r="E1129" s="6" t="s">
        <v>42</v>
      </c>
      <c r="F1129" s="6" t="s">
        <v>659</v>
      </c>
      <c r="G1129" s="3">
        <v>220</v>
      </c>
    </row>
    <row r="1130" spans="1:7" x14ac:dyDescent="0.3">
      <c r="A1130" s="18">
        <v>46163</v>
      </c>
      <c r="B1130" s="18" t="s">
        <v>51</v>
      </c>
      <c r="C1130" s="18" t="s">
        <v>52</v>
      </c>
      <c r="D1130" s="6" t="s">
        <v>17</v>
      </c>
      <c r="E1130" s="6" t="s">
        <v>42</v>
      </c>
      <c r="F1130" s="6" t="s">
        <v>659</v>
      </c>
      <c r="G1130" s="9">
        <v>440</v>
      </c>
    </row>
    <row r="1131" spans="1:7" x14ac:dyDescent="0.3">
      <c r="A1131" s="18">
        <v>46195</v>
      </c>
      <c r="B1131" s="18" t="s">
        <v>51</v>
      </c>
      <c r="C1131" s="18" t="s">
        <v>52</v>
      </c>
      <c r="D1131" s="6" t="s">
        <v>17</v>
      </c>
      <c r="E1131" s="8" t="s">
        <v>42</v>
      </c>
      <c r="F1131" s="6" t="s">
        <v>659</v>
      </c>
      <c r="G1131" s="9">
        <v>220</v>
      </c>
    </row>
    <row r="1132" spans="1:7" x14ac:dyDescent="0.3">
      <c r="A1132" s="18">
        <v>46202</v>
      </c>
      <c r="B1132" s="18" t="s">
        <v>51</v>
      </c>
      <c r="C1132" s="18" t="s">
        <v>52</v>
      </c>
      <c r="D1132" s="6" t="s">
        <v>17</v>
      </c>
      <c r="E1132" s="8" t="s">
        <v>42</v>
      </c>
      <c r="F1132" s="6" t="s">
        <v>659</v>
      </c>
      <c r="G1132" s="3">
        <v>220</v>
      </c>
    </row>
    <row r="1133" spans="1:7" x14ac:dyDescent="0.3">
      <c r="A1133" s="18">
        <v>46079</v>
      </c>
      <c r="B1133" s="18" t="s">
        <v>51</v>
      </c>
      <c r="C1133" s="18" t="s">
        <v>52</v>
      </c>
      <c r="D1133" s="6" t="s">
        <v>517</v>
      </c>
      <c r="E1133" s="6" t="s">
        <v>42</v>
      </c>
      <c r="F1133" s="6" t="s">
        <v>656</v>
      </c>
      <c r="G1133" s="7">
        <v>447</v>
      </c>
    </row>
    <row r="1134" spans="1:7" x14ac:dyDescent="0.3">
      <c r="A1134" s="18">
        <v>46113</v>
      </c>
      <c r="B1134" s="18" t="s">
        <v>51</v>
      </c>
      <c r="C1134" s="18" t="s">
        <v>52</v>
      </c>
      <c r="D1134" s="6" t="s">
        <v>517</v>
      </c>
      <c r="E1134" s="6" t="s">
        <v>42</v>
      </c>
      <c r="F1134" s="6" t="s">
        <v>656</v>
      </c>
      <c r="G1134" s="7">
        <v>287</v>
      </c>
    </row>
    <row r="1135" spans="1:7" x14ac:dyDescent="0.3">
      <c r="A1135" s="18">
        <v>46030</v>
      </c>
      <c r="B1135" s="18" t="s">
        <v>51</v>
      </c>
      <c r="C1135" s="18" t="s">
        <v>52</v>
      </c>
      <c r="D1135" s="6" t="s">
        <v>361</v>
      </c>
      <c r="E1135" s="6" t="s">
        <v>42</v>
      </c>
      <c r="F1135" s="6" t="s">
        <v>656</v>
      </c>
      <c r="G1135" s="7">
        <v>70</v>
      </c>
    </row>
    <row r="1136" spans="1:7" x14ac:dyDescent="0.3">
      <c r="A1136" s="18">
        <v>46167</v>
      </c>
      <c r="B1136" s="18" t="s">
        <v>51</v>
      </c>
      <c r="C1136" s="18" t="s">
        <v>52</v>
      </c>
      <c r="D1136" s="6" t="s">
        <v>361</v>
      </c>
      <c r="E1136" s="6" t="s">
        <v>42</v>
      </c>
      <c r="F1136" s="6" t="s">
        <v>656</v>
      </c>
      <c r="G1136" s="7">
        <v>1807.25</v>
      </c>
    </row>
    <row r="1137" spans="1:7" x14ac:dyDescent="0.3">
      <c r="A1137" s="18">
        <v>46023</v>
      </c>
      <c r="B1137" s="18" t="s">
        <v>51</v>
      </c>
      <c r="C1137" s="18" t="s">
        <v>52</v>
      </c>
      <c r="D1137" s="6" t="s">
        <v>431</v>
      </c>
      <c r="E1137" s="6" t="s">
        <v>42</v>
      </c>
      <c r="F1137" s="6" t="s">
        <v>656</v>
      </c>
      <c r="G1137" s="7">
        <v>1363.5</v>
      </c>
    </row>
    <row r="1138" spans="1:7" x14ac:dyDescent="0.3">
      <c r="A1138" s="18">
        <v>46186</v>
      </c>
      <c r="B1138" s="46" t="s">
        <v>51</v>
      </c>
      <c r="C1138" s="46" t="s">
        <v>52</v>
      </c>
      <c r="D1138" s="6" t="s">
        <v>993</v>
      </c>
      <c r="E1138" s="6" t="s">
        <v>57</v>
      </c>
      <c r="F1138" s="6" t="s">
        <v>659</v>
      </c>
      <c r="G1138" s="7">
        <v>60</v>
      </c>
    </row>
    <row r="1139" spans="1:7" x14ac:dyDescent="0.3">
      <c r="A1139" s="18">
        <v>46088</v>
      </c>
      <c r="B1139" s="18" t="s">
        <v>51</v>
      </c>
      <c r="C1139" s="18" t="s">
        <v>52</v>
      </c>
      <c r="D1139" s="6" t="s">
        <v>539</v>
      </c>
      <c r="E1139" s="6" t="s">
        <v>42</v>
      </c>
      <c r="F1139" s="6" t="s">
        <v>656</v>
      </c>
      <c r="G1139" s="7">
        <v>60</v>
      </c>
    </row>
    <row r="1140" spans="1:7" x14ac:dyDescent="0.3">
      <c r="A1140" s="18">
        <v>46096</v>
      </c>
      <c r="B1140" s="18" t="s">
        <v>51</v>
      </c>
      <c r="C1140" s="18" t="s">
        <v>647</v>
      </c>
      <c r="D1140" s="6" t="s">
        <v>658</v>
      </c>
      <c r="E1140" s="6" t="s">
        <v>57</v>
      </c>
      <c r="F1140" s="6" t="s">
        <v>656</v>
      </c>
      <c r="G1140" s="7">
        <v>40</v>
      </c>
    </row>
    <row r="1141" spans="1:7" x14ac:dyDescent="0.3">
      <c r="A1141" s="18">
        <v>46023</v>
      </c>
      <c r="B1141" s="18" t="s">
        <v>51</v>
      </c>
      <c r="C1141" s="18" t="s">
        <v>647</v>
      </c>
      <c r="D1141" s="6" t="s">
        <v>297</v>
      </c>
      <c r="E1141" s="6" t="s">
        <v>13</v>
      </c>
      <c r="F1141" s="6" t="s">
        <v>656</v>
      </c>
      <c r="G1141" s="7">
        <v>583.33000000000004</v>
      </c>
    </row>
    <row r="1142" spans="1:7" x14ac:dyDescent="0.3">
      <c r="A1142" s="18">
        <v>46023</v>
      </c>
      <c r="B1142" s="18" t="s">
        <v>51</v>
      </c>
      <c r="C1142" s="18" t="s">
        <v>647</v>
      </c>
      <c r="D1142" s="6" t="s">
        <v>297</v>
      </c>
      <c r="E1142" s="6" t="s">
        <v>50</v>
      </c>
      <c r="F1142" s="6" t="s">
        <v>656</v>
      </c>
      <c r="G1142" s="7">
        <v>583.33000000000004</v>
      </c>
    </row>
    <row r="1143" spans="1:7" x14ac:dyDescent="0.3">
      <c r="A1143" s="18">
        <v>46047</v>
      </c>
      <c r="B1143" s="18" t="s">
        <v>51</v>
      </c>
      <c r="C1143" s="18" t="s">
        <v>647</v>
      </c>
      <c r="D1143" s="6" t="s">
        <v>297</v>
      </c>
      <c r="E1143" s="6" t="s">
        <v>57</v>
      </c>
      <c r="F1143" s="6" t="s">
        <v>657</v>
      </c>
      <c r="G1143" s="7">
        <v>585.84</v>
      </c>
    </row>
    <row r="1144" spans="1:7" x14ac:dyDescent="0.3">
      <c r="A1144" s="18">
        <v>46174</v>
      </c>
      <c r="B1144" s="18" t="s">
        <v>51</v>
      </c>
      <c r="C1144" s="18" t="s">
        <v>647</v>
      </c>
      <c r="D1144" s="6" t="s">
        <v>297</v>
      </c>
      <c r="E1144" s="6" t="s">
        <v>57</v>
      </c>
      <c r="F1144" s="6" t="s">
        <v>657</v>
      </c>
      <c r="G1144" s="7">
        <v>585.84</v>
      </c>
    </row>
    <row r="1145" spans="1:7" x14ac:dyDescent="0.3">
      <c r="A1145" s="18">
        <v>46167</v>
      </c>
      <c r="B1145" s="18" t="s">
        <v>51</v>
      </c>
      <c r="C1145" s="18" t="s">
        <v>647</v>
      </c>
      <c r="D1145" s="6" t="s">
        <v>297</v>
      </c>
      <c r="E1145" s="6" t="s">
        <v>57</v>
      </c>
      <c r="F1145" s="6" t="s">
        <v>657</v>
      </c>
      <c r="G1145" s="7">
        <v>585.84</v>
      </c>
    </row>
    <row r="1146" spans="1:7" x14ac:dyDescent="0.3">
      <c r="A1146" s="18">
        <v>46054</v>
      </c>
      <c r="B1146" s="18" t="s">
        <v>51</v>
      </c>
      <c r="C1146" s="18" t="s">
        <v>647</v>
      </c>
      <c r="D1146" s="6" t="s">
        <v>297</v>
      </c>
      <c r="E1146" s="6" t="s">
        <v>13</v>
      </c>
      <c r="F1146" s="6" t="s">
        <v>656</v>
      </c>
      <c r="G1146" s="7">
        <v>583.33000000000004</v>
      </c>
    </row>
    <row r="1147" spans="1:7" x14ac:dyDescent="0.3">
      <c r="A1147" s="18">
        <v>46054</v>
      </c>
      <c r="B1147" s="18" t="s">
        <v>51</v>
      </c>
      <c r="C1147" s="18" t="s">
        <v>647</v>
      </c>
      <c r="D1147" s="6" t="s">
        <v>297</v>
      </c>
      <c r="E1147" s="6" t="s">
        <v>50</v>
      </c>
      <c r="F1147" s="6" t="s">
        <v>656</v>
      </c>
      <c r="G1147" s="7">
        <v>583.33000000000004</v>
      </c>
    </row>
    <row r="1148" spans="1:7" x14ac:dyDescent="0.3">
      <c r="A1148" s="18">
        <v>46078</v>
      </c>
      <c r="B1148" s="18" t="s">
        <v>51</v>
      </c>
      <c r="C1148" s="18" t="s">
        <v>647</v>
      </c>
      <c r="D1148" s="6" t="s">
        <v>297</v>
      </c>
      <c r="E1148" s="6" t="s">
        <v>57</v>
      </c>
      <c r="F1148" s="6" t="s">
        <v>657</v>
      </c>
      <c r="G1148" s="7">
        <v>585.84</v>
      </c>
    </row>
    <row r="1149" spans="1:7" x14ac:dyDescent="0.3">
      <c r="A1149" s="18">
        <v>46082</v>
      </c>
      <c r="B1149" s="18" t="s">
        <v>51</v>
      </c>
      <c r="C1149" s="18" t="s">
        <v>647</v>
      </c>
      <c r="D1149" s="6" t="s">
        <v>297</v>
      </c>
      <c r="E1149" s="6" t="s">
        <v>13</v>
      </c>
      <c r="F1149" s="6" t="s">
        <v>656</v>
      </c>
      <c r="G1149" s="7">
        <v>583.33000000000004</v>
      </c>
    </row>
    <row r="1150" spans="1:7" x14ac:dyDescent="0.3">
      <c r="A1150" s="18">
        <v>46082</v>
      </c>
      <c r="B1150" s="18" t="s">
        <v>51</v>
      </c>
      <c r="C1150" s="18" t="s">
        <v>647</v>
      </c>
      <c r="D1150" s="6" t="s">
        <v>297</v>
      </c>
      <c r="E1150" s="6" t="s">
        <v>50</v>
      </c>
      <c r="F1150" s="6" t="s">
        <v>656</v>
      </c>
      <c r="G1150" s="7">
        <v>583.33000000000004</v>
      </c>
    </row>
    <row r="1151" spans="1:7" x14ac:dyDescent="0.3">
      <c r="A1151" s="18">
        <v>46106</v>
      </c>
      <c r="B1151" s="18" t="s">
        <v>51</v>
      </c>
      <c r="C1151" s="18" t="s">
        <v>647</v>
      </c>
      <c r="D1151" s="6" t="s">
        <v>297</v>
      </c>
      <c r="E1151" s="6" t="s">
        <v>57</v>
      </c>
      <c r="F1151" s="6" t="s">
        <v>657</v>
      </c>
      <c r="G1151" s="7">
        <v>585.84</v>
      </c>
    </row>
    <row r="1152" spans="1:7" x14ac:dyDescent="0.3">
      <c r="A1152" s="18">
        <v>46113</v>
      </c>
      <c r="B1152" s="18" t="s">
        <v>51</v>
      </c>
      <c r="C1152" s="18" t="s">
        <v>647</v>
      </c>
      <c r="D1152" s="6" t="s">
        <v>297</v>
      </c>
      <c r="E1152" s="6" t="s">
        <v>13</v>
      </c>
      <c r="F1152" s="6" t="s">
        <v>656</v>
      </c>
      <c r="G1152" s="7">
        <v>583.33000000000004</v>
      </c>
    </row>
    <row r="1153" spans="1:7" x14ac:dyDescent="0.3">
      <c r="A1153" s="18">
        <v>46113</v>
      </c>
      <c r="B1153" s="18" t="s">
        <v>51</v>
      </c>
      <c r="C1153" s="18" t="s">
        <v>647</v>
      </c>
      <c r="D1153" s="6" t="s">
        <v>297</v>
      </c>
      <c r="E1153" s="6" t="s">
        <v>50</v>
      </c>
      <c r="F1153" s="6" t="s">
        <v>656</v>
      </c>
      <c r="G1153" s="7">
        <v>583.33000000000004</v>
      </c>
    </row>
    <row r="1154" spans="1:7" x14ac:dyDescent="0.3">
      <c r="A1154" s="18">
        <v>46117</v>
      </c>
      <c r="B1154" s="18" t="s">
        <v>51</v>
      </c>
      <c r="C1154" s="18" t="s">
        <v>647</v>
      </c>
      <c r="D1154" s="6" t="s">
        <v>297</v>
      </c>
      <c r="E1154" s="6" t="s">
        <v>57</v>
      </c>
      <c r="F1154" s="6" t="s">
        <v>657</v>
      </c>
      <c r="G1154" s="7">
        <v>585.84</v>
      </c>
    </row>
    <row r="1155" spans="1:7" x14ac:dyDescent="0.3">
      <c r="A1155" s="18">
        <v>46143</v>
      </c>
      <c r="B1155" s="18" t="s">
        <v>51</v>
      </c>
      <c r="C1155" s="18" t="s">
        <v>647</v>
      </c>
      <c r="D1155" s="6" t="s">
        <v>297</v>
      </c>
      <c r="E1155" s="6" t="s">
        <v>13</v>
      </c>
      <c r="F1155" s="6" t="s">
        <v>656</v>
      </c>
      <c r="G1155" s="7">
        <v>583.33000000000004</v>
      </c>
    </row>
    <row r="1156" spans="1:7" x14ac:dyDescent="0.3">
      <c r="A1156" s="18">
        <v>46143</v>
      </c>
      <c r="B1156" s="18" t="s">
        <v>51</v>
      </c>
      <c r="C1156" s="18" t="s">
        <v>647</v>
      </c>
      <c r="D1156" s="6" t="s">
        <v>297</v>
      </c>
      <c r="E1156" s="6" t="s">
        <v>50</v>
      </c>
      <c r="F1156" s="6" t="s">
        <v>656</v>
      </c>
      <c r="G1156" s="7">
        <v>583.33000000000004</v>
      </c>
    </row>
    <row r="1157" spans="1:7" x14ac:dyDescent="0.3">
      <c r="A1157" s="18">
        <v>46174</v>
      </c>
      <c r="B1157" s="18" t="s">
        <v>51</v>
      </c>
      <c r="C1157" s="18" t="s">
        <v>647</v>
      </c>
      <c r="D1157" s="6" t="s">
        <v>297</v>
      </c>
      <c r="E1157" s="6" t="s">
        <v>13</v>
      </c>
      <c r="F1157" s="6" t="s">
        <v>656</v>
      </c>
      <c r="G1157" s="7">
        <v>583.33000000000004</v>
      </c>
    </row>
    <row r="1158" spans="1:7" x14ac:dyDescent="0.3">
      <c r="A1158" s="18">
        <v>46174</v>
      </c>
      <c r="B1158" s="18" t="s">
        <v>51</v>
      </c>
      <c r="C1158" s="18" t="s">
        <v>647</v>
      </c>
      <c r="D1158" s="6" t="s">
        <v>297</v>
      </c>
      <c r="E1158" s="6" t="s">
        <v>50</v>
      </c>
      <c r="F1158" s="6" t="s">
        <v>656</v>
      </c>
      <c r="G1158" s="7">
        <v>583.33000000000004</v>
      </c>
    </row>
    <row r="1159" spans="1:7" x14ac:dyDescent="0.3">
      <c r="A1159" s="18">
        <v>46113</v>
      </c>
      <c r="B1159" s="18" t="s">
        <v>51</v>
      </c>
      <c r="C1159" s="18" t="s">
        <v>647</v>
      </c>
      <c r="D1159" s="6" t="s">
        <v>755</v>
      </c>
      <c r="E1159" s="6" t="s">
        <v>47</v>
      </c>
      <c r="F1159" s="6" t="s">
        <v>656</v>
      </c>
      <c r="G1159" s="7">
        <v>85</v>
      </c>
    </row>
    <row r="1160" spans="1:7" x14ac:dyDescent="0.3">
      <c r="A1160" s="18">
        <v>46188</v>
      </c>
      <c r="B1160" s="18" t="s">
        <v>51</v>
      </c>
      <c r="C1160" s="18" t="s">
        <v>647</v>
      </c>
      <c r="D1160" s="6" t="s">
        <v>1138</v>
      </c>
      <c r="E1160" s="6" t="s">
        <v>57</v>
      </c>
      <c r="F1160" s="6" t="s">
        <v>656</v>
      </c>
      <c r="G1160" s="7">
        <v>15347.14</v>
      </c>
    </row>
    <row r="1161" spans="1:7" x14ac:dyDescent="0.3">
      <c r="A1161" s="18">
        <v>46188</v>
      </c>
      <c r="B1161" s="18" t="s">
        <v>51</v>
      </c>
      <c r="C1161" s="18" t="s">
        <v>647</v>
      </c>
      <c r="D1161" s="6" t="s">
        <v>1138</v>
      </c>
      <c r="E1161" s="6" t="s">
        <v>13</v>
      </c>
      <c r="F1161" s="6" t="s">
        <v>656</v>
      </c>
      <c r="G1161" s="7">
        <v>15347.14</v>
      </c>
    </row>
    <row r="1162" spans="1:7" x14ac:dyDescent="0.3">
      <c r="A1162" s="18">
        <v>46113</v>
      </c>
      <c r="B1162" s="18" t="s">
        <v>51</v>
      </c>
      <c r="C1162" s="18" t="s">
        <v>647</v>
      </c>
      <c r="D1162" s="6" t="s">
        <v>721</v>
      </c>
      <c r="E1162" s="6" t="s">
        <v>47</v>
      </c>
      <c r="F1162" s="6" t="s">
        <v>656</v>
      </c>
      <c r="G1162" s="7">
        <v>1750.16</v>
      </c>
    </row>
    <row r="1163" spans="1:7" x14ac:dyDescent="0.3">
      <c r="A1163" s="18">
        <v>46113</v>
      </c>
      <c r="B1163" s="18" t="s">
        <v>51</v>
      </c>
      <c r="C1163" s="18" t="s">
        <v>647</v>
      </c>
      <c r="D1163" s="6" t="s">
        <v>752</v>
      </c>
      <c r="E1163" s="6" t="s">
        <v>47</v>
      </c>
      <c r="F1163" s="6" t="s">
        <v>656</v>
      </c>
      <c r="G1163" s="7">
        <v>212.02</v>
      </c>
    </row>
    <row r="1164" spans="1:7" x14ac:dyDescent="0.3">
      <c r="A1164" s="18">
        <v>46100</v>
      </c>
      <c r="B1164" s="18" t="s">
        <v>51</v>
      </c>
      <c r="C1164" s="18" t="s">
        <v>647</v>
      </c>
      <c r="D1164" s="6" t="s">
        <v>20</v>
      </c>
      <c r="E1164" s="6" t="s">
        <v>57</v>
      </c>
      <c r="F1164" s="6" t="s">
        <v>659</v>
      </c>
      <c r="G1164" s="7">
        <v>700</v>
      </c>
    </row>
    <row r="1165" spans="1:7" x14ac:dyDescent="0.3">
      <c r="A1165" s="18">
        <v>46113</v>
      </c>
      <c r="B1165" s="18" t="s">
        <v>51</v>
      </c>
      <c r="C1165" s="18" t="s">
        <v>647</v>
      </c>
      <c r="D1165" s="6" t="s">
        <v>782</v>
      </c>
      <c r="E1165" s="6" t="s">
        <v>57</v>
      </c>
      <c r="F1165" s="6" t="s">
        <v>659</v>
      </c>
      <c r="G1165" s="7">
        <v>1370</v>
      </c>
    </row>
    <row r="1166" spans="1:7" x14ac:dyDescent="0.3">
      <c r="A1166" s="18">
        <v>46149</v>
      </c>
      <c r="B1166" s="18" t="s">
        <v>51</v>
      </c>
      <c r="C1166" s="18" t="s">
        <v>647</v>
      </c>
      <c r="D1166" s="6" t="s">
        <v>782</v>
      </c>
      <c r="E1166" s="6" t="s">
        <v>57</v>
      </c>
      <c r="F1166" s="6" t="s">
        <v>659</v>
      </c>
      <c r="G1166" s="3">
        <v>1200</v>
      </c>
    </row>
    <row r="1167" spans="1:7" x14ac:dyDescent="0.3">
      <c r="A1167" s="18">
        <v>46113</v>
      </c>
      <c r="B1167" s="18" t="s">
        <v>51</v>
      </c>
      <c r="C1167" s="18" t="s">
        <v>647</v>
      </c>
      <c r="D1167" s="6" t="s">
        <v>730</v>
      </c>
      <c r="E1167" s="6" t="s">
        <v>57</v>
      </c>
      <c r="F1167" s="6" t="s">
        <v>656</v>
      </c>
      <c r="G1167" s="7">
        <v>39</v>
      </c>
    </row>
    <row r="1168" spans="1:7" x14ac:dyDescent="0.3">
      <c r="A1168" s="18">
        <v>46045</v>
      </c>
      <c r="B1168" s="18" t="s">
        <v>51</v>
      </c>
      <c r="C1168" s="18" t="s">
        <v>647</v>
      </c>
      <c r="D1168" s="6" t="s">
        <v>414</v>
      </c>
      <c r="E1168" s="6" t="s">
        <v>47</v>
      </c>
      <c r="F1168" s="6" t="s">
        <v>656</v>
      </c>
      <c r="G1168" s="7">
        <v>59.9</v>
      </c>
    </row>
    <row r="1169" spans="1:7" x14ac:dyDescent="0.3">
      <c r="A1169" s="18">
        <v>46076</v>
      </c>
      <c r="B1169" s="18" t="s">
        <v>51</v>
      </c>
      <c r="C1169" s="18" t="s">
        <v>647</v>
      </c>
      <c r="D1169" s="6" t="s">
        <v>414</v>
      </c>
      <c r="E1169" s="6" t="s">
        <v>47</v>
      </c>
      <c r="F1169" s="6" t="s">
        <v>656</v>
      </c>
      <c r="G1169" s="7">
        <v>59.9</v>
      </c>
    </row>
    <row r="1170" spans="1:7" x14ac:dyDescent="0.3">
      <c r="A1170" s="18">
        <v>46104</v>
      </c>
      <c r="B1170" s="18" t="s">
        <v>51</v>
      </c>
      <c r="C1170" s="18" t="s">
        <v>647</v>
      </c>
      <c r="D1170" s="6" t="s">
        <v>414</v>
      </c>
      <c r="E1170" s="6" t="s">
        <v>47</v>
      </c>
      <c r="F1170" s="6" t="s">
        <v>656</v>
      </c>
      <c r="G1170" s="7">
        <v>59.9</v>
      </c>
    </row>
    <row r="1171" spans="1:7" x14ac:dyDescent="0.3">
      <c r="A1171" s="18">
        <v>46113</v>
      </c>
      <c r="B1171" s="18" t="s">
        <v>51</v>
      </c>
      <c r="C1171" s="18" t="s">
        <v>647</v>
      </c>
      <c r="D1171" s="6" t="s">
        <v>414</v>
      </c>
      <c r="E1171" s="6" t="s">
        <v>47</v>
      </c>
      <c r="F1171" s="6" t="s">
        <v>656</v>
      </c>
      <c r="G1171" s="7">
        <v>59.9</v>
      </c>
    </row>
    <row r="1172" spans="1:7" x14ac:dyDescent="0.3">
      <c r="A1172" s="18">
        <v>46113</v>
      </c>
      <c r="B1172" s="18" t="s">
        <v>51</v>
      </c>
      <c r="C1172" s="18" t="s">
        <v>647</v>
      </c>
      <c r="D1172" s="6" t="s">
        <v>742</v>
      </c>
      <c r="E1172" s="6" t="s">
        <v>57</v>
      </c>
      <c r="F1172" s="6" t="s">
        <v>656</v>
      </c>
      <c r="G1172" s="7">
        <v>4406.5</v>
      </c>
    </row>
    <row r="1173" spans="1:7" x14ac:dyDescent="0.3">
      <c r="A1173" s="18">
        <v>46113</v>
      </c>
      <c r="B1173" s="18" t="s">
        <v>51</v>
      </c>
      <c r="C1173" s="18" t="s">
        <v>647</v>
      </c>
      <c r="D1173" s="6" t="s">
        <v>742</v>
      </c>
      <c r="E1173" s="6" t="s">
        <v>42</v>
      </c>
      <c r="F1173" s="6" t="s">
        <v>656</v>
      </c>
      <c r="G1173" s="7">
        <v>4406.5</v>
      </c>
    </row>
    <row r="1174" spans="1:7" x14ac:dyDescent="0.3">
      <c r="A1174" s="18">
        <v>46149</v>
      </c>
      <c r="B1174" s="18" t="s">
        <v>51</v>
      </c>
      <c r="C1174" s="18" t="s">
        <v>647</v>
      </c>
      <c r="D1174" s="6" t="s">
        <v>884</v>
      </c>
      <c r="E1174" s="6" t="s">
        <v>47</v>
      </c>
      <c r="F1174" s="6" t="s">
        <v>656</v>
      </c>
      <c r="G1174" s="7">
        <v>382.5</v>
      </c>
    </row>
    <row r="1175" spans="1:7" x14ac:dyDescent="0.3">
      <c r="A1175" s="18">
        <v>46058</v>
      </c>
      <c r="B1175" s="18" t="s">
        <v>51</v>
      </c>
      <c r="C1175" s="18" t="s">
        <v>647</v>
      </c>
      <c r="D1175" s="6" t="s">
        <v>295</v>
      </c>
      <c r="E1175" s="6" t="s">
        <v>47</v>
      </c>
      <c r="F1175" s="6" t="s">
        <v>661</v>
      </c>
      <c r="G1175" s="7">
        <v>6256.25</v>
      </c>
    </row>
    <row r="1176" spans="1:7" x14ac:dyDescent="0.3">
      <c r="A1176" s="18">
        <v>46086</v>
      </c>
      <c r="B1176" s="18" t="s">
        <v>51</v>
      </c>
      <c r="C1176" s="18" t="s">
        <v>647</v>
      </c>
      <c r="D1176" s="6" t="s">
        <v>295</v>
      </c>
      <c r="E1176" s="6" t="s">
        <v>47</v>
      </c>
      <c r="F1176" s="6" t="s">
        <v>661</v>
      </c>
      <c r="G1176" s="7">
        <v>6256.25</v>
      </c>
    </row>
    <row r="1177" spans="1:7" x14ac:dyDescent="0.3">
      <c r="A1177" s="18">
        <v>46047</v>
      </c>
      <c r="B1177" s="18" t="s">
        <v>51</v>
      </c>
      <c r="C1177" s="18" t="s">
        <v>647</v>
      </c>
      <c r="D1177" s="6" t="s">
        <v>296</v>
      </c>
      <c r="E1177" s="6" t="s">
        <v>47</v>
      </c>
      <c r="F1177" s="6" t="s">
        <v>657</v>
      </c>
      <c r="G1177" s="7">
        <v>135</v>
      </c>
    </row>
    <row r="1178" spans="1:7" x14ac:dyDescent="0.3">
      <c r="A1178" s="18">
        <v>46198</v>
      </c>
      <c r="B1178" s="18" t="s">
        <v>51</v>
      </c>
      <c r="C1178" s="18" t="s">
        <v>647</v>
      </c>
      <c r="D1178" s="6" t="s">
        <v>296</v>
      </c>
      <c r="E1178" s="6" t="s">
        <v>47</v>
      </c>
      <c r="F1178" s="6" t="s">
        <v>657</v>
      </c>
      <c r="G1178" s="7">
        <v>135</v>
      </c>
    </row>
    <row r="1179" spans="1:7" x14ac:dyDescent="0.3">
      <c r="A1179" s="18">
        <v>46167</v>
      </c>
      <c r="B1179" s="18" t="s">
        <v>51</v>
      </c>
      <c r="C1179" s="18" t="s">
        <v>647</v>
      </c>
      <c r="D1179" s="6" t="s">
        <v>296</v>
      </c>
      <c r="E1179" s="6" t="s">
        <v>47</v>
      </c>
      <c r="F1179" s="6" t="s">
        <v>657</v>
      </c>
      <c r="G1179" s="7">
        <v>135</v>
      </c>
    </row>
    <row r="1180" spans="1:7" x14ac:dyDescent="0.3">
      <c r="A1180" s="18">
        <v>46078</v>
      </c>
      <c r="B1180" s="18" t="s">
        <v>51</v>
      </c>
      <c r="C1180" s="18" t="s">
        <v>647</v>
      </c>
      <c r="D1180" s="6" t="s">
        <v>296</v>
      </c>
      <c r="E1180" s="6" t="s">
        <v>47</v>
      </c>
      <c r="F1180" s="6" t="s">
        <v>657</v>
      </c>
      <c r="G1180" s="7">
        <v>135</v>
      </c>
    </row>
    <row r="1181" spans="1:7" x14ac:dyDescent="0.3">
      <c r="A1181" s="18">
        <v>46106</v>
      </c>
      <c r="B1181" s="18" t="s">
        <v>51</v>
      </c>
      <c r="C1181" s="18" t="s">
        <v>647</v>
      </c>
      <c r="D1181" s="6" t="s">
        <v>296</v>
      </c>
      <c r="E1181" s="6" t="s">
        <v>47</v>
      </c>
      <c r="F1181" s="6" t="s">
        <v>657</v>
      </c>
      <c r="G1181" s="7">
        <v>135</v>
      </c>
    </row>
    <row r="1182" spans="1:7" x14ac:dyDescent="0.3">
      <c r="A1182" s="18">
        <v>46137</v>
      </c>
      <c r="B1182" s="18" t="s">
        <v>51</v>
      </c>
      <c r="C1182" s="18" t="s">
        <v>647</v>
      </c>
      <c r="D1182" s="6" t="s">
        <v>296</v>
      </c>
      <c r="E1182" s="6" t="s">
        <v>47</v>
      </c>
      <c r="F1182" s="6" t="s">
        <v>657</v>
      </c>
      <c r="G1182" s="7">
        <v>135</v>
      </c>
    </row>
    <row r="1183" spans="1:7" x14ac:dyDescent="0.3">
      <c r="A1183" s="18">
        <v>46113</v>
      </c>
      <c r="B1183" s="18" t="s">
        <v>51</v>
      </c>
      <c r="C1183" s="18" t="s">
        <v>647</v>
      </c>
      <c r="D1183" s="6" t="s">
        <v>761</v>
      </c>
      <c r="E1183" s="6" t="s">
        <v>57</v>
      </c>
      <c r="F1183" s="6" t="s">
        <v>656</v>
      </c>
      <c r="G1183" s="7">
        <v>6235.37</v>
      </c>
    </row>
    <row r="1184" spans="1:7" x14ac:dyDescent="0.3">
      <c r="A1184" s="18">
        <v>46113</v>
      </c>
      <c r="B1184" s="18" t="s">
        <v>51</v>
      </c>
      <c r="C1184" s="18" t="s">
        <v>647</v>
      </c>
      <c r="D1184" s="6" t="s">
        <v>761</v>
      </c>
      <c r="E1184" s="6" t="s">
        <v>42</v>
      </c>
      <c r="F1184" s="6" t="s">
        <v>656</v>
      </c>
      <c r="G1184" s="7">
        <v>6235.37</v>
      </c>
    </row>
    <row r="1185" spans="1:7" x14ac:dyDescent="0.3">
      <c r="A1185" s="18">
        <v>46148</v>
      </c>
      <c r="B1185" s="18" t="s">
        <v>51</v>
      </c>
      <c r="C1185" s="18" t="s">
        <v>647</v>
      </c>
      <c r="D1185" s="6" t="s">
        <v>459</v>
      </c>
      <c r="E1185" s="6" t="s">
        <v>57</v>
      </c>
      <c r="F1185" s="6" t="s">
        <v>656</v>
      </c>
      <c r="G1185" s="7">
        <v>8.4499999999999993</v>
      </c>
    </row>
    <row r="1186" spans="1:7" x14ac:dyDescent="0.3">
      <c r="A1186" s="18">
        <v>46149</v>
      </c>
      <c r="B1186" s="18" t="s">
        <v>51</v>
      </c>
      <c r="C1186" s="18" t="s">
        <v>647</v>
      </c>
      <c r="D1186" s="6" t="s">
        <v>459</v>
      </c>
      <c r="E1186" s="6" t="s">
        <v>57</v>
      </c>
      <c r="F1186" s="6" t="s">
        <v>656</v>
      </c>
      <c r="G1186" s="7">
        <v>8.4499999999999993</v>
      </c>
    </row>
    <row r="1187" spans="1:7" x14ac:dyDescent="0.3">
      <c r="A1187" s="18">
        <v>46156</v>
      </c>
      <c r="B1187" s="18" t="s">
        <v>51</v>
      </c>
      <c r="C1187" s="18" t="s">
        <v>647</v>
      </c>
      <c r="D1187" s="6" t="s">
        <v>459</v>
      </c>
      <c r="E1187" s="6" t="s">
        <v>57</v>
      </c>
      <c r="F1187" s="6" t="s">
        <v>656</v>
      </c>
      <c r="G1187" s="7">
        <v>11.22</v>
      </c>
    </row>
    <row r="1188" spans="1:7" x14ac:dyDescent="0.3">
      <c r="A1188" s="18">
        <v>46069</v>
      </c>
      <c r="B1188" s="18" t="s">
        <v>51</v>
      </c>
      <c r="C1188" s="18" t="s">
        <v>647</v>
      </c>
      <c r="D1188" s="6" t="s">
        <v>491</v>
      </c>
      <c r="E1188" s="6" t="s">
        <v>47</v>
      </c>
      <c r="F1188" s="6" t="s">
        <v>656</v>
      </c>
      <c r="G1188" s="7">
        <v>100</v>
      </c>
    </row>
    <row r="1189" spans="1:7" x14ac:dyDescent="0.3">
      <c r="A1189" s="18">
        <v>46069</v>
      </c>
      <c r="B1189" s="18" t="s">
        <v>51</v>
      </c>
      <c r="C1189" s="18" t="s">
        <v>647</v>
      </c>
      <c r="D1189" s="6" t="s">
        <v>491</v>
      </c>
      <c r="E1189" s="6" t="s">
        <v>47</v>
      </c>
      <c r="F1189" s="6" t="s">
        <v>656</v>
      </c>
      <c r="G1189" s="7">
        <v>100</v>
      </c>
    </row>
    <row r="1190" spans="1:7" x14ac:dyDescent="0.3">
      <c r="A1190" s="18">
        <v>46070</v>
      </c>
      <c r="B1190" s="18" t="s">
        <v>51</v>
      </c>
      <c r="C1190" s="18" t="s">
        <v>647</v>
      </c>
      <c r="D1190" s="6" t="s">
        <v>491</v>
      </c>
      <c r="E1190" s="6" t="s">
        <v>47</v>
      </c>
      <c r="F1190" s="6" t="s">
        <v>656</v>
      </c>
      <c r="G1190" s="7">
        <v>100</v>
      </c>
    </row>
    <row r="1191" spans="1:7" x14ac:dyDescent="0.3">
      <c r="A1191" s="18">
        <v>46070</v>
      </c>
      <c r="B1191" s="18" t="s">
        <v>51</v>
      </c>
      <c r="C1191" s="18" t="s">
        <v>647</v>
      </c>
      <c r="D1191" s="6" t="s">
        <v>491</v>
      </c>
      <c r="E1191" s="6" t="s">
        <v>47</v>
      </c>
      <c r="F1191" s="6" t="s">
        <v>656</v>
      </c>
      <c r="G1191" s="7">
        <v>200</v>
      </c>
    </row>
    <row r="1192" spans="1:7" x14ac:dyDescent="0.3">
      <c r="A1192" s="18">
        <v>46080</v>
      </c>
      <c r="B1192" s="18" t="s">
        <v>51</v>
      </c>
      <c r="C1192" s="18" t="s">
        <v>316</v>
      </c>
      <c r="D1192" s="6" t="s">
        <v>519</v>
      </c>
      <c r="E1192" s="6" t="s">
        <v>47</v>
      </c>
      <c r="F1192" s="6" t="s">
        <v>656</v>
      </c>
      <c r="G1192" s="7">
        <v>1354.64</v>
      </c>
    </row>
    <row r="1193" spans="1:7" x14ac:dyDescent="0.3">
      <c r="A1193" s="18">
        <v>46094</v>
      </c>
      <c r="B1193" s="18" t="s">
        <v>51</v>
      </c>
      <c r="C1193" s="18" t="s">
        <v>316</v>
      </c>
      <c r="D1193" s="6" t="s">
        <v>558</v>
      </c>
      <c r="E1193" s="6" t="s">
        <v>57</v>
      </c>
      <c r="F1193" s="6" t="s">
        <v>656</v>
      </c>
      <c r="G1193" s="7">
        <v>668.85</v>
      </c>
    </row>
    <row r="1194" spans="1:7" x14ac:dyDescent="0.3">
      <c r="A1194" s="18">
        <v>46113</v>
      </c>
      <c r="B1194" s="18" t="s">
        <v>51</v>
      </c>
      <c r="C1194" s="18" t="s">
        <v>316</v>
      </c>
      <c r="D1194" s="6" t="s">
        <v>715</v>
      </c>
      <c r="E1194" s="6" t="s">
        <v>47</v>
      </c>
      <c r="F1194" s="6" t="s">
        <v>656</v>
      </c>
      <c r="G1194" s="7">
        <v>235.65</v>
      </c>
    </row>
    <row r="1195" spans="1:7" x14ac:dyDescent="0.3">
      <c r="A1195" s="18">
        <v>46038</v>
      </c>
      <c r="B1195" s="18" t="s">
        <v>51</v>
      </c>
      <c r="C1195" s="18" t="s">
        <v>316</v>
      </c>
      <c r="D1195" s="6" t="s">
        <v>391</v>
      </c>
      <c r="E1195" s="6" t="s">
        <v>47</v>
      </c>
      <c r="F1195" s="6" t="s">
        <v>656</v>
      </c>
      <c r="G1195" s="7">
        <v>53</v>
      </c>
    </row>
    <row r="1196" spans="1:7" x14ac:dyDescent="0.3">
      <c r="A1196" s="18">
        <v>46058</v>
      </c>
      <c r="B1196" s="18" t="s">
        <v>51</v>
      </c>
      <c r="C1196" s="18" t="s">
        <v>316</v>
      </c>
      <c r="D1196" s="6" t="s">
        <v>391</v>
      </c>
      <c r="E1196" s="6" t="s">
        <v>42</v>
      </c>
      <c r="F1196" s="6" t="s">
        <v>656</v>
      </c>
      <c r="G1196" s="7">
        <v>116</v>
      </c>
    </row>
    <row r="1197" spans="1:7" x14ac:dyDescent="0.3">
      <c r="A1197" s="18">
        <v>46113</v>
      </c>
      <c r="B1197" s="18" t="s">
        <v>51</v>
      </c>
      <c r="C1197" s="18" t="s">
        <v>316</v>
      </c>
      <c r="D1197" s="6" t="s">
        <v>391</v>
      </c>
      <c r="E1197" s="6" t="s">
        <v>42</v>
      </c>
      <c r="F1197" s="6" t="s">
        <v>656</v>
      </c>
      <c r="G1197" s="7">
        <v>42</v>
      </c>
    </row>
    <row r="1198" spans="1:7" x14ac:dyDescent="0.3">
      <c r="A1198" s="18">
        <v>46113</v>
      </c>
      <c r="B1198" s="18" t="s">
        <v>51</v>
      </c>
      <c r="C1198" s="18" t="s">
        <v>316</v>
      </c>
      <c r="D1198" s="6" t="s">
        <v>391</v>
      </c>
      <c r="E1198" s="6" t="s">
        <v>42</v>
      </c>
      <c r="F1198" s="6" t="s">
        <v>656</v>
      </c>
      <c r="G1198" s="7">
        <v>116</v>
      </c>
    </row>
    <row r="1199" spans="1:7" x14ac:dyDescent="0.3">
      <c r="A1199" s="18">
        <v>46113</v>
      </c>
      <c r="B1199" s="18" t="s">
        <v>51</v>
      </c>
      <c r="C1199" s="18" t="s">
        <v>316</v>
      </c>
      <c r="D1199" s="6" t="s">
        <v>453</v>
      </c>
      <c r="E1199" s="6" t="s">
        <v>57</v>
      </c>
      <c r="F1199" s="6" t="s">
        <v>656</v>
      </c>
      <c r="G1199" s="7">
        <v>15.5</v>
      </c>
    </row>
    <row r="1200" spans="1:7" x14ac:dyDescent="0.3">
      <c r="A1200" s="18">
        <v>46113</v>
      </c>
      <c r="B1200" s="18" t="s">
        <v>51</v>
      </c>
      <c r="C1200" s="18" t="s">
        <v>316</v>
      </c>
      <c r="D1200" s="6" t="s">
        <v>731</v>
      </c>
      <c r="E1200" s="6" t="s">
        <v>47</v>
      </c>
      <c r="F1200" s="6" t="s">
        <v>656</v>
      </c>
      <c r="G1200" s="7">
        <v>225.98</v>
      </c>
    </row>
    <row r="1201" spans="1:7" x14ac:dyDescent="0.3">
      <c r="A1201" s="18">
        <v>46113</v>
      </c>
      <c r="B1201" s="18" t="s">
        <v>51</v>
      </c>
      <c r="C1201" s="18" t="s">
        <v>316</v>
      </c>
      <c r="D1201" s="6" t="s">
        <v>731</v>
      </c>
      <c r="E1201" s="6" t="s">
        <v>47</v>
      </c>
      <c r="F1201" s="6" t="s">
        <v>656</v>
      </c>
      <c r="G1201" s="7">
        <v>87.98</v>
      </c>
    </row>
    <row r="1202" spans="1:7" x14ac:dyDescent="0.3">
      <c r="A1202" s="18">
        <v>46113</v>
      </c>
      <c r="B1202" s="18" t="s">
        <v>51</v>
      </c>
      <c r="C1202" s="18" t="s">
        <v>316</v>
      </c>
      <c r="D1202" s="6" t="s">
        <v>731</v>
      </c>
      <c r="E1202" s="6" t="s">
        <v>47</v>
      </c>
      <c r="F1202" s="6" t="s">
        <v>656</v>
      </c>
      <c r="G1202" s="7">
        <v>204.98</v>
      </c>
    </row>
    <row r="1203" spans="1:7" x14ac:dyDescent="0.3">
      <c r="A1203" s="18">
        <v>46098</v>
      </c>
      <c r="B1203" s="18" t="s">
        <v>51</v>
      </c>
      <c r="C1203" s="18" t="s">
        <v>316</v>
      </c>
      <c r="D1203" s="6" t="s">
        <v>563</v>
      </c>
      <c r="E1203" s="6" t="s">
        <v>57</v>
      </c>
      <c r="F1203" s="6" t="s">
        <v>656</v>
      </c>
      <c r="G1203" s="7">
        <v>36.049999999999997</v>
      </c>
    </row>
    <row r="1204" spans="1:7" x14ac:dyDescent="0.3">
      <c r="A1204" s="18">
        <v>46101</v>
      </c>
      <c r="B1204" s="18" t="s">
        <v>51</v>
      </c>
      <c r="C1204" s="18" t="s">
        <v>316</v>
      </c>
      <c r="D1204" s="6" t="s">
        <v>563</v>
      </c>
      <c r="E1204" s="6" t="s">
        <v>57</v>
      </c>
      <c r="F1204" s="6" t="s">
        <v>656</v>
      </c>
      <c r="G1204" s="7">
        <v>50.85</v>
      </c>
    </row>
    <row r="1205" spans="1:7" x14ac:dyDescent="0.3">
      <c r="A1205" s="18">
        <v>46113</v>
      </c>
      <c r="B1205" s="18" t="s">
        <v>51</v>
      </c>
      <c r="C1205" s="18" t="s">
        <v>316</v>
      </c>
      <c r="D1205" s="6" t="s">
        <v>563</v>
      </c>
      <c r="E1205" s="6" t="s">
        <v>57</v>
      </c>
      <c r="F1205" s="6" t="s">
        <v>656</v>
      </c>
      <c r="G1205" s="7">
        <v>70.06</v>
      </c>
    </row>
    <row r="1206" spans="1:7" x14ac:dyDescent="0.3">
      <c r="A1206" s="18">
        <v>46113</v>
      </c>
      <c r="B1206" s="18" t="s">
        <v>51</v>
      </c>
      <c r="C1206" s="18" t="s">
        <v>316</v>
      </c>
      <c r="D1206" s="6" t="s">
        <v>563</v>
      </c>
      <c r="E1206" s="6" t="s">
        <v>57</v>
      </c>
      <c r="F1206" s="6" t="s">
        <v>656</v>
      </c>
      <c r="G1206" s="7">
        <v>40.68</v>
      </c>
    </row>
    <row r="1207" spans="1:7" x14ac:dyDescent="0.3">
      <c r="A1207" s="18">
        <v>46113</v>
      </c>
      <c r="B1207" s="18" t="s">
        <v>51</v>
      </c>
      <c r="C1207" s="18" t="s">
        <v>316</v>
      </c>
      <c r="D1207" s="6" t="s">
        <v>563</v>
      </c>
      <c r="E1207" s="6" t="s">
        <v>57</v>
      </c>
      <c r="F1207" s="6" t="s">
        <v>656</v>
      </c>
      <c r="G1207" s="7">
        <v>85.77</v>
      </c>
    </row>
    <row r="1208" spans="1:7" x14ac:dyDescent="0.3">
      <c r="A1208" s="18">
        <v>46113</v>
      </c>
      <c r="B1208" s="18" t="s">
        <v>51</v>
      </c>
      <c r="C1208" s="18" t="s">
        <v>316</v>
      </c>
      <c r="D1208" s="6" t="s">
        <v>563</v>
      </c>
      <c r="E1208" s="6" t="s">
        <v>57</v>
      </c>
      <c r="F1208" s="6" t="s">
        <v>656</v>
      </c>
      <c r="G1208" s="7">
        <v>50.85</v>
      </c>
    </row>
    <row r="1209" spans="1:7" x14ac:dyDescent="0.3">
      <c r="A1209" s="18">
        <v>46113</v>
      </c>
      <c r="B1209" s="18" t="s">
        <v>51</v>
      </c>
      <c r="C1209" s="18" t="s">
        <v>316</v>
      </c>
      <c r="D1209" s="6" t="s">
        <v>563</v>
      </c>
      <c r="E1209" s="6" t="s">
        <v>57</v>
      </c>
      <c r="F1209" s="6" t="s">
        <v>656</v>
      </c>
      <c r="G1209" s="7">
        <v>51.98</v>
      </c>
    </row>
    <row r="1210" spans="1:7" x14ac:dyDescent="0.3">
      <c r="A1210" s="18">
        <v>46153</v>
      </c>
      <c r="B1210" s="18" t="s">
        <v>51</v>
      </c>
      <c r="C1210" s="18" t="s">
        <v>316</v>
      </c>
      <c r="D1210" s="6" t="s">
        <v>563</v>
      </c>
      <c r="E1210" s="6" t="s">
        <v>47</v>
      </c>
      <c r="F1210" s="6" t="s">
        <v>656</v>
      </c>
      <c r="G1210" s="7">
        <v>293.69</v>
      </c>
    </row>
    <row r="1211" spans="1:7" x14ac:dyDescent="0.3">
      <c r="A1211" s="18">
        <v>46157</v>
      </c>
      <c r="B1211" s="18" t="s">
        <v>51</v>
      </c>
      <c r="C1211" s="18" t="s">
        <v>316</v>
      </c>
      <c r="D1211" s="6" t="s">
        <v>563</v>
      </c>
      <c r="E1211" s="6" t="s">
        <v>57</v>
      </c>
      <c r="F1211" s="6" t="s">
        <v>656</v>
      </c>
      <c r="G1211" s="7">
        <v>43.5</v>
      </c>
    </row>
    <row r="1212" spans="1:7" x14ac:dyDescent="0.3">
      <c r="A1212" s="18">
        <v>46162</v>
      </c>
      <c r="B1212" s="18" t="s">
        <v>51</v>
      </c>
      <c r="C1212" s="18" t="s">
        <v>316</v>
      </c>
      <c r="D1212" s="6" t="s">
        <v>563</v>
      </c>
      <c r="E1212" s="6" t="s">
        <v>57</v>
      </c>
      <c r="F1212" s="6" t="s">
        <v>656</v>
      </c>
      <c r="G1212" s="7">
        <v>40.68</v>
      </c>
    </row>
    <row r="1213" spans="1:7" x14ac:dyDescent="0.3">
      <c r="A1213" s="18">
        <v>46113</v>
      </c>
      <c r="B1213" s="18" t="s">
        <v>51</v>
      </c>
      <c r="C1213" s="18" t="s">
        <v>316</v>
      </c>
      <c r="D1213" s="6" t="s">
        <v>756</v>
      </c>
      <c r="E1213" s="6" t="s">
        <v>47</v>
      </c>
      <c r="F1213" s="6" t="s">
        <v>656</v>
      </c>
      <c r="G1213" s="7">
        <v>344.85</v>
      </c>
    </row>
    <row r="1214" spans="1:7" x14ac:dyDescent="0.3">
      <c r="A1214" s="18">
        <v>46159</v>
      </c>
      <c r="B1214" s="18" t="s">
        <v>51</v>
      </c>
      <c r="C1214" s="18" t="s">
        <v>316</v>
      </c>
      <c r="D1214" s="6" t="s">
        <v>756</v>
      </c>
      <c r="E1214" s="6" t="s">
        <v>47</v>
      </c>
      <c r="F1214" s="6" t="s">
        <v>656</v>
      </c>
      <c r="G1214" s="7">
        <v>105.69</v>
      </c>
    </row>
    <row r="1215" spans="1:7" x14ac:dyDescent="0.3">
      <c r="A1215" s="18">
        <v>46166</v>
      </c>
      <c r="B1215" s="18" t="s">
        <v>51</v>
      </c>
      <c r="C1215" s="18" t="s">
        <v>316</v>
      </c>
      <c r="D1215" s="6" t="s">
        <v>756</v>
      </c>
      <c r="E1215" s="6" t="s">
        <v>47</v>
      </c>
      <c r="F1215" s="6" t="s">
        <v>656</v>
      </c>
      <c r="G1215" s="7">
        <v>217.29</v>
      </c>
    </row>
    <row r="1216" spans="1:7" x14ac:dyDescent="0.3">
      <c r="A1216" s="18">
        <v>46040</v>
      </c>
      <c r="B1216" s="18" t="s">
        <v>51</v>
      </c>
      <c r="C1216" s="18" t="s">
        <v>316</v>
      </c>
      <c r="D1216" s="6" t="s">
        <v>398</v>
      </c>
      <c r="E1216" s="6" t="s">
        <v>47</v>
      </c>
      <c r="F1216" s="6" t="s">
        <v>656</v>
      </c>
      <c r="G1216" s="7">
        <v>138.80000000000001</v>
      </c>
    </row>
    <row r="1217" spans="1:7" x14ac:dyDescent="0.3">
      <c r="A1217" s="18">
        <v>46156</v>
      </c>
      <c r="B1217" s="18" t="s">
        <v>51</v>
      </c>
      <c r="C1217" s="18" t="s">
        <v>316</v>
      </c>
      <c r="D1217" s="6" t="s">
        <v>898</v>
      </c>
      <c r="E1217" s="6" t="s">
        <v>47</v>
      </c>
      <c r="F1217" s="6" t="s">
        <v>656</v>
      </c>
      <c r="G1217" s="7">
        <v>716.42</v>
      </c>
    </row>
    <row r="1218" spans="1:7" x14ac:dyDescent="0.3">
      <c r="A1218" s="18">
        <v>46029</v>
      </c>
      <c r="B1218" s="18" t="s">
        <v>51</v>
      </c>
      <c r="C1218" s="18" t="s">
        <v>316</v>
      </c>
      <c r="D1218" s="6" t="s">
        <v>357</v>
      </c>
      <c r="E1218" s="6" t="s">
        <v>57</v>
      </c>
      <c r="F1218" s="6" t="s">
        <v>656</v>
      </c>
      <c r="G1218" s="7">
        <v>27.95</v>
      </c>
    </row>
    <row r="1219" spans="1:7" x14ac:dyDescent="0.3">
      <c r="A1219" s="18">
        <v>46068</v>
      </c>
      <c r="B1219" s="18" t="s">
        <v>51</v>
      </c>
      <c r="C1219" s="18" t="s">
        <v>316</v>
      </c>
      <c r="D1219" s="6" t="s">
        <v>357</v>
      </c>
      <c r="E1219" s="6" t="s">
        <v>47</v>
      </c>
      <c r="F1219" s="6" t="s">
        <v>656</v>
      </c>
      <c r="G1219" s="7">
        <v>75.8</v>
      </c>
    </row>
    <row r="1220" spans="1:7" x14ac:dyDescent="0.3">
      <c r="A1220" s="18">
        <v>46113</v>
      </c>
      <c r="B1220" s="18" t="s">
        <v>51</v>
      </c>
      <c r="C1220" s="18" t="s">
        <v>316</v>
      </c>
      <c r="D1220" s="6" t="s">
        <v>744</v>
      </c>
      <c r="E1220" s="6" t="s">
        <v>57</v>
      </c>
      <c r="F1220" s="6" t="s">
        <v>656</v>
      </c>
      <c r="G1220" s="7">
        <v>281.95</v>
      </c>
    </row>
    <row r="1221" spans="1:7" x14ac:dyDescent="0.3">
      <c r="A1221" s="18">
        <v>46064</v>
      </c>
      <c r="B1221" s="18" t="s">
        <v>51</v>
      </c>
      <c r="C1221" s="18" t="s">
        <v>316</v>
      </c>
      <c r="D1221" s="6" t="s">
        <v>664</v>
      </c>
      <c r="E1221" s="6" t="s">
        <v>47</v>
      </c>
      <c r="F1221" s="6" t="s">
        <v>661</v>
      </c>
      <c r="G1221" s="7">
        <v>476.3</v>
      </c>
    </row>
    <row r="1222" spans="1:7" x14ac:dyDescent="0.3">
      <c r="A1222" s="18">
        <v>46191</v>
      </c>
      <c r="B1222" s="18" t="s">
        <v>51</v>
      </c>
      <c r="C1222" s="18" t="s">
        <v>316</v>
      </c>
      <c r="D1222" s="6" t="s">
        <v>664</v>
      </c>
      <c r="E1222" s="6" t="s">
        <v>47</v>
      </c>
      <c r="F1222" s="6" t="s">
        <v>656</v>
      </c>
      <c r="G1222" s="7">
        <v>2213.67</v>
      </c>
    </row>
    <row r="1223" spans="1:7" x14ac:dyDescent="0.3">
      <c r="A1223" s="18">
        <v>46113</v>
      </c>
      <c r="B1223" s="18" t="s">
        <v>51</v>
      </c>
      <c r="C1223" s="18" t="s">
        <v>316</v>
      </c>
      <c r="D1223" s="6" t="s">
        <v>802</v>
      </c>
      <c r="E1223" s="6" t="s">
        <v>47</v>
      </c>
      <c r="F1223" s="6" t="s">
        <v>661</v>
      </c>
      <c r="G1223" s="7">
        <v>247.52</v>
      </c>
    </row>
    <row r="1224" spans="1:7" x14ac:dyDescent="0.3">
      <c r="A1224" s="18">
        <v>46113</v>
      </c>
      <c r="B1224" s="18" t="s">
        <v>51</v>
      </c>
      <c r="C1224" s="18" t="s">
        <v>316</v>
      </c>
      <c r="D1224" s="6" t="s">
        <v>766</v>
      </c>
      <c r="E1224" s="6" t="s">
        <v>47</v>
      </c>
      <c r="F1224" s="6" t="s">
        <v>656</v>
      </c>
      <c r="G1224" s="7">
        <v>346.25</v>
      </c>
    </row>
    <row r="1225" spans="1:7" x14ac:dyDescent="0.3">
      <c r="A1225" s="18">
        <v>46147</v>
      </c>
      <c r="B1225" s="18" t="s">
        <v>51</v>
      </c>
      <c r="C1225" s="18" t="s">
        <v>316</v>
      </c>
      <c r="D1225" s="6" t="s">
        <v>878</v>
      </c>
      <c r="E1225" s="6" t="s">
        <v>57</v>
      </c>
      <c r="F1225" s="6" t="s">
        <v>656</v>
      </c>
      <c r="G1225" s="7">
        <v>120.91</v>
      </c>
    </row>
    <row r="1226" spans="1:7" x14ac:dyDescent="0.3">
      <c r="A1226" s="18">
        <v>46150</v>
      </c>
      <c r="B1226" s="18" t="s">
        <v>51</v>
      </c>
      <c r="C1226" s="18" t="s">
        <v>316</v>
      </c>
      <c r="D1226" s="6" t="s">
        <v>886</v>
      </c>
      <c r="E1226" s="6" t="s">
        <v>57</v>
      </c>
      <c r="F1226" s="6" t="s">
        <v>656</v>
      </c>
      <c r="G1226" s="7">
        <v>19</v>
      </c>
    </row>
    <row r="1227" spans="1:7" x14ac:dyDescent="0.3">
      <c r="A1227" s="18">
        <v>46164</v>
      </c>
      <c r="B1227" s="18" t="s">
        <v>51</v>
      </c>
      <c r="C1227" s="18" t="s">
        <v>316</v>
      </c>
      <c r="D1227" s="6" t="s">
        <v>886</v>
      </c>
      <c r="E1227" s="6" t="s">
        <v>57</v>
      </c>
      <c r="F1227" s="6" t="s">
        <v>656</v>
      </c>
      <c r="G1227" s="7">
        <v>12.5</v>
      </c>
    </row>
    <row r="1228" spans="1:7" x14ac:dyDescent="0.3">
      <c r="A1228" s="18">
        <v>46192</v>
      </c>
      <c r="B1228" s="18" t="s">
        <v>51</v>
      </c>
      <c r="C1228" s="18" t="s">
        <v>316</v>
      </c>
      <c r="D1228" s="6" t="s">
        <v>886</v>
      </c>
      <c r="E1228" s="6" t="s">
        <v>57</v>
      </c>
      <c r="F1228" s="6" t="s">
        <v>656</v>
      </c>
      <c r="G1228" s="7">
        <v>15.5</v>
      </c>
    </row>
    <row r="1229" spans="1:7" x14ac:dyDescent="0.3">
      <c r="A1229" s="18">
        <v>46073</v>
      </c>
      <c r="B1229" s="18" t="s">
        <v>51</v>
      </c>
      <c r="C1229" s="18" t="s">
        <v>316</v>
      </c>
      <c r="D1229" s="6" t="s">
        <v>504</v>
      </c>
      <c r="E1229" s="6" t="s">
        <v>47</v>
      </c>
      <c r="F1229" s="6" t="s">
        <v>656</v>
      </c>
      <c r="G1229" s="7">
        <v>354.82</v>
      </c>
    </row>
    <row r="1230" spans="1:7" x14ac:dyDescent="0.3">
      <c r="A1230" s="18">
        <v>46162</v>
      </c>
      <c r="B1230" s="18" t="s">
        <v>51</v>
      </c>
      <c r="C1230" s="18" t="s">
        <v>316</v>
      </c>
      <c r="D1230" s="6" t="s">
        <v>504</v>
      </c>
      <c r="E1230" s="6" t="s">
        <v>57</v>
      </c>
      <c r="F1230" s="6" t="s">
        <v>656</v>
      </c>
      <c r="G1230" s="7">
        <v>151.41999999999999</v>
      </c>
    </row>
    <row r="1231" spans="1:7" x14ac:dyDescent="0.3">
      <c r="A1231" s="18">
        <v>46189</v>
      </c>
      <c r="B1231" s="18" t="s">
        <v>51</v>
      </c>
      <c r="C1231" s="18" t="s">
        <v>316</v>
      </c>
      <c r="D1231" s="6" t="s">
        <v>504</v>
      </c>
      <c r="E1231" s="6" t="s">
        <v>47</v>
      </c>
      <c r="F1231" s="6" t="s">
        <v>656</v>
      </c>
      <c r="G1231" s="7">
        <v>188.68</v>
      </c>
    </row>
    <row r="1232" spans="1:7" x14ac:dyDescent="0.3">
      <c r="A1232" s="18">
        <v>46113</v>
      </c>
      <c r="B1232" s="18" t="s">
        <v>51</v>
      </c>
      <c r="C1232" s="18" t="s">
        <v>316</v>
      </c>
      <c r="D1232" s="6" t="s">
        <v>773</v>
      </c>
      <c r="E1232" s="6" t="s">
        <v>47</v>
      </c>
      <c r="F1232" s="6" t="s">
        <v>656</v>
      </c>
      <c r="G1232" s="7">
        <v>314.14</v>
      </c>
    </row>
    <row r="1233" spans="1:7" x14ac:dyDescent="0.3">
      <c r="A1233" s="18">
        <v>46043</v>
      </c>
      <c r="B1233" s="18" t="s">
        <v>51</v>
      </c>
      <c r="C1233" s="18" t="s">
        <v>316</v>
      </c>
      <c r="D1233" s="6" t="s">
        <v>413</v>
      </c>
      <c r="E1233" s="6" t="s">
        <v>47</v>
      </c>
      <c r="F1233" s="6" t="s">
        <v>656</v>
      </c>
      <c r="G1233" s="7">
        <v>92.08</v>
      </c>
    </row>
    <row r="1234" spans="1:7" x14ac:dyDescent="0.3">
      <c r="A1234" s="18">
        <v>46201</v>
      </c>
      <c r="B1234" s="18" t="s">
        <v>51</v>
      </c>
      <c r="C1234" s="18" t="s">
        <v>316</v>
      </c>
      <c r="D1234" s="6" t="s">
        <v>1130</v>
      </c>
      <c r="E1234" s="6" t="s">
        <v>47</v>
      </c>
      <c r="F1234" s="6" t="s">
        <v>656</v>
      </c>
      <c r="G1234" s="7">
        <v>27</v>
      </c>
    </row>
    <row r="1235" spans="1:7" x14ac:dyDescent="0.3">
      <c r="A1235" s="18">
        <v>46085</v>
      </c>
      <c r="B1235" s="18" t="s">
        <v>51</v>
      </c>
      <c r="C1235" s="18" t="s">
        <v>316</v>
      </c>
      <c r="D1235" s="6" t="s">
        <v>533</v>
      </c>
      <c r="E1235" s="6" t="s">
        <v>47</v>
      </c>
      <c r="F1235" s="6" t="s">
        <v>656</v>
      </c>
      <c r="G1235" s="7">
        <v>24.77</v>
      </c>
    </row>
    <row r="1236" spans="1:7" x14ac:dyDescent="0.3">
      <c r="A1236" s="18">
        <v>46113</v>
      </c>
      <c r="B1236" s="18" t="s">
        <v>51</v>
      </c>
      <c r="C1236" s="18" t="s">
        <v>316</v>
      </c>
      <c r="D1236" s="6" t="s">
        <v>757</v>
      </c>
      <c r="E1236" s="6" t="s">
        <v>47</v>
      </c>
      <c r="F1236" s="6" t="s">
        <v>656</v>
      </c>
      <c r="G1236" s="7">
        <v>63.8</v>
      </c>
    </row>
    <row r="1237" spans="1:7" x14ac:dyDescent="0.3">
      <c r="A1237" s="18">
        <v>46057</v>
      </c>
      <c r="B1237" s="18" t="s">
        <v>51</v>
      </c>
      <c r="C1237" s="18" t="s">
        <v>316</v>
      </c>
      <c r="D1237" s="6" t="s">
        <v>464</v>
      </c>
      <c r="E1237" s="6" t="s">
        <v>57</v>
      </c>
      <c r="F1237" s="6" t="s">
        <v>656</v>
      </c>
      <c r="G1237" s="7">
        <v>132</v>
      </c>
    </row>
    <row r="1238" spans="1:7" x14ac:dyDescent="0.3">
      <c r="A1238" s="18">
        <v>46030</v>
      </c>
      <c r="B1238" s="18" t="s">
        <v>51</v>
      </c>
      <c r="C1238" s="18" t="s">
        <v>316</v>
      </c>
      <c r="D1238" s="6" t="s">
        <v>362</v>
      </c>
      <c r="E1238" s="6" t="s">
        <v>47</v>
      </c>
      <c r="F1238" s="6" t="s">
        <v>656</v>
      </c>
      <c r="G1238" s="7">
        <v>1497.87</v>
      </c>
    </row>
    <row r="1239" spans="1:7" x14ac:dyDescent="0.3">
      <c r="A1239" s="18">
        <v>46148</v>
      </c>
      <c r="B1239" s="18" t="s">
        <v>51</v>
      </c>
      <c r="C1239" s="18" t="s">
        <v>316</v>
      </c>
      <c r="D1239" s="6" t="s">
        <v>362</v>
      </c>
      <c r="E1239" s="6" t="s">
        <v>57</v>
      </c>
      <c r="F1239" s="6" t="s">
        <v>656</v>
      </c>
      <c r="G1239" s="7">
        <v>301.14</v>
      </c>
    </row>
    <row r="1240" spans="1:7" x14ac:dyDescent="0.3">
      <c r="A1240" s="18">
        <v>46195</v>
      </c>
      <c r="B1240" s="18" t="s">
        <v>51</v>
      </c>
      <c r="C1240" s="18" t="s">
        <v>316</v>
      </c>
      <c r="D1240" s="6" t="s">
        <v>1103</v>
      </c>
      <c r="E1240" s="6" t="s">
        <v>47</v>
      </c>
      <c r="F1240" s="6" t="s">
        <v>656</v>
      </c>
      <c r="G1240" s="7">
        <v>46</v>
      </c>
    </row>
    <row r="1241" spans="1:7" x14ac:dyDescent="0.3">
      <c r="A1241" s="18">
        <v>46038</v>
      </c>
      <c r="B1241" s="18" t="s">
        <v>51</v>
      </c>
      <c r="C1241" s="18" t="s">
        <v>316</v>
      </c>
      <c r="D1241" s="6" t="s">
        <v>388</v>
      </c>
      <c r="E1241" s="6" t="s">
        <v>47</v>
      </c>
      <c r="F1241" s="6" t="s">
        <v>656</v>
      </c>
      <c r="G1241" s="7">
        <v>428.27</v>
      </c>
    </row>
    <row r="1242" spans="1:7" x14ac:dyDescent="0.3">
      <c r="A1242" s="18">
        <v>46029</v>
      </c>
      <c r="B1242" s="18" t="s">
        <v>51</v>
      </c>
      <c r="C1242" s="18" t="s">
        <v>316</v>
      </c>
      <c r="D1242" s="6" t="s">
        <v>356</v>
      </c>
      <c r="E1242" s="6" t="s">
        <v>57</v>
      </c>
      <c r="F1242" s="6" t="s">
        <v>656</v>
      </c>
      <c r="G1242" s="7">
        <v>48</v>
      </c>
    </row>
    <row r="1243" spans="1:7" x14ac:dyDescent="0.3">
      <c r="A1243" s="18">
        <v>46160</v>
      </c>
      <c r="B1243" s="18" t="s">
        <v>51</v>
      </c>
      <c r="C1243" s="18" t="s">
        <v>316</v>
      </c>
      <c r="D1243" s="6" t="s">
        <v>903</v>
      </c>
      <c r="E1243" s="6" t="s">
        <v>57</v>
      </c>
      <c r="F1243" s="6" t="s">
        <v>656</v>
      </c>
      <c r="G1243" s="7">
        <v>93.57</v>
      </c>
    </row>
    <row r="1244" spans="1:7" x14ac:dyDescent="0.3">
      <c r="A1244" s="18">
        <v>46167</v>
      </c>
      <c r="B1244" s="18" t="s">
        <v>51</v>
      </c>
      <c r="C1244" s="18" t="s">
        <v>316</v>
      </c>
      <c r="D1244" s="6" t="s">
        <v>903</v>
      </c>
      <c r="E1244" s="6" t="s">
        <v>57</v>
      </c>
      <c r="F1244" s="6" t="s">
        <v>656</v>
      </c>
      <c r="G1244" s="7">
        <v>115.22</v>
      </c>
    </row>
    <row r="1245" spans="1:7" x14ac:dyDescent="0.3">
      <c r="A1245" s="18">
        <v>46028</v>
      </c>
      <c r="B1245" s="18" t="s">
        <v>51</v>
      </c>
      <c r="C1245" s="18" t="s">
        <v>316</v>
      </c>
      <c r="D1245" s="6" t="s">
        <v>347</v>
      </c>
      <c r="E1245" s="6" t="s">
        <v>42</v>
      </c>
      <c r="F1245" s="6" t="s">
        <v>656</v>
      </c>
      <c r="G1245" s="7">
        <v>56</v>
      </c>
    </row>
    <row r="1246" spans="1:7" x14ac:dyDescent="0.3">
      <c r="A1246" s="18">
        <v>46025</v>
      </c>
      <c r="B1246" s="18" t="s">
        <v>51</v>
      </c>
      <c r="C1246" s="18" t="s">
        <v>316</v>
      </c>
      <c r="D1246" s="6" t="s">
        <v>322</v>
      </c>
      <c r="E1246" s="6" t="s">
        <v>47</v>
      </c>
      <c r="F1246" s="6" t="s">
        <v>656</v>
      </c>
      <c r="G1246" s="7">
        <v>212.12</v>
      </c>
    </row>
    <row r="1247" spans="1:7" x14ac:dyDescent="0.3">
      <c r="A1247" s="18">
        <v>46074</v>
      </c>
      <c r="B1247" s="18" t="s">
        <v>51</v>
      </c>
      <c r="C1247" s="18" t="s">
        <v>316</v>
      </c>
      <c r="D1247" s="6" t="s">
        <v>505</v>
      </c>
      <c r="E1247" s="6" t="s">
        <v>57</v>
      </c>
      <c r="F1247" s="6" t="s">
        <v>656</v>
      </c>
      <c r="G1247" s="7">
        <v>11.9</v>
      </c>
    </row>
    <row r="1248" spans="1:7" x14ac:dyDescent="0.3">
      <c r="A1248" s="18">
        <v>46081</v>
      </c>
      <c r="B1248" s="18" t="s">
        <v>51</v>
      </c>
      <c r="C1248" s="18" t="s">
        <v>316</v>
      </c>
      <c r="D1248" s="6" t="s">
        <v>505</v>
      </c>
      <c r="E1248" s="6" t="s">
        <v>47</v>
      </c>
      <c r="F1248" s="6" t="s">
        <v>656</v>
      </c>
      <c r="G1248" s="7">
        <v>66.8</v>
      </c>
    </row>
    <row r="1249" spans="1:7" x14ac:dyDescent="0.3">
      <c r="A1249" s="18">
        <v>46102</v>
      </c>
      <c r="B1249" s="18" t="s">
        <v>51</v>
      </c>
      <c r="C1249" s="18" t="s">
        <v>316</v>
      </c>
      <c r="D1249" s="6" t="s">
        <v>505</v>
      </c>
      <c r="E1249" s="6" t="s">
        <v>57</v>
      </c>
      <c r="F1249" s="6" t="s">
        <v>656</v>
      </c>
      <c r="G1249" s="7">
        <v>39.6</v>
      </c>
    </row>
    <row r="1250" spans="1:7" x14ac:dyDescent="0.3">
      <c r="A1250" s="18">
        <v>46113</v>
      </c>
      <c r="B1250" s="18" t="s">
        <v>51</v>
      </c>
      <c r="C1250" s="18" t="s">
        <v>316</v>
      </c>
      <c r="D1250" s="6" t="s">
        <v>505</v>
      </c>
      <c r="E1250" s="6" t="s">
        <v>57</v>
      </c>
      <c r="F1250" s="6" t="s">
        <v>656</v>
      </c>
      <c r="G1250" s="7">
        <v>20.8</v>
      </c>
    </row>
    <row r="1251" spans="1:7" x14ac:dyDescent="0.3">
      <c r="A1251" s="18">
        <v>46113</v>
      </c>
      <c r="B1251" s="18" t="s">
        <v>51</v>
      </c>
      <c r="C1251" s="18" t="s">
        <v>316</v>
      </c>
      <c r="D1251" s="6" t="s">
        <v>505</v>
      </c>
      <c r="E1251" s="6" t="s">
        <v>57</v>
      </c>
      <c r="F1251" s="6" t="s">
        <v>656</v>
      </c>
      <c r="G1251" s="7">
        <v>8.9</v>
      </c>
    </row>
    <row r="1252" spans="1:7" x14ac:dyDescent="0.3">
      <c r="A1252" s="18">
        <v>46151</v>
      </c>
      <c r="B1252" s="18" t="s">
        <v>51</v>
      </c>
      <c r="C1252" s="18" t="s">
        <v>316</v>
      </c>
      <c r="D1252" s="6" t="s">
        <v>505</v>
      </c>
      <c r="E1252" s="6" t="s">
        <v>57</v>
      </c>
      <c r="F1252" s="6" t="s">
        <v>656</v>
      </c>
      <c r="G1252" s="7">
        <v>56.8</v>
      </c>
    </row>
    <row r="1253" spans="1:7" x14ac:dyDescent="0.3">
      <c r="A1253" s="18">
        <v>46186</v>
      </c>
      <c r="B1253" s="18" t="s">
        <v>51</v>
      </c>
      <c r="C1253" s="18" t="s">
        <v>316</v>
      </c>
      <c r="D1253" s="6" t="s">
        <v>505</v>
      </c>
      <c r="E1253" s="6" t="s">
        <v>47</v>
      </c>
      <c r="F1253" s="6" t="s">
        <v>656</v>
      </c>
      <c r="G1253" s="7">
        <v>11.9</v>
      </c>
    </row>
    <row r="1254" spans="1:7" x14ac:dyDescent="0.3">
      <c r="A1254" s="18">
        <v>46194</v>
      </c>
      <c r="B1254" s="18" t="s">
        <v>51</v>
      </c>
      <c r="C1254" s="18" t="s">
        <v>316</v>
      </c>
      <c r="D1254" s="6" t="s">
        <v>505</v>
      </c>
      <c r="E1254" s="6" t="s">
        <v>47</v>
      </c>
      <c r="F1254" s="6" t="s">
        <v>656</v>
      </c>
      <c r="G1254" s="7">
        <v>11.9</v>
      </c>
    </row>
    <row r="1255" spans="1:7" x14ac:dyDescent="0.3">
      <c r="A1255" s="18">
        <v>46194</v>
      </c>
      <c r="B1255" s="18" t="s">
        <v>51</v>
      </c>
      <c r="C1255" s="18" t="s">
        <v>316</v>
      </c>
      <c r="D1255" s="6" t="s">
        <v>505</v>
      </c>
      <c r="E1255" s="6" t="s">
        <v>47</v>
      </c>
      <c r="F1255" s="6" t="s">
        <v>656</v>
      </c>
      <c r="G1255" s="7">
        <v>20.9</v>
      </c>
    </row>
    <row r="1256" spans="1:7" x14ac:dyDescent="0.3">
      <c r="A1256" s="18">
        <v>46194</v>
      </c>
      <c r="B1256" s="18" t="s">
        <v>51</v>
      </c>
      <c r="C1256" s="18" t="s">
        <v>316</v>
      </c>
      <c r="D1256" s="6" t="s">
        <v>505</v>
      </c>
      <c r="E1256" s="6" t="s">
        <v>47</v>
      </c>
      <c r="F1256" s="6" t="s">
        <v>656</v>
      </c>
      <c r="G1256" s="7">
        <v>21.9</v>
      </c>
    </row>
    <row r="1257" spans="1:7" x14ac:dyDescent="0.3">
      <c r="A1257" s="18">
        <v>46112</v>
      </c>
      <c r="B1257" s="18" t="s">
        <v>51</v>
      </c>
      <c r="C1257" s="18" t="s">
        <v>316</v>
      </c>
      <c r="D1257" s="6" t="s">
        <v>701</v>
      </c>
      <c r="E1257" s="6" t="s">
        <v>57</v>
      </c>
      <c r="F1257" s="6" t="s">
        <v>656</v>
      </c>
      <c r="G1257" s="7">
        <v>8.25</v>
      </c>
    </row>
    <row r="1258" spans="1:7" x14ac:dyDescent="0.3">
      <c r="A1258" s="18">
        <v>46087</v>
      </c>
      <c r="B1258" s="18" t="s">
        <v>51</v>
      </c>
      <c r="C1258" s="18" t="s">
        <v>316</v>
      </c>
      <c r="D1258" s="6" t="s">
        <v>536</v>
      </c>
      <c r="E1258" s="6" t="s">
        <v>47</v>
      </c>
      <c r="F1258" s="6" t="s">
        <v>656</v>
      </c>
      <c r="G1258" s="7">
        <v>125.4</v>
      </c>
    </row>
    <row r="1259" spans="1:7" x14ac:dyDescent="0.3">
      <c r="A1259" s="18">
        <v>46113</v>
      </c>
      <c r="B1259" s="18" t="s">
        <v>51</v>
      </c>
      <c r="C1259" s="18" t="s">
        <v>316</v>
      </c>
      <c r="D1259" s="6" t="s">
        <v>536</v>
      </c>
      <c r="E1259" s="6" t="s">
        <v>47</v>
      </c>
      <c r="F1259" s="6" t="s">
        <v>656</v>
      </c>
      <c r="G1259" s="7">
        <v>645.70000000000005</v>
      </c>
    </row>
    <row r="1260" spans="1:7" x14ac:dyDescent="0.3">
      <c r="A1260" s="18">
        <v>46158</v>
      </c>
      <c r="B1260" s="18" t="s">
        <v>51</v>
      </c>
      <c r="C1260" s="18" t="s">
        <v>316</v>
      </c>
      <c r="D1260" s="6" t="s">
        <v>536</v>
      </c>
      <c r="E1260" s="6" t="s">
        <v>47</v>
      </c>
      <c r="F1260" s="6" t="s">
        <v>656</v>
      </c>
      <c r="G1260" s="7">
        <v>93.5</v>
      </c>
    </row>
    <row r="1261" spans="1:7" x14ac:dyDescent="0.3">
      <c r="A1261" s="18">
        <v>46059</v>
      </c>
      <c r="B1261" s="18" t="s">
        <v>51</v>
      </c>
      <c r="C1261" s="18" t="s">
        <v>316</v>
      </c>
      <c r="D1261" s="6" t="s">
        <v>662</v>
      </c>
      <c r="E1261" s="6" t="s">
        <v>47</v>
      </c>
      <c r="F1261" s="6" t="s">
        <v>661</v>
      </c>
      <c r="G1261" s="7">
        <v>327</v>
      </c>
    </row>
    <row r="1262" spans="1:7" x14ac:dyDescent="0.3">
      <c r="A1262" s="18">
        <v>46058</v>
      </c>
      <c r="B1262" s="18" t="s">
        <v>51</v>
      </c>
      <c r="C1262" s="18" t="s">
        <v>316</v>
      </c>
      <c r="D1262" s="6" t="s">
        <v>550</v>
      </c>
      <c r="E1262" s="6" t="s">
        <v>47</v>
      </c>
      <c r="F1262" s="6" t="s">
        <v>661</v>
      </c>
      <c r="G1262" s="7">
        <v>335.61</v>
      </c>
    </row>
    <row r="1263" spans="1:7" x14ac:dyDescent="0.3">
      <c r="A1263" s="18">
        <v>46062</v>
      </c>
      <c r="B1263" s="18" t="s">
        <v>51</v>
      </c>
      <c r="C1263" s="18" t="s">
        <v>316</v>
      </c>
      <c r="D1263" s="6" t="s">
        <v>550</v>
      </c>
      <c r="E1263" s="6" t="s">
        <v>47</v>
      </c>
      <c r="F1263" s="6" t="s">
        <v>661</v>
      </c>
      <c r="G1263" s="7">
        <v>142.80000000000001</v>
      </c>
    </row>
    <row r="1264" spans="1:7" x14ac:dyDescent="0.3">
      <c r="A1264" s="18">
        <v>46092</v>
      </c>
      <c r="B1264" s="18" t="s">
        <v>51</v>
      </c>
      <c r="C1264" s="18" t="s">
        <v>316</v>
      </c>
      <c r="D1264" s="6" t="s">
        <v>550</v>
      </c>
      <c r="E1264" s="6" t="s">
        <v>47</v>
      </c>
      <c r="F1264" s="6" t="s">
        <v>656</v>
      </c>
      <c r="G1264" s="7">
        <v>248.6</v>
      </c>
    </row>
    <row r="1265" spans="1:7" x14ac:dyDescent="0.3">
      <c r="A1265" s="18">
        <v>46105</v>
      </c>
      <c r="B1265" s="18" t="s">
        <v>51</v>
      </c>
      <c r="C1265" s="18" t="s">
        <v>316</v>
      </c>
      <c r="D1265" s="6" t="s">
        <v>580</v>
      </c>
      <c r="E1265" s="6" t="s">
        <v>581</v>
      </c>
      <c r="F1265" s="6" t="s">
        <v>656</v>
      </c>
      <c r="G1265" s="7">
        <v>111.79</v>
      </c>
    </row>
    <row r="1266" spans="1:7" x14ac:dyDescent="0.3">
      <c r="A1266" s="18">
        <v>46113</v>
      </c>
      <c r="B1266" s="18" t="s">
        <v>51</v>
      </c>
      <c r="C1266" s="18" t="s">
        <v>316</v>
      </c>
      <c r="D1266" s="6" t="s">
        <v>713</v>
      </c>
      <c r="E1266" s="6" t="s">
        <v>42</v>
      </c>
      <c r="F1266" s="6" t="s">
        <v>656</v>
      </c>
      <c r="G1266" s="7">
        <v>18.899999999999999</v>
      </c>
    </row>
    <row r="1267" spans="1:7" x14ac:dyDescent="0.3">
      <c r="A1267" s="18">
        <v>46113</v>
      </c>
      <c r="B1267" s="18" t="s">
        <v>51</v>
      </c>
      <c r="C1267" s="18" t="s">
        <v>316</v>
      </c>
      <c r="D1267" s="6" t="s">
        <v>712</v>
      </c>
      <c r="E1267" s="6" t="s">
        <v>57</v>
      </c>
      <c r="F1267" s="6" t="s">
        <v>656</v>
      </c>
      <c r="G1267" s="7">
        <v>13</v>
      </c>
    </row>
    <row r="1268" spans="1:7" x14ac:dyDescent="0.3">
      <c r="A1268" s="18">
        <v>46113</v>
      </c>
      <c r="B1268" s="18" t="s">
        <v>51</v>
      </c>
      <c r="C1268" s="18" t="s">
        <v>316</v>
      </c>
      <c r="D1268" s="6" t="s">
        <v>712</v>
      </c>
      <c r="E1268" s="6" t="s">
        <v>57</v>
      </c>
      <c r="F1268" s="6" t="s">
        <v>656</v>
      </c>
      <c r="G1268" s="7">
        <v>13.9</v>
      </c>
    </row>
    <row r="1269" spans="1:7" x14ac:dyDescent="0.3">
      <c r="A1269" s="18">
        <v>46026</v>
      </c>
      <c r="B1269" s="18" t="s">
        <v>51</v>
      </c>
      <c r="C1269" s="18" t="s">
        <v>316</v>
      </c>
      <c r="D1269" s="6" t="s">
        <v>330</v>
      </c>
      <c r="E1269" s="6" t="s">
        <v>47</v>
      </c>
      <c r="F1269" s="6" t="s">
        <v>656</v>
      </c>
      <c r="G1269" s="7">
        <v>15</v>
      </c>
    </row>
    <row r="1270" spans="1:7" x14ac:dyDescent="0.3">
      <c r="A1270" s="18">
        <v>46113</v>
      </c>
      <c r="B1270" s="18" t="s">
        <v>51</v>
      </c>
      <c r="C1270" s="18" t="s">
        <v>316</v>
      </c>
      <c r="D1270" s="6" t="s">
        <v>718</v>
      </c>
      <c r="E1270" s="6" t="s">
        <v>47</v>
      </c>
      <c r="F1270" s="6" t="s">
        <v>656</v>
      </c>
      <c r="G1270" s="7">
        <v>370.64</v>
      </c>
    </row>
    <row r="1271" spans="1:7" x14ac:dyDescent="0.3">
      <c r="A1271" s="18">
        <v>46113</v>
      </c>
      <c r="B1271" s="18" t="s">
        <v>51</v>
      </c>
      <c r="C1271" s="18" t="s">
        <v>316</v>
      </c>
      <c r="D1271" s="6" t="s">
        <v>718</v>
      </c>
      <c r="E1271" s="6" t="s">
        <v>57</v>
      </c>
      <c r="F1271" s="6" t="s">
        <v>656</v>
      </c>
      <c r="G1271" s="7">
        <v>117</v>
      </c>
    </row>
    <row r="1272" spans="1:7" x14ac:dyDescent="0.3">
      <c r="A1272" s="18">
        <v>46192</v>
      </c>
      <c r="B1272" s="18" t="s">
        <v>51</v>
      </c>
      <c r="C1272" s="18" t="s">
        <v>316</v>
      </c>
      <c r="D1272" s="6" t="s">
        <v>718</v>
      </c>
      <c r="E1272" s="6" t="s">
        <v>47</v>
      </c>
      <c r="F1272" s="6" t="s">
        <v>656</v>
      </c>
      <c r="G1272" s="7">
        <v>264.42</v>
      </c>
    </row>
    <row r="1273" spans="1:7" x14ac:dyDescent="0.3">
      <c r="A1273" s="18">
        <v>46147</v>
      </c>
      <c r="B1273" s="18" t="s">
        <v>51</v>
      </c>
      <c r="C1273" s="18" t="s">
        <v>316</v>
      </c>
      <c r="D1273" s="6" t="s">
        <v>880</v>
      </c>
      <c r="E1273" s="6" t="s">
        <v>47</v>
      </c>
      <c r="F1273" s="6" t="s">
        <v>656</v>
      </c>
      <c r="G1273" s="7">
        <v>195.54</v>
      </c>
    </row>
    <row r="1274" spans="1:7" x14ac:dyDescent="0.3">
      <c r="A1274" s="18">
        <v>46161</v>
      </c>
      <c r="B1274" s="18" t="s">
        <v>51</v>
      </c>
      <c r="C1274" s="18" t="s">
        <v>316</v>
      </c>
      <c r="D1274" s="6" t="s">
        <v>908</v>
      </c>
      <c r="E1274" s="6" t="s">
        <v>57</v>
      </c>
      <c r="F1274" s="6" t="s">
        <v>656</v>
      </c>
      <c r="G1274" s="7">
        <v>18.079999999999998</v>
      </c>
    </row>
    <row r="1275" spans="1:7" x14ac:dyDescent="0.3">
      <c r="A1275" s="18">
        <v>46161</v>
      </c>
      <c r="B1275" s="18" t="s">
        <v>51</v>
      </c>
      <c r="C1275" s="18" t="s">
        <v>316</v>
      </c>
      <c r="D1275" s="6" t="s">
        <v>907</v>
      </c>
      <c r="E1275" s="6" t="s">
        <v>47</v>
      </c>
      <c r="F1275" s="6" t="s">
        <v>656</v>
      </c>
      <c r="G1275" s="7">
        <v>189.84</v>
      </c>
    </row>
    <row r="1276" spans="1:7" x14ac:dyDescent="0.3">
      <c r="A1276" s="18">
        <v>46040</v>
      </c>
      <c r="B1276" s="18" t="s">
        <v>51</v>
      </c>
      <c r="C1276" s="18" t="s">
        <v>316</v>
      </c>
      <c r="D1276" s="6" t="s">
        <v>406</v>
      </c>
      <c r="E1276" s="6" t="s">
        <v>47</v>
      </c>
      <c r="F1276" s="6" t="s">
        <v>656</v>
      </c>
      <c r="G1276" s="7">
        <v>216.68</v>
      </c>
    </row>
    <row r="1277" spans="1:7" x14ac:dyDescent="0.3">
      <c r="A1277" s="18">
        <v>46039</v>
      </c>
      <c r="B1277" s="18" t="s">
        <v>51</v>
      </c>
      <c r="C1277" s="18" t="s">
        <v>316</v>
      </c>
      <c r="D1277" s="6" t="s">
        <v>396</v>
      </c>
      <c r="E1277" s="6" t="s">
        <v>47</v>
      </c>
      <c r="F1277" s="6" t="s">
        <v>656</v>
      </c>
      <c r="G1277" s="7">
        <v>703</v>
      </c>
    </row>
    <row r="1278" spans="1:7" x14ac:dyDescent="0.3">
      <c r="A1278" s="18">
        <v>46053</v>
      </c>
      <c r="B1278" s="18" t="s">
        <v>51</v>
      </c>
      <c r="C1278" s="18" t="s">
        <v>316</v>
      </c>
      <c r="D1278" s="6" t="s">
        <v>663</v>
      </c>
      <c r="E1278" s="6" t="s">
        <v>57</v>
      </c>
      <c r="F1278" s="6" t="s">
        <v>661</v>
      </c>
      <c r="G1278" s="7">
        <v>62</v>
      </c>
    </row>
    <row r="1279" spans="1:7" x14ac:dyDescent="0.3">
      <c r="A1279" s="18">
        <v>46040</v>
      </c>
      <c r="B1279" s="18" t="s">
        <v>51</v>
      </c>
      <c r="C1279" s="18" t="s">
        <v>316</v>
      </c>
      <c r="D1279" s="6" t="s">
        <v>405</v>
      </c>
      <c r="E1279" s="6" t="s">
        <v>47</v>
      </c>
      <c r="F1279" s="6" t="s">
        <v>656</v>
      </c>
      <c r="G1279" s="7">
        <v>31.98</v>
      </c>
    </row>
    <row r="1280" spans="1:7" x14ac:dyDescent="0.3">
      <c r="A1280" s="18">
        <v>46113</v>
      </c>
      <c r="B1280" s="18" t="s">
        <v>51</v>
      </c>
      <c r="C1280" s="18" t="s">
        <v>316</v>
      </c>
      <c r="D1280" s="6" t="s">
        <v>774</v>
      </c>
      <c r="E1280" s="6" t="s">
        <v>57</v>
      </c>
      <c r="F1280" s="6" t="s">
        <v>656</v>
      </c>
      <c r="G1280" s="7">
        <v>816.57</v>
      </c>
    </row>
    <row r="1281" spans="1:7" x14ac:dyDescent="0.3">
      <c r="A1281" s="18">
        <v>46150</v>
      </c>
      <c r="B1281" s="18" t="s">
        <v>51</v>
      </c>
      <c r="C1281" s="18" t="s">
        <v>316</v>
      </c>
      <c r="D1281" s="6" t="s">
        <v>774</v>
      </c>
      <c r="E1281" s="6" t="s">
        <v>57</v>
      </c>
      <c r="F1281" s="6" t="s">
        <v>656</v>
      </c>
      <c r="G1281" s="7">
        <v>322</v>
      </c>
    </row>
    <row r="1282" spans="1:7" x14ac:dyDescent="0.3">
      <c r="A1282" s="18">
        <v>46163</v>
      </c>
      <c r="B1282" s="18" t="s">
        <v>51</v>
      </c>
      <c r="C1282" s="18" t="s">
        <v>316</v>
      </c>
      <c r="D1282" s="6" t="s">
        <v>774</v>
      </c>
      <c r="E1282" s="6" t="s">
        <v>47</v>
      </c>
      <c r="F1282" s="6" t="s">
        <v>656</v>
      </c>
      <c r="G1282" s="7">
        <v>3870.71</v>
      </c>
    </row>
    <row r="1283" spans="1:7" x14ac:dyDescent="0.3">
      <c r="A1283" s="18">
        <v>46035</v>
      </c>
      <c r="B1283" s="18" t="s">
        <v>51</v>
      </c>
      <c r="C1283" s="18" t="s">
        <v>316</v>
      </c>
      <c r="D1283" s="6" t="s">
        <v>373</v>
      </c>
      <c r="E1283" s="6" t="s">
        <v>47</v>
      </c>
      <c r="F1283" s="6" t="s">
        <v>656</v>
      </c>
      <c r="G1283" s="7">
        <v>9.8000000000000007</v>
      </c>
    </row>
    <row r="1284" spans="1:7" x14ac:dyDescent="0.3">
      <c r="A1284" s="18">
        <v>46185</v>
      </c>
      <c r="B1284" s="18" t="s">
        <v>51</v>
      </c>
      <c r="C1284" s="18" t="s">
        <v>316</v>
      </c>
      <c r="D1284" s="6" t="s">
        <v>1094</v>
      </c>
      <c r="E1284" s="6" t="s">
        <v>47</v>
      </c>
      <c r="F1284" s="6" t="s">
        <v>656</v>
      </c>
      <c r="G1284" s="7">
        <v>807.99</v>
      </c>
    </row>
    <row r="1285" spans="1:7" x14ac:dyDescent="0.3">
      <c r="A1285" s="18">
        <v>46032</v>
      </c>
      <c r="B1285" s="18" t="s">
        <v>51</v>
      </c>
      <c r="C1285" s="18" t="s">
        <v>316</v>
      </c>
      <c r="D1285" s="6" t="s">
        <v>370</v>
      </c>
      <c r="E1285" s="6" t="s">
        <v>47</v>
      </c>
      <c r="F1285" s="6" t="s">
        <v>661</v>
      </c>
      <c r="G1285" s="7">
        <v>132.97999999999999</v>
      </c>
    </row>
    <row r="1286" spans="1:7" x14ac:dyDescent="0.3">
      <c r="A1286" s="18">
        <v>46055</v>
      </c>
      <c r="B1286" s="18" t="s">
        <v>51</v>
      </c>
      <c r="C1286" s="18" t="s">
        <v>316</v>
      </c>
      <c r="D1286" s="6" t="s">
        <v>370</v>
      </c>
      <c r="E1286" s="6" t="s">
        <v>47</v>
      </c>
      <c r="F1286" s="6" t="s">
        <v>661</v>
      </c>
      <c r="G1286" s="7">
        <v>140.74</v>
      </c>
    </row>
    <row r="1287" spans="1:7" x14ac:dyDescent="0.3">
      <c r="A1287" s="18">
        <v>46056</v>
      </c>
      <c r="B1287" s="18" t="s">
        <v>51</v>
      </c>
      <c r="C1287" s="18" t="s">
        <v>316</v>
      </c>
      <c r="D1287" s="6" t="s">
        <v>370</v>
      </c>
      <c r="E1287" s="6" t="s">
        <v>47</v>
      </c>
      <c r="F1287" s="6" t="s">
        <v>656</v>
      </c>
      <c r="G1287" s="7">
        <v>5.95</v>
      </c>
    </row>
    <row r="1288" spans="1:7" x14ac:dyDescent="0.3">
      <c r="A1288" s="18">
        <v>46062</v>
      </c>
      <c r="B1288" s="18" t="s">
        <v>51</v>
      </c>
      <c r="C1288" s="18" t="s">
        <v>316</v>
      </c>
      <c r="D1288" s="6" t="s">
        <v>370</v>
      </c>
      <c r="E1288" s="6" t="s">
        <v>47</v>
      </c>
      <c r="F1288" s="6" t="s">
        <v>661</v>
      </c>
      <c r="G1288" s="7">
        <v>97.71</v>
      </c>
    </row>
    <row r="1289" spans="1:7" x14ac:dyDescent="0.3">
      <c r="A1289" s="18">
        <v>46064</v>
      </c>
      <c r="B1289" s="18" t="s">
        <v>51</v>
      </c>
      <c r="C1289" s="18" t="s">
        <v>316</v>
      </c>
      <c r="D1289" s="6" t="s">
        <v>370</v>
      </c>
      <c r="E1289" s="6" t="s">
        <v>47</v>
      </c>
      <c r="F1289" s="6" t="s">
        <v>661</v>
      </c>
      <c r="G1289" s="7">
        <v>44.99</v>
      </c>
    </row>
    <row r="1290" spans="1:7" x14ac:dyDescent="0.3">
      <c r="A1290" s="18">
        <v>46064</v>
      </c>
      <c r="B1290" s="18" t="s">
        <v>51</v>
      </c>
      <c r="C1290" s="18" t="s">
        <v>316</v>
      </c>
      <c r="D1290" s="6" t="s">
        <v>370</v>
      </c>
      <c r="E1290" s="6" t="s">
        <v>57</v>
      </c>
      <c r="F1290" s="6" t="s">
        <v>656</v>
      </c>
      <c r="G1290" s="7">
        <v>5.95</v>
      </c>
    </row>
    <row r="1291" spans="1:7" x14ac:dyDescent="0.3">
      <c r="A1291" s="18">
        <v>46092</v>
      </c>
      <c r="B1291" s="18" t="s">
        <v>51</v>
      </c>
      <c r="C1291" s="18" t="s">
        <v>316</v>
      </c>
      <c r="D1291" s="6" t="s">
        <v>370</v>
      </c>
      <c r="E1291" s="6" t="s">
        <v>57</v>
      </c>
      <c r="F1291" s="6" t="s">
        <v>656</v>
      </c>
      <c r="G1291" s="7">
        <v>5.95</v>
      </c>
    </row>
    <row r="1292" spans="1:7" x14ac:dyDescent="0.3">
      <c r="A1292" s="18">
        <v>46113</v>
      </c>
      <c r="B1292" s="18" t="s">
        <v>51</v>
      </c>
      <c r="C1292" s="18" t="s">
        <v>316</v>
      </c>
      <c r="D1292" s="6" t="s">
        <v>370</v>
      </c>
      <c r="E1292" s="6" t="s">
        <v>57</v>
      </c>
      <c r="F1292" s="6" t="s">
        <v>656</v>
      </c>
      <c r="G1292" s="7">
        <v>5.95</v>
      </c>
    </row>
    <row r="1293" spans="1:7" x14ac:dyDescent="0.3">
      <c r="A1293" s="18">
        <v>46153</v>
      </c>
      <c r="B1293" s="18" t="s">
        <v>51</v>
      </c>
      <c r="C1293" s="18" t="s">
        <v>316</v>
      </c>
      <c r="D1293" s="6" t="s">
        <v>370</v>
      </c>
      <c r="E1293" s="6" t="s">
        <v>47</v>
      </c>
      <c r="F1293" s="6" t="s">
        <v>656</v>
      </c>
      <c r="G1293" s="7">
        <v>5.95</v>
      </c>
    </row>
    <row r="1294" spans="1:7" x14ac:dyDescent="0.3">
      <c r="A1294" s="18">
        <v>46187</v>
      </c>
      <c r="B1294" s="18" t="s">
        <v>51</v>
      </c>
      <c r="C1294" s="18" t="s">
        <v>316</v>
      </c>
      <c r="D1294" s="6" t="s">
        <v>1097</v>
      </c>
      <c r="E1294" s="6" t="s">
        <v>47</v>
      </c>
      <c r="F1294" s="6" t="s">
        <v>656</v>
      </c>
      <c r="G1294" s="7">
        <v>342.49</v>
      </c>
    </row>
    <row r="1295" spans="1:7" x14ac:dyDescent="0.3">
      <c r="A1295" s="18">
        <v>46093</v>
      </c>
      <c r="B1295" s="18" t="s">
        <v>51</v>
      </c>
      <c r="C1295" s="18" t="s">
        <v>316</v>
      </c>
      <c r="D1295" s="6" t="s">
        <v>554</v>
      </c>
      <c r="E1295" s="6" t="s">
        <v>57</v>
      </c>
      <c r="F1295" s="6" t="s">
        <v>656</v>
      </c>
      <c r="G1295" s="7">
        <v>569.79999999999995</v>
      </c>
    </row>
    <row r="1296" spans="1:7" x14ac:dyDescent="0.3">
      <c r="A1296" s="18">
        <v>46113</v>
      </c>
      <c r="B1296" s="18" t="s">
        <v>51</v>
      </c>
      <c r="C1296" s="18" t="s">
        <v>316</v>
      </c>
      <c r="D1296" s="6" t="s">
        <v>758</v>
      </c>
      <c r="E1296" s="6" t="s">
        <v>47</v>
      </c>
      <c r="F1296" s="6" t="s">
        <v>656</v>
      </c>
      <c r="G1296" s="7">
        <v>12</v>
      </c>
    </row>
    <row r="1297" spans="1:7" x14ac:dyDescent="0.3">
      <c r="A1297" s="18">
        <v>46082</v>
      </c>
      <c r="B1297" s="18" t="s">
        <v>51</v>
      </c>
      <c r="C1297" s="18" t="s">
        <v>316</v>
      </c>
      <c r="D1297" s="6" t="s">
        <v>106</v>
      </c>
      <c r="E1297" s="6" t="s">
        <v>57</v>
      </c>
      <c r="F1297" s="6" t="s">
        <v>656</v>
      </c>
      <c r="G1297" s="7">
        <v>11.9</v>
      </c>
    </row>
    <row r="1298" spans="1:7" x14ac:dyDescent="0.3">
      <c r="A1298" s="18">
        <v>46080</v>
      </c>
      <c r="B1298" s="18" t="s">
        <v>51</v>
      </c>
      <c r="C1298" s="18" t="s">
        <v>316</v>
      </c>
      <c r="D1298" s="6" t="s">
        <v>518</v>
      </c>
      <c r="E1298" s="6" t="s">
        <v>47</v>
      </c>
      <c r="F1298" s="6" t="s">
        <v>656</v>
      </c>
      <c r="G1298" s="7">
        <v>926.6</v>
      </c>
    </row>
    <row r="1299" spans="1:7" x14ac:dyDescent="0.3">
      <c r="A1299" s="18">
        <v>46026</v>
      </c>
      <c r="B1299" s="18" t="s">
        <v>51</v>
      </c>
      <c r="C1299" s="18" t="s">
        <v>316</v>
      </c>
      <c r="D1299" s="6" t="s">
        <v>332</v>
      </c>
      <c r="E1299" s="6" t="s">
        <v>47</v>
      </c>
      <c r="F1299" s="6" t="s">
        <v>656</v>
      </c>
      <c r="G1299" s="7">
        <v>114.99</v>
      </c>
    </row>
    <row r="1300" spans="1:7" x14ac:dyDescent="0.3">
      <c r="A1300" s="18">
        <v>46093</v>
      </c>
      <c r="B1300" s="18" t="s">
        <v>51</v>
      </c>
      <c r="C1300" s="18" t="s">
        <v>316</v>
      </c>
      <c r="D1300" s="6" t="s">
        <v>332</v>
      </c>
      <c r="E1300" s="6" t="s">
        <v>57</v>
      </c>
      <c r="F1300" s="6" t="s">
        <v>656</v>
      </c>
      <c r="G1300" s="7">
        <v>102.99</v>
      </c>
    </row>
    <row r="1301" spans="1:7" x14ac:dyDescent="0.3">
      <c r="A1301" s="18">
        <v>46113</v>
      </c>
      <c r="B1301" s="18" t="s">
        <v>51</v>
      </c>
      <c r="C1301" s="18" t="s">
        <v>316</v>
      </c>
      <c r="D1301" s="6" t="s">
        <v>332</v>
      </c>
      <c r="E1301" s="6" t="s">
        <v>47</v>
      </c>
      <c r="F1301" s="6" t="s">
        <v>656</v>
      </c>
      <c r="G1301" s="7">
        <v>41.99</v>
      </c>
    </row>
    <row r="1302" spans="1:7" x14ac:dyDescent="0.3">
      <c r="A1302" s="18">
        <v>46066</v>
      </c>
      <c r="B1302" s="18" t="s">
        <v>51</v>
      </c>
      <c r="C1302" s="18" t="s">
        <v>316</v>
      </c>
      <c r="D1302" s="6" t="s">
        <v>473</v>
      </c>
      <c r="E1302" s="6" t="s">
        <v>47</v>
      </c>
      <c r="F1302" s="6" t="s">
        <v>656</v>
      </c>
      <c r="G1302" s="7">
        <v>656.39</v>
      </c>
    </row>
    <row r="1303" spans="1:7" x14ac:dyDescent="0.3">
      <c r="A1303" s="18">
        <v>46152</v>
      </c>
      <c r="B1303" s="18" t="s">
        <v>51</v>
      </c>
      <c r="C1303" s="18" t="s">
        <v>316</v>
      </c>
      <c r="D1303" s="6" t="s">
        <v>473</v>
      </c>
      <c r="E1303" s="6" t="s">
        <v>47</v>
      </c>
      <c r="F1303" s="6" t="s">
        <v>656</v>
      </c>
      <c r="G1303" s="7">
        <v>1720</v>
      </c>
    </row>
    <row r="1304" spans="1:7" x14ac:dyDescent="0.3">
      <c r="A1304" s="18">
        <v>46029</v>
      </c>
      <c r="B1304" s="18" t="s">
        <v>51</v>
      </c>
      <c r="C1304" s="18" t="s">
        <v>316</v>
      </c>
      <c r="D1304" s="6" t="s">
        <v>353</v>
      </c>
      <c r="E1304" s="6" t="s">
        <v>57</v>
      </c>
      <c r="F1304" s="6" t="s">
        <v>656</v>
      </c>
      <c r="G1304" s="7">
        <v>26.8</v>
      </c>
    </row>
    <row r="1305" spans="1:7" x14ac:dyDescent="0.3">
      <c r="A1305" s="18">
        <v>46036</v>
      </c>
      <c r="B1305" s="18" t="s">
        <v>51</v>
      </c>
      <c r="C1305" s="18" t="s">
        <v>316</v>
      </c>
      <c r="D1305" s="6" t="s">
        <v>377</v>
      </c>
      <c r="E1305" s="6" t="s">
        <v>47</v>
      </c>
      <c r="F1305" s="6" t="s">
        <v>656</v>
      </c>
      <c r="G1305" s="7">
        <v>343.07</v>
      </c>
    </row>
    <row r="1306" spans="1:7" x14ac:dyDescent="0.3">
      <c r="A1306" s="18">
        <v>46089</v>
      </c>
      <c r="B1306" s="18" t="s">
        <v>51</v>
      </c>
      <c r="C1306" s="18" t="s">
        <v>316</v>
      </c>
      <c r="D1306" s="6" t="s">
        <v>541</v>
      </c>
      <c r="E1306" s="6" t="s">
        <v>47</v>
      </c>
      <c r="F1306" s="6" t="s">
        <v>656</v>
      </c>
      <c r="G1306" s="7">
        <v>153.97999999999999</v>
      </c>
    </row>
    <row r="1307" spans="1:7" x14ac:dyDescent="0.3">
      <c r="A1307" s="18">
        <v>46029</v>
      </c>
      <c r="B1307" s="18" t="s">
        <v>51</v>
      </c>
      <c r="C1307" s="18" t="s">
        <v>316</v>
      </c>
      <c r="D1307" s="6" t="s">
        <v>355</v>
      </c>
      <c r="E1307" s="6" t="s">
        <v>57</v>
      </c>
      <c r="F1307" s="6" t="s">
        <v>656</v>
      </c>
      <c r="G1307" s="7">
        <v>89.35</v>
      </c>
    </row>
    <row r="1308" spans="1:7" x14ac:dyDescent="0.3">
      <c r="A1308" s="18">
        <v>46036</v>
      </c>
      <c r="B1308" s="18" t="s">
        <v>51</v>
      </c>
      <c r="C1308" s="18" t="s">
        <v>316</v>
      </c>
      <c r="D1308" s="6" t="s">
        <v>376</v>
      </c>
      <c r="E1308" s="6" t="s">
        <v>57</v>
      </c>
      <c r="F1308" s="6" t="s">
        <v>656</v>
      </c>
      <c r="G1308" s="7">
        <v>32.54</v>
      </c>
    </row>
    <row r="1309" spans="1:7" x14ac:dyDescent="0.3">
      <c r="A1309" s="18">
        <v>46112</v>
      </c>
      <c r="B1309" s="18" t="s">
        <v>51</v>
      </c>
      <c r="C1309" s="18" t="s">
        <v>316</v>
      </c>
      <c r="D1309" s="6" t="s">
        <v>700</v>
      </c>
      <c r="E1309" s="6" t="s">
        <v>57</v>
      </c>
      <c r="F1309" s="6" t="s">
        <v>656</v>
      </c>
      <c r="G1309" s="7">
        <v>26.55</v>
      </c>
    </row>
    <row r="1310" spans="1:7" x14ac:dyDescent="0.3">
      <c r="A1310" s="18">
        <v>46026</v>
      </c>
      <c r="B1310" s="18" t="s">
        <v>51</v>
      </c>
      <c r="C1310" s="18" t="s">
        <v>316</v>
      </c>
      <c r="D1310" s="6" t="s">
        <v>327</v>
      </c>
      <c r="E1310" s="6" t="s">
        <v>47</v>
      </c>
      <c r="F1310" s="6" t="s">
        <v>656</v>
      </c>
      <c r="G1310" s="7">
        <v>47.9</v>
      </c>
    </row>
    <row r="1311" spans="1:7" x14ac:dyDescent="0.3">
      <c r="A1311" s="18">
        <v>46113</v>
      </c>
      <c r="B1311" s="18" t="s">
        <v>51</v>
      </c>
      <c r="C1311" s="18" t="s">
        <v>316</v>
      </c>
      <c r="D1311" s="6" t="s">
        <v>717</v>
      </c>
      <c r="E1311" s="6" t="s">
        <v>47</v>
      </c>
      <c r="F1311" s="6" t="s">
        <v>656</v>
      </c>
      <c r="G1311" s="7">
        <v>96.98</v>
      </c>
    </row>
    <row r="1312" spans="1:7" x14ac:dyDescent="0.3">
      <c r="A1312" s="18">
        <v>46113</v>
      </c>
      <c r="B1312" s="18" t="s">
        <v>51</v>
      </c>
      <c r="C1312" s="18" t="s">
        <v>316</v>
      </c>
      <c r="D1312" s="6" t="s">
        <v>727</v>
      </c>
      <c r="E1312" s="6" t="s">
        <v>47</v>
      </c>
      <c r="F1312" s="6" t="s">
        <v>656</v>
      </c>
      <c r="G1312" s="7">
        <v>1413.63</v>
      </c>
    </row>
    <row r="1313" spans="1:7" x14ac:dyDescent="0.3">
      <c r="A1313" s="18">
        <v>46113</v>
      </c>
      <c r="B1313" s="18" t="s">
        <v>51</v>
      </c>
      <c r="C1313" s="18" t="s">
        <v>316</v>
      </c>
      <c r="D1313" s="6" t="s">
        <v>710</v>
      </c>
      <c r="E1313" s="6" t="s">
        <v>47</v>
      </c>
      <c r="F1313" s="6" t="s">
        <v>656</v>
      </c>
      <c r="G1313" s="7">
        <v>201.71</v>
      </c>
    </row>
    <row r="1314" spans="1:7" x14ac:dyDescent="0.3">
      <c r="A1314" s="18">
        <v>46113</v>
      </c>
      <c r="B1314" s="18" t="s">
        <v>51</v>
      </c>
      <c r="C1314" s="18" t="s">
        <v>316</v>
      </c>
      <c r="D1314" s="6" t="s">
        <v>710</v>
      </c>
      <c r="E1314" s="6" t="s">
        <v>47</v>
      </c>
      <c r="F1314" s="6" t="s">
        <v>656</v>
      </c>
      <c r="G1314" s="7">
        <v>1437.5</v>
      </c>
    </row>
    <row r="1315" spans="1:7" x14ac:dyDescent="0.3">
      <c r="A1315" s="18">
        <v>46037</v>
      </c>
      <c r="B1315" s="18" t="s">
        <v>51</v>
      </c>
      <c r="C1315" s="18" t="s">
        <v>316</v>
      </c>
      <c r="D1315" s="6" t="s">
        <v>385</v>
      </c>
      <c r="E1315" s="6" t="s">
        <v>57</v>
      </c>
      <c r="F1315" s="6" t="s">
        <v>656</v>
      </c>
      <c r="G1315" s="7">
        <v>20.9</v>
      </c>
    </row>
    <row r="1316" spans="1:7" x14ac:dyDescent="0.3">
      <c r="A1316" s="18">
        <v>46098</v>
      </c>
      <c r="B1316" s="18" t="s">
        <v>51</v>
      </c>
      <c r="C1316" s="18" t="s">
        <v>316</v>
      </c>
      <c r="D1316" s="6" t="s">
        <v>385</v>
      </c>
      <c r="E1316" s="6" t="s">
        <v>57</v>
      </c>
      <c r="F1316" s="6" t="s">
        <v>656</v>
      </c>
      <c r="G1316" s="7">
        <v>26</v>
      </c>
    </row>
    <row r="1317" spans="1:7" x14ac:dyDescent="0.3">
      <c r="A1317" s="18">
        <v>46162</v>
      </c>
      <c r="B1317" s="18" t="s">
        <v>51</v>
      </c>
      <c r="C1317" s="18" t="s">
        <v>316</v>
      </c>
      <c r="D1317" s="6" t="s">
        <v>385</v>
      </c>
      <c r="E1317" s="6" t="s">
        <v>57</v>
      </c>
      <c r="F1317" s="6" t="s">
        <v>656</v>
      </c>
      <c r="G1317" s="7">
        <v>12</v>
      </c>
    </row>
    <row r="1318" spans="1:7" x14ac:dyDescent="0.3">
      <c r="A1318" s="18">
        <v>46190</v>
      </c>
      <c r="B1318" s="18" t="s">
        <v>51</v>
      </c>
      <c r="C1318" s="18" t="s">
        <v>316</v>
      </c>
      <c r="D1318" s="6" t="s">
        <v>385</v>
      </c>
      <c r="E1318" s="6" t="s">
        <v>57</v>
      </c>
      <c r="F1318" s="6" t="s">
        <v>656</v>
      </c>
      <c r="G1318" s="7">
        <v>23</v>
      </c>
    </row>
    <row r="1319" spans="1:7" x14ac:dyDescent="0.3">
      <c r="A1319" s="18">
        <v>46101</v>
      </c>
      <c r="B1319" s="18" t="s">
        <v>51</v>
      </c>
      <c r="C1319" s="18" t="s">
        <v>316</v>
      </c>
      <c r="D1319" s="6" t="s">
        <v>570</v>
      </c>
      <c r="E1319" s="6" t="s">
        <v>47</v>
      </c>
      <c r="F1319" s="6" t="s">
        <v>656</v>
      </c>
      <c r="G1319" s="7">
        <v>1256.56</v>
      </c>
    </row>
    <row r="1320" spans="1:7" x14ac:dyDescent="0.3">
      <c r="A1320" s="18">
        <v>46037</v>
      </c>
      <c r="B1320" s="18" t="s">
        <v>51</v>
      </c>
      <c r="C1320" s="18" t="s">
        <v>316</v>
      </c>
      <c r="D1320" s="6" t="s">
        <v>386</v>
      </c>
      <c r="E1320" s="6" t="s">
        <v>57</v>
      </c>
      <c r="F1320" s="6" t="s">
        <v>656</v>
      </c>
      <c r="G1320" s="7">
        <v>145.77000000000001</v>
      </c>
    </row>
    <row r="1321" spans="1:7" x14ac:dyDescent="0.3">
      <c r="A1321" s="18">
        <v>46042</v>
      </c>
      <c r="B1321" s="18" t="s">
        <v>51</v>
      </c>
      <c r="C1321" s="18" t="s">
        <v>316</v>
      </c>
      <c r="D1321" s="6" t="s">
        <v>386</v>
      </c>
      <c r="E1321" s="6" t="s">
        <v>57</v>
      </c>
      <c r="F1321" s="6" t="s">
        <v>656</v>
      </c>
      <c r="G1321" s="7">
        <v>55.94</v>
      </c>
    </row>
    <row r="1322" spans="1:7" x14ac:dyDescent="0.3">
      <c r="A1322" s="18">
        <v>46065</v>
      </c>
      <c r="B1322" s="18" t="s">
        <v>51</v>
      </c>
      <c r="C1322" s="18" t="s">
        <v>316</v>
      </c>
      <c r="D1322" s="6" t="s">
        <v>386</v>
      </c>
      <c r="E1322" s="6" t="s">
        <v>57</v>
      </c>
      <c r="F1322" s="6" t="s">
        <v>661</v>
      </c>
      <c r="G1322" s="7">
        <v>27.57</v>
      </c>
    </row>
    <row r="1323" spans="1:7" x14ac:dyDescent="0.3">
      <c r="A1323" s="18">
        <v>46072</v>
      </c>
      <c r="B1323" s="18" t="s">
        <v>51</v>
      </c>
      <c r="C1323" s="18" t="s">
        <v>316</v>
      </c>
      <c r="D1323" s="6" t="s">
        <v>386</v>
      </c>
      <c r="E1323" s="6" t="s">
        <v>57</v>
      </c>
      <c r="F1323" s="6" t="s">
        <v>656</v>
      </c>
      <c r="G1323" s="7">
        <v>259.89999999999998</v>
      </c>
    </row>
    <row r="1324" spans="1:7" x14ac:dyDescent="0.3">
      <c r="A1324" s="18">
        <v>46073</v>
      </c>
      <c r="B1324" s="18" t="s">
        <v>51</v>
      </c>
      <c r="C1324" s="18" t="s">
        <v>316</v>
      </c>
      <c r="D1324" s="6" t="s">
        <v>386</v>
      </c>
      <c r="E1324" s="6" t="s">
        <v>57</v>
      </c>
      <c r="F1324" s="6" t="s">
        <v>656</v>
      </c>
      <c r="G1324" s="7">
        <v>33.79</v>
      </c>
    </row>
    <row r="1325" spans="1:7" x14ac:dyDescent="0.3">
      <c r="A1325" s="18">
        <v>46076</v>
      </c>
      <c r="B1325" s="18" t="s">
        <v>51</v>
      </c>
      <c r="C1325" s="18" t="s">
        <v>316</v>
      </c>
      <c r="D1325" s="6" t="s">
        <v>386</v>
      </c>
      <c r="E1325" s="6" t="s">
        <v>57</v>
      </c>
      <c r="F1325" s="6" t="s">
        <v>656</v>
      </c>
      <c r="G1325" s="7">
        <v>36.159999999999997</v>
      </c>
    </row>
    <row r="1326" spans="1:7" x14ac:dyDescent="0.3">
      <c r="A1326" s="18">
        <v>46076</v>
      </c>
      <c r="B1326" s="18" t="s">
        <v>51</v>
      </c>
      <c r="C1326" s="18" t="s">
        <v>316</v>
      </c>
      <c r="D1326" s="6" t="s">
        <v>386</v>
      </c>
      <c r="E1326" s="6" t="s">
        <v>47</v>
      </c>
      <c r="F1326" s="6" t="s">
        <v>656</v>
      </c>
      <c r="G1326" s="7">
        <v>230.41</v>
      </c>
    </row>
    <row r="1327" spans="1:7" x14ac:dyDescent="0.3">
      <c r="A1327" s="18">
        <v>46079</v>
      </c>
      <c r="B1327" s="18" t="s">
        <v>51</v>
      </c>
      <c r="C1327" s="18" t="s">
        <v>316</v>
      </c>
      <c r="D1327" s="6" t="s">
        <v>386</v>
      </c>
      <c r="E1327" s="6" t="s">
        <v>57</v>
      </c>
      <c r="F1327" s="6" t="s">
        <v>656</v>
      </c>
      <c r="G1327" s="7">
        <v>15.26</v>
      </c>
    </row>
    <row r="1328" spans="1:7" x14ac:dyDescent="0.3">
      <c r="A1328" s="18">
        <v>46092</v>
      </c>
      <c r="B1328" s="18" t="s">
        <v>51</v>
      </c>
      <c r="C1328" s="18" t="s">
        <v>316</v>
      </c>
      <c r="D1328" s="6" t="s">
        <v>386</v>
      </c>
      <c r="E1328" s="6" t="s">
        <v>57</v>
      </c>
      <c r="F1328" s="6" t="s">
        <v>656</v>
      </c>
      <c r="G1328" s="7">
        <v>26.89</v>
      </c>
    </row>
    <row r="1329" spans="1:7" x14ac:dyDescent="0.3">
      <c r="A1329" s="18">
        <v>46092</v>
      </c>
      <c r="B1329" s="18" t="s">
        <v>51</v>
      </c>
      <c r="C1329" s="18" t="s">
        <v>316</v>
      </c>
      <c r="D1329" s="6" t="s">
        <v>386</v>
      </c>
      <c r="E1329" s="6" t="s">
        <v>47</v>
      </c>
      <c r="F1329" s="6" t="s">
        <v>656</v>
      </c>
      <c r="G1329" s="7">
        <v>270.97000000000003</v>
      </c>
    </row>
    <row r="1330" spans="1:7" x14ac:dyDescent="0.3">
      <c r="A1330" s="18">
        <v>46098</v>
      </c>
      <c r="B1330" s="18" t="s">
        <v>51</v>
      </c>
      <c r="C1330" s="18" t="s">
        <v>316</v>
      </c>
      <c r="D1330" s="6" t="s">
        <v>386</v>
      </c>
      <c r="E1330" s="6" t="s">
        <v>57</v>
      </c>
      <c r="F1330" s="6" t="s">
        <v>656</v>
      </c>
      <c r="G1330" s="7">
        <v>5.9</v>
      </c>
    </row>
    <row r="1331" spans="1:7" x14ac:dyDescent="0.3">
      <c r="A1331" s="18">
        <v>46112</v>
      </c>
      <c r="B1331" s="18" t="s">
        <v>51</v>
      </c>
      <c r="C1331" s="18" t="s">
        <v>316</v>
      </c>
      <c r="D1331" s="6" t="s">
        <v>386</v>
      </c>
      <c r="E1331" s="6" t="s">
        <v>581</v>
      </c>
      <c r="F1331" s="6" t="s">
        <v>656</v>
      </c>
      <c r="G1331" s="7">
        <v>72.319999999999993</v>
      </c>
    </row>
    <row r="1332" spans="1:7" x14ac:dyDescent="0.3">
      <c r="A1332" s="18">
        <v>46112</v>
      </c>
      <c r="B1332" s="18" t="s">
        <v>51</v>
      </c>
      <c r="C1332" s="18" t="s">
        <v>316</v>
      </c>
      <c r="D1332" s="6" t="s">
        <v>386</v>
      </c>
      <c r="E1332" s="6" t="s">
        <v>47</v>
      </c>
      <c r="F1332" s="6" t="s">
        <v>656</v>
      </c>
      <c r="G1332" s="7">
        <v>125.32</v>
      </c>
    </row>
    <row r="1333" spans="1:7" x14ac:dyDescent="0.3">
      <c r="A1333" s="18">
        <v>46105</v>
      </c>
      <c r="B1333" s="18" t="s">
        <v>51</v>
      </c>
      <c r="C1333" s="18" t="s">
        <v>316</v>
      </c>
      <c r="D1333" s="6" t="s">
        <v>576</v>
      </c>
      <c r="E1333" s="6" t="s">
        <v>47</v>
      </c>
      <c r="F1333" s="6" t="s">
        <v>656</v>
      </c>
      <c r="G1333" s="7">
        <v>334.96</v>
      </c>
    </row>
    <row r="1334" spans="1:7" x14ac:dyDescent="0.3">
      <c r="A1334" s="18">
        <v>46105</v>
      </c>
      <c r="B1334" s="18" t="s">
        <v>51</v>
      </c>
      <c r="C1334" s="18" t="s">
        <v>316</v>
      </c>
      <c r="D1334" s="6" t="s">
        <v>576</v>
      </c>
      <c r="E1334" s="6" t="s">
        <v>47</v>
      </c>
      <c r="F1334" s="6" t="s">
        <v>656</v>
      </c>
      <c r="G1334" s="7">
        <v>339.77</v>
      </c>
    </row>
    <row r="1335" spans="1:7" x14ac:dyDescent="0.3">
      <c r="A1335" s="18">
        <v>46113</v>
      </c>
      <c r="B1335" s="18" t="s">
        <v>51</v>
      </c>
      <c r="C1335" s="18" t="s">
        <v>316</v>
      </c>
      <c r="D1335" s="6" t="s">
        <v>770</v>
      </c>
      <c r="E1335" s="6" t="s">
        <v>47</v>
      </c>
      <c r="F1335" s="6" t="s">
        <v>656</v>
      </c>
      <c r="G1335" s="7">
        <v>363.38</v>
      </c>
    </row>
    <row r="1336" spans="1:7" x14ac:dyDescent="0.3">
      <c r="A1336" s="18">
        <v>46067</v>
      </c>
      <c r="B1336" s="18" t="s">
        <v>51</v>
      </c>
      <c r="C1336" s="18" t="s">
        <v>316</v>
      </c>
      <c r="D1336" s="6" t="s">
        <v>478</v>
      </c>
      <c r="E1336" s="6" t="s">
        <v>47</v>
      </c>
      <c r="F1336" s="6" t="s">
        <v>656</v>
      </c>
      <c r="G1336" s="7">
        <v>11.9</v>
      </c>
    </row>
    <row r="1337" spans="1:7" x14ac:dyDescent="0.3">
      <c r="A1337" s="18">
        <v>46031</v>
      </c>
      <c r="B1337" s="18" t="s">
        <v>51</v>
      </c>
      <c r="C1337" s="18" t="s">
        <v>316</v>
      </c>
      <c r="D1337" s="6" t="s">
        <v>367</v>
      </c>
      <c r="E1337" s="6" t="s">
        <v>57</v>
      </c>
      <c r="F1337" s="6" t="s">
        <v>656</v>
      </c>
      <c r="G1337" s="7">
        <v>31.7</v>
      </c>
    </row>
    <row r="1338" spans="1:7" x14ac:dyDescent="0.3">
      <c r="A1338" s="18">
        <v>46036</v>
      </c>
      <c r="B1338" s="18" t="s">
        <v>51</v>
      </c>
      <c r="C1338" s="18" t="s">
        <v>316</v>
      </c>
      <c r="D1338" s="6" t="s">
        <v>367</v>
      </c>
      <c r="E1338" s="6" t="s">
        <v>47</v>
      </c>
      <c r="F1338" s="6" t="s">
        <v>656</v>
      </c>
      <c r="G1338" s="7">
        <v>43.6</v>
      </c>
    </row>
    <row r="1339" spans="1:7" x14ac:dyDescent="0.3">
      <c r="A1339" s="18">
        <v>46041</v>
      </c>
      <c r="B1339" s="18" t="s">
        <v>51</v>
      </c>
      <c r="C1339" s="18" t="s">
        <v>316</v>
      </c>
      <c r="D1339" s="6" t="s">
        <v>367</v>
      </c>
      <c r="E1339" s="6" t="s">
        <v>57</v>
      </c>
      <c r="F1339" s="6" t="s">
        <v>656</v>
      </c>
      <c r="G1339" s="7">
        <v>102.3</v>
      </c>
    </row>
    <row r="1340" spans="1:7" x14ac:dyDescent="0.3">
      <c r="A1340" s="18">
        <v>46062</v>
      </c>
      <c r="B1340" s="18" t="s">
        <v>51</v>
      </c>
      <c r="C1340" s="18" t="s">
        <v>316</v>
      </c>
      <c r="D1340" s="6" t="s">
        <v>367</v>
      </c>
      <c r="E1340" s="6" t="s">
        <v>57</v>
      </c>
      <c r="F1340" s="6" t="s">
        <v>656</v>
      </c>
      <c r="G1340" s="7">
        <v>34.799999999999997</v>
      </c>
    </row>
    <row r="1341" spans="1:7" x14ac:dyDescent="0.3">
      <c r="A1341" s="18">
        <v>46113</v>
      </c>
      <c r="B1341" s="18" t="s">
        <v>51</v>
      </c>
      <c r="C1341" s="18" t="s">
        <v>316</v>
      </c>
      <c r="D1341" s="6" t="s">
        <v>367</v>
      </c>
      <c r="E1341" s="6" t="s">
        <v>57</v>
      </c>
      <c r="F1341" s="6" t="s">
        <v>656</v>
      </c>
      <c r="G1341" s="7">
        <v>92.1</v>
      </c>
    </row>
    <row r="1342" spans="1:7" x14ac:dyDescent="0.3">
      <c r="A1342" s="18">
        <v>46113</v>
      </c>
      <c r="B1342" s="18" t="s">
        <v>51</v>
      </c>
      <c r="C1342" s="18" t="s">
        <v>316</v>
      </c>
      <c r="D1342" s="6" t="s">
        <v>367</v>
      </c>
      <c r="E1342" s="6" t="s">
        <v>57</v>
      </c>
      <c r="F1342" s="6" t="s">
        <v>656</v>
      </c>
      <c r="G1342" s="7">
        <v>38.700000000000003</v>
      </c>
    </row>
    <row r="1343" spans="1:7" x14ac:dyDescent="0.3">
      <c r="A1343" s="18">
        <v>46113</v>
      </c>
      <c r="B1343" s="18" t="s">
        <v>51</v>
      </c>
      <c r="C1343" s="18" t="s">
        <v>316</v>
      </c>
      <c r="D1343" s="6" t="s">
        <v>729</v>
      </c>
      <c r="E1343" s="6" t="s">
        <v>47</v>
      </c>
      <c r="F1343" s="6" t="s">
        <v>656</v>
      </c>
      <c r="G1343" s="7">
        <v>540</v>
      </c>
    </row>
    <row r="1344" spans="1:7" x14ac:dyDescent="0.3">
      <c r="A1344" s="18">
        <v>46148</v>
      </c>
      <c r="B1344" s="18" t="s">
        <v>51</v>
      </c>
      <c r="C1344" s="18" t="s">
        <v>316</v>
      </c>
      <c r="D1344" s="6" t="s">
        <v>729</v>
      </c>
      <c r="E1344" s="6" t="s">
        <v>47</v>
      </c>
      <c r="F1344" s="6" t="s">
        <v>656</v>
      </c>
      <c r="G1344" s="7">
        <v>562.74</v>
      </c>
    </row>
    <row r="1345" spans="1:7" x14ac:dyDescent="0.3">
      <c r="A1345" s="18">
        <v>46027</v>
      </c>
      <c r="B1345" s="18" t="s">
        <v>51</v>
      </c>
      <c r="C1345" s="18" t="s">
        <v>316</v>
      </c>
      <c r="D1345" s="6" t="s">
        <v>335</v>
      </c>
      <c r="E1345" s="6" t="s">
        <v>57</v>
      </c>
      <c r="F1345" s="6" t="s">
        <v>656</v>
      </c>
      <c r="G1345" s="7">
        <v>87.36</v>
      </c>
    </row>
    <row r="1346" spans="1:7" x14ac:dyDescent="0.3">
      <c r="A1346" s="18">
        <v>46097</v>
      </c>
      <c r="B1346" s="18" t="s">
        <v>51</v>
      </c>
      <c r="C1346" s="18" t="s">
        <v>316</v>
      </c>
      <c r="D1346" s="6" t="s">
        <v>335</v>
      </c>
      <c r="E1346" s="6" t="s">
        <v>57</v>
      </c>
      <c r="F1346" s="6" t="s">
        <v>656</v>
      </c>
      <c r="G1346" s="7">
        <v>87.36</v>
      </c>
    </row>
    <row r="1347" spans="1:7" x14ac:dyDescent="0.3">
      <c r="A1347" s="18">
        <v>46113</v>
      </c>
      <c r="B1347" s="18" t="s">
        <v>51</v>
      </c>
      <c r="C1347" s="18" t="s">
        <v>316</v>
      </c>
      <c r="D1347" s="6" t="s">
        <v>335</v>
      </c>
      <c r="E1347" s="6" t="s">
        <v>47</v>
      </c>
      <c r="F1347" s="6" t="s">
        <v>656</v>
      </c>
      <c r="G1347" s="7">
        <v>195.77</v>
      </c>
    </row>
    <row r="1348" spans="1:7" x14ac:dyDescent="0.3">
      <c r="A1348" s="18">
        <v>46146</v>
      </c>
      <c r="B1348" s="18" t="s">
        <v>51</v>
      </c>
      <c r="C1348" s="18" t="s">
        <v>316</v>
      </c>
      <c r="D1348" s="6" t="s">
        <v>877</v>
      </c>
      <c r="E1348" s="6" t="s">
        <v>42</v>
      </c>
      <c r="F1348" s="6" t="s">
        <v>656</v>
      </c>
      <c r="G1348" s="7">
        <v>12.5</v>
      </c>
    </row>
    <row r="1349" spans="1:7" x14ac:dyDescent="0.3">
      <c r="A1349" s="18">
        <v>46187</v>
      </c>
      <c r="B1349" s="18" t="s">
        <v>51</v>
      </c>
      <c r="C1349" s="18" t="s">
        <v>316</v>
      </c>
      <c r="D1349" s="6" t="s">
        <v>1095</v>
      </c>
      <c r="E1349" s="6" t="s">
        <v>47</v>
      </c>
      <c r="F1349" s="6" t="s">
        <v>656</v>
      </c>
      <c r="G1349" s="7">
        <v>6.98</v>
      </c>
    </row>
    <row r="1350" spans="1:7" x14ac:dyDescent="0.3">
      <c r="A1350" s="18">
        <v>46091</v>
      </c>
      <c r="B1350" s="18" t="s">
        <v>51</v>
      </c>
      <c r="C1350" s="18" t="s">
        <v>316</v>
      </c>
      <c r="D1350" s="6" t="s">
        <v>548</v>
      </c>
      <c r="E1350" s="6" t="s">
        <v>47</v>
      </c>
      <c r="F1350" s="6" t="s">
        <v>656</v>
      </c>
      <c r="G1350" s="7">
        <v>231.65</v>
      </c>
    </row>
    <row r="1351" spans="1:7" x14ac:dyDescent="0.3">
      <c r="A1351" s="18">
        <v>46113</v>
      </c>
      <c r="B1351" s="18" t="s">
        <v>51</v>
      </c>
      <c r="C1351" s="18" t="s">
        <v>316</v>
      </c>
      <c r="D1351" s="6" t="s">
        <v>548</v>
      </c>
      <c r="E1351" s="6" t="s">
        <v>57</v>
      </c>
      <c r="F1351" s="6" t="s">
        <v>656</v>
      </c>
      <c r="G1351" s="7">
        <v>228.26</v>
      </c>
    </row>
    <row r="1352" spans="1:7" x14ac:dyDescent="0.3">
      <c r="A1352" s="18">
        <v>46038</v>
      </c>
      <c r="B1352" s="18" t="s">
        <v>51</v>
      </c>
      <c r="C1352" s="18" t="s">
        <v>316</v>
      </c>
      <c r="D1352" s="6" t="s">
        <v>390</v>
      </c>
      <c r="E1352" s="6" t="s">
        <v>47</v>
      </c>
      <c r="F1352" s="6" t="s">
        <v>656</v>
      </c>
      <c r="G1352" s="7">
        <v>40.54</v>
      </c>
    </row>
    <row r="1353" spans="1:7" x14ac:dyDescent="0.3">
      <c r="A1353" s="18">
        <v>46113</v>
      </c>
      <c r="B1353" s="18" t="s">
        <v>51</v>
      </c>
      <c r="C1353" s="18" t="s">
        <v>316</v>
      </c>
      <c r="D1353" s="6" t="s">
        <v>390</v>
      </c>
      <c r="E1353" s="6" t="s">
        <v>47</v>
      </c>
      <c r="F1353" s="6" t="s">
        <v>656</v>
      </c>
      <c r="G1353" s="7">
        <v>64.400000000000006</v>
      </c>
    </row>
    <row r="1354" spans="1:7" x14ac:dyDescent="0.3">
      <c r="A1354" s="18">
        <v>46186</v>
      </c>
      <c r="B1354" s="18" t="s">
        <v>51</v>
      </c>
      <c r="C1354" s="18" t="s">
        <v>316</v>
      </c>
      <c r="D1354" s="6" t="s">
        <v>390</v>
      </c>
      <c r="E1354" s="6" t="s">
        <v>47</v>
      </c>
      <c r="F1354" s="6" t="s">
        <v>656</v>
      </c>
      <c r="G1354" s="7">
        <v>31.7</v>
      </c>
    </row>
    <row r="1355" spans="1:7" x14ac:dyDescent="0.3">
      <c r="A1355" s="18">
        <v>46190</v>
      </c>
      <c r="B1355" s="18" t="s">
        <v>51</v>
      </c>
      <c r="C1355" s="18" t="s">
        <v>316</v>
      </c>
      <c r="D1355" s="6" t="s">
        <v>390</v>
      </c>
      <c r="E1355" s="6" t="s">
        <v>47</v>
      </c>
      <c r="F1355" s="6" t="s">
        <v>656</v>
      </c>
      <c r="G1355" s="7">
        <v>43.12</v>
      </c>
    </row>
    <row r="1356" spans="1:7" x14ac:dyDescent="0.3">
      <c r="A1356" s="18">
        <v>46151</v>
      </c>
      <c r="B1356" s="18" t="s">
        <v>51</v>
      </c>
      <c r="C1356" s="18" t="s">
        <v>316</v>
      </c>
      <c r="D1356" s="6" t="s">
        <v>887</v>
      </c>
      <c r="E1356" s="6" t="s">
        <v>47</v>
      </c>
      <c r="F1356" s="6" t="s">
        <v>656</v>
      </c>
      <c r="G1356" s="7">
        <v>164.98</v>
      </c>
    </row>
    <row r="1357" spans="1:7" x14ac:dyDescent="0.3">
      <c r="A1357" s="18">
        <v>46079</v>
      </c>
      <c r="B1357" s="18" t="s">
        <v>51</v>
      </c>
      <c r="C1357" s="18" t="s">
        <v>316</v>
      </c>
      <c r="D1357" s="6" t="s">
        <v>515</v>
      </c>
      <c r="E1357" s="6" t="s">
        <v>42</v>
      </c>
      <c r="F1357" s="6" t="s">
        <v>656</v>
      </c>
      <c r="G1357" s="7">
        <v>76.84</v>
      </c>
    </row>
    <row r="1358" spans="1:7" x14ac:dyDescent="0.3">
      <c r="A1358" s="18">
        <v>46040</v>
      </c>
      <c r="B1358" s="18" t="s">
        <v>51</v>
      </c>
      <c r="C1358" s="18" t="s">
        <v>316</v>
      </c>
      <c r="D1358" s="6" t="s">
        <v>397</v>
      </c>
      <c r="E1358" s="6" t="s">
        <v>47</v>
      </c>
      <c r="F1358" s="6" t="s">
        <v>656</v>
      </c>
      <c r="G1358" s="7">
        <v>187</v>
      </c>
    </row>
    <row r="1359" spans="1:7" x14ac:dyDescent="0.3">
      <c r="A1359" s="18">
        <v>46156</v>
      </c>
      <c r="B1359" s="18" t="s">
        <v>51</v>
      </c>
      <c r="C1359" s="18" t="s">
        <v>316</v>
      </c>
      <c r="D1359" s="6" t="s">
        <v>899</v>
      </c>
      <c r="E1359" s="6" t="s">
        <v>47</v>
      </c>
      <c r="F1359" s="6" t="s">
        <v>656</v>
      </c>
      <c r="G1359" s="7">
        <v>420.65</v>
      </c>
    </row>
    <row r="1360" spans="1:7" x14ac:dyDescent="0.3">
      <c r="A1360" s="18">
        <v>46041</v>
      </c>
      <c r="B1360" s="18" t="s">
        <v>51</v>
      </c>
      <c r="C1360" s="18" t="s">
        <v>316</v>
      </c>
      <c r="D1360" s="6" t="s">
        <v>409</v>
      </c>
      <c r="E1360" s="6" t="s">
        <v>47</v>
      </c>
      <c r="F1360" s="6" t="s">
        <v>656</v>
      </c>
      <c r="G1360" s="7">
        <v>289.31</v>
      </c>
    </row>
    <row r="1361" spans="1:7" x14ac:dyDescent="0.3">
      <c r="A1361" s="18">
        <v>46162</v>
      </c>
      <c r="B1361" s="18" t="s">
        <v>51</v>
      </c>
      <c r="C1361" s="18" t="s">
        <v>316</v>
      </c>
      <c r="D1361" s="6" t="s">
        <v>909</v>
      </c>
      <c r="E1361" s="6" t="s">
        <v>42</v>
      </c>
      <c r="F1361" s="6" t="s">
        <v>656</v>
      </c>
      <c r="G1361" s="7">
        <v>54.82</v>
      </c>
    </row>
    <row r="1362" spans="1:7" x14ac:dyDescent="0.3">
      <c r="A1362" s="18">
        <v>46030</v>
      </c>
      <c r="B1362" s="18" t="s">
        <v>51</v>
      </c>
      <c r="C1362" s="18" t="s">
        <v>316</v>
      </c>
      <c r="D1362" s="6" t="s">
        <v>358</v>
      </c>
      <c r="E1362" s="6" t="s">
        <v>47</v>
      </c>
      <c r="F1362" s="6" t="s">
        <v>656</v>
      </c>
      <c r="G1362" s="7">
        <v>574.04</v>
      </c>
    </row>
    <row r="1363" spans="1:7" x14ac:dyDescent="0.3">
      <c r="A1363" s="18">
        <v>46033</v>
      </c>
      <c r="B1363" s="18" t="s">
        <v>51</v>
      </c>
      <c r="C1363" s="18" t="s">
        <v>316</v>
      </c>
      <c r="D1363" s="6" t="s">
        <v>371</v>
      </c>
      <c r="E1363" s="6" t="s">
        <v>47</v>
      </c>
      <c r="F1363" s="6" t="s">
        <v>656</v>
      </c>
      <c r="G1363" s="7">
        <v>532.23</v>
      </c>
    </row>
    <row r="1364" spans="1:7" x14ac:dyDescent="0.3">
      <c r="A1364" s="18">
        <v>46100</v>
      </c>
      <c r="B1364" s="18" t="s">
        <v>51</v>
      </c>
      <c r="C1364" s="18" t="s">
        <v>316</v>
      </c>
      <c r="D1364" s="6" t="s">
        <v>568</v>
      </c>
      <c r="E1364" s="6" t="s">
        <v>47</v>
      </c>
      <c r="F1364" s="6" t="s">
        <v>656</v>
      </c>
      <c r="G1364" s="7">
        <v>183.06</v>
      </c>
    </row>
    <row r="1365" spans="1:7" x14ac:dyDescent="0.3">
      <c r="A1365" s="18">
        <v>46113</v>
      </c>
      <c r="B1365" s="18" t="s">
        <v>51</v>
      </c>
      <c r="C1365" s="18" t="s">
        <v>316</v>
      </c>
      <c r="D1365" s="6" t="s">
        <v>568</v>
      </c>
      <c r="E1365" s="6" t="s">
        <v>47</v>
      </c>
      <c r="F1365" s="6" t="s">
        <v>656</v>
      </c>
      <c r="G1365" s="7">
        <v>505.11</v>
      </c>
    </row>
    <row r="1366" spans="1:7" x14ac:dyDescent="0.3">
      <c r="A1366" s="18">
        <v>46054</v>
      </c>
      <c r="B1366" s="18" t="s">
        <v>51</v>
      </c>
      <c r="C1366" s="18" t="s">
        <v>316</v>
      </c>
      <c r="D1366" s="6" t="s">
        <v>460</v>
      </c>
      <c r="E1366" s="6" t="s">
        <v>47</v>
      </c>
      <c r="F1366" s="6" t="s">
        <v>656</v>
      </c>
      <c r="G1366" s="7">
        <v>261.99</v>
      </c>
    </row>
    <row r="1367" spans="1:7" x14ac:dyDescent="0.3">
      <c r="A1367" s="18">
        <v>46100</v>
      </c>
      <c r="B1367" s="18" t="s">
        <v>51</v>
      </c>
      <c r="C1367" s="18" t="s">
        <v>316</v>
      </c>
      <c r="D1367" s="6" t="s">
        <v>460</v>
      </c>
      <c r="E1367" s="6" t="s">
        <v>57</v>
      </c>
      <c r="F1367" s="6" t="s">
        <v>656</v>
      </c>
      <c r="G1367" s="7">
        <v>122.99</v>
      </c>
    </row>
    <row r="1368" spans="1:7" x14ac:dyDescent="0.3">
      <c r="A1368" s="18">
        <v>46113</v>
      </c>
      <c r="B1368" s="18" t="s">
        <v>51</v>
      </c>
      <c r="C1368" s="18" t="s">
        <v>316</v>
      </c>
      <c r="D1368" s="6" t="s">
        <v>738</v>
      </c>
      <c r="E1368" s="6" t="s">
        <v>57</v>
      </c>
      <c r="F1368" s="6" t="s">
        <v>656</v>
      </c>
      <c r="G1368" s="7">
        <v>11</v>
      </c>
    </row>
    <row r="1369" spans="1:7" x14ac:dyDescent="0.3">
      <c r="A1369" s="18">
        <v>46027</v>
      </c>
      <c r="B1369" s="18" t="s">
        <v>51</v>
      </c>
      <c r="C1369" s="18" t="s">
        <v>316</v>
      </c>
      <c r="D1369" s="6" t="s">
        <v>336</v>
      </c>
      <c r="E1369" s="6" t="s">
        <v>47</v>
      </c>
      <c r="F1369" s="6" t="s">
        <v>656</v>
      </c>
      <c r="G1369" s="7">
        <v>488.16</v>
      </c>
    </row>
    <row r="1370" spans="1:7" x14ac:dyDescent="0.3">
      <c r="A1370" s="18">
        <v>46066</v>
      </c>
      <c r="B1370" s="18" t="s">
        <v>51</v>
      </c>
      <c r="C1370" s="18" t="s">
        <v>316</v>
      </c>
      <c r="D1370" s="6" t="s">
        <v>336</v>
      </c>
      <c r="E1370" s="6" t="s">
        <v>47</v>
      </c>
      <c r="F1370" s="6" t="s">
        <v>656</v>
      </c>
      <c r="G1370" s="7">
        <v>841.32</v>
      </c>
    </row>
    <row r="1371" spans="1:7" x14ac:dyDescent="0.3">
      <c r="A1371" s="18">
        <v>46035</v>
      </c>
      <c r="B1371" s="18" t="s">
        <v>51</v>
      </c>
      <c r="C1371" s="18" t="s">
        <v>316</v>
      </c>
      <c r="D1371" s="6" t="s">
        <v>372</v>
      </c>
      <c r="E1371" s="6" t="s">
        <v>47</v>
      </c>
      <c r="F1371" s="6" t="s">
        <v>656</v>
      </c>
      <c r="G1371" s="7">
        <v>916.72</v>
      </c>
    </row>
    <row r="1372" spans="1:7" x14ac:dyDescent="0.3">
      <c r="A1372" s="18">
        <v>46031</v>
      </c>
      <c r="B1372" s="18" t="s">
        <v>51</v>
      </c>
      <c r="C1372" s="18" t="s">
        <v>316</v>
      </c>
      <c r="D1372" s="6" t="s">
        <v>363</v>
      </c>
      <c r="E1372" s="6" t="s">
        <v>57</v>
      </c>
      <c r="F1372" s="6" t="s">
        <v>656</v>
      </c>
      <c r="G1372" s="7">
        <v>148</v>
      </c>
    </row>
    <row r="1373" spans="1:7" x14ac:dyDescent="0.3">
      <c r="A1373" s="18">
        <v>46076</v>
      </c>
      <c r="B1373" s="18" t="s">
        <v>51</v>
      </c>
      <c r="C1373" s="18" t="s">
        <v>316</v>
      </c>
      <c r="D1373" s="6" t="s">
        <v>506</v>
      </c>
      <c r="E1373" s="6" t="s">
        <v>42</v>
      </c>
      <c r="F1373" s="6" t="s">
        <v>656</v>
      </c>
      <c r="G1373" s="7">
        <v>112.9</v>
      </c>
    </row>
    <row r="1374" spans="1:7" x14ac:dyDescent="0.3">
      <c r="A1374" s="18">
        <v>46036</v>
      </c>
      <c r="B1374" s="18" t="s">
        <v>51</v>
      </c>
      <c r="C1374" s="18" t="s">
        <v>316</v>
      </c>
      <c r="D1374" s="6" t="s">
        <v>381</v>
      </c>
      <c r="E1374" s="6" t="s">
        <v>42</v>
      </c>
      <c r="F1374" s="6" t="s">
        <v>656</v>
      </c>
      <c r="G1374" s="7">
        <v>61.7</v>
      </c>
    </row>
    <row r="1375" spans="1:7" x14ac:dyDescent="0.3">
      <c r="A1375" s="18">
        <v>46054</v>
      </c>
      <c r="B1375" s="18" t="s">
        <v>51</v>
      </c>
      <c r="C1375" s="18" t="s">
        <v>316</v>
      </c>
      <c r="D1375" s="6" t="s">
        <v>381</v>
      </c>
      <c r="E1375" s="6" t="s">
        <v>57</v>
      </c>
      <c r="F1375" s="6" t="s">
        <v>661</v>
      </c>
      <c r="G1375" s="7">
        <v>123.87</v>
      </c>
    </row>
    <row r="1376" spans="1:7" x14ac:dyDescent="0.3">
      <c r="A1376" s="18">
        <v>46026</v>
      </c>
      <c r="B1376" s="18" t="s">
        <v>51</v>
      </c>
      <c r="C1376" s="18" t="s">
        <v>316</v>
      </c>
      <c r="D1376" s="6" t="s">
        <v>329</v>
      </c>
      <c r="E1376" s="6" t="s">
        <v>47</v>
      </c>
      <c r="F1376" s="6" t="s">
        <v>656</v>
      </c>
      <c r="G1376" s="7">
        <v>10</v>
      </c>
    </row>
    <row r="1377" spans="1:7" x14ac:dyDescent="0.3">
      <c r="A1377" s="18">
        <v>46026</v>
      </c>
      <c r="B1377" s="18" t="s">
        <v>51</v>
      </c>
      <c r="C1377" s="18" t="s">
        <v>316</v>
      </c>
      <c r="D1377" s="6" t="s">
        <v>329</v>
      </c>
      <c r="E1377" s="6" t="s">
        <v>47</v>
      </c>
      <c r="F1377" s="6" t="s">
        <v>656</v>
      </c>
      <c r="G1377" s="7">
        <v>29</v>
      </c>
    </row>
    <row r="1378" spans="1:7" x14ac:dyDescent="0.3">
      <c r="A1378" s="18">
        <v>46098</v>
      </c>
      <c r="B1378" s="18" t="s">
        <v>51</v>
      </c>
      <c r="C1378" s="18" t="s">
        <v>316</v>
      </c>
      <c r="D1378" s="6" t="s">
        <v>566</v>
      </c>
      <c r="E1378" s="6" t="s">
        <v>57</v>
      </c>
      <c r="F1378" s="6" t="s">
        <v>656</v>
      </c>
      <c r="G1378" s="7">
        <v>95</v>
      </c>
    </row>
    <row r="1379" spans="1:7" x14ac:dyDescent="0.3">
      <c r="A1379" s="18">
        <v>46099</v>
      </c>
      <c r="B1379" s="18" t="s">
        <v>51</v>
      </c>
      <c r="C1379" s="18" t="s">
        <v>316</v>
      </c>
      <c r="D1379" s="6" t="s">
        <v>566</v>
      </c>
      <c r="E1379" s="6" t="s">
        <v>57</v>
      </c>
      <c r="F1379" s="6" t="s">
        <v>656</v>
      </c>
      <c r="G1379" s="7">
        <v>144.59</v>
      </c>
    </row>
    <row r="1380" spans="1:7" x14ac:dyDescent="0.3">
      <c r="A1380" s="18">
        <v>46113</v>
      </c>
      <c r="B1380" s="18" t="s">
        <v>51</v>
      </c>
      <c r="C1380" s="18" t="s">
        <v>316</v>
      </c>
      <c r="D1380" s="6" t="s">
        <v>566</v>
      </c>
      <c r="E1380" s="6" t="s">
        <v>57</v>
      </c>
      <c r="F1380" s="6" t="s">
        <v>656</v>
      </c>
      <c r="G1380" s="7">
        <v>221.08</v>
      </c>
    </row>
    <row r="1381" spans="1:7" x14ac:dyDescent="0.3">
      <c r="A1381" s="18">
        <v>46149</v>
      </c>
      <c r="B1381" s="18" t="s">
        <v>51</v>
      </c>
      <c r="C1381" s="18" t="s">
        <v>316</v>
      </c>
      <c r="D1381" s="6" t="s">
        <v>566</v>
      </c>
      <c r="E1381" s="6" t="s">
        <v>47</v>
      </c>
      <c r="F1381" s="6" t="s">
        <v>656</v>
      </c>
      <c r="G1381" s="7">
        <v>213.36</v>
      </c>
    </row>
    <row r="1382" spans="1:7" x14ac:dyDescent="0.3">
      <c r="A1382" s="18">
        <v>46190</v>
      </c>
      <c r="B1382" s="18" t="s">
        <v>51</v>
      </c>
      <c r="C1382" s="18" t="s">
        <v>316</v>
      </c>
      <c r="D1382" s="6" t="s">
        <v>566</v>
      </c>
      <c r="E1382" s="6" t="s">
        <v>57</v>
      </c>
      <c r="F1382" s="6" t="s">
        <v>656</v>
      </c>
      <c r="G1382" s="7">
        <v>211.68</v>
      </c>
    </row>
    <row r="1383" spans="1:7" x14ac:dyDescent="0.3">
      <c r="A1383" s="18">
        <v>46057</v>
      </c>
      <c r="B1383" s="18" t="s">
        <v>51</v>
      </c>
      <c r="C1383" s="18" t="s">
        <v>316</v>
      </c>
      <c r="D1383" s="6" t="s">
        <v>574</v>
      </c>
      <c r="E1383" s="6" t="s">
        <v>47</v>
      </c>
      <c r="F1383" s="6" t="s">
        <v>661</v>
      </c>
      <c r="G1383" s="7">
        <v>308</v>
      </c>
    </row>
    <row r="1384" spans="1:7" x14ac:dyDescent="0.3">
      <c r="A1384" s="18">
        <v>46104</v>
      </c>
      <c r="B1384" s="18" t="s">
        <v>51</v>
      </c>
      <c r="C1384" s="18" t="s">
        <v>316</v>
      </c>
      <c r="D1384" s="6" t="s">
        <v>574</v>
      </c>
      <c r="E1384" s="6" t="s">
        <v>47</v>
      </c>
      <c r="F1384" s="6" t="s">
        <v>656</v>
      </c>
      <c r="G1384" s="7">
        <v>288.14999999999998</v>
      </c>
    </row>
    <row r="1385" spans="1:7" x14ac:dyDescent="0.3">
      <c r="A1385" s="18">
        <v>46096</v>
      </c>
      <c r="B1385" s="18" t="s">
        <v>51</v>
      </c>
      <c r="C1385" s="18" t="s">
        <v>316</v>
      </c>
      <c r="D1385" s="6" t="s">
        <v>560</v>
      </c>
      <c r="E1385" s="6" t="s">
        <v>57</v>
      </c>
      <c r="F1385" s="6" t="s">
        <v>656</v>
      </c>
      <c r="G1385" s="7">
        <v>15</v>
      </c>
    </row>
    <row r="1386" spans="1:7" x14ac:dyDescent="0.3">
      <c r="A1386" s="18">
        <v>46066</v>
      </c>
      <c r="B1386" s="18" t="s">
        <v>51</v>
      </c>
      <c r="C1386" s="18" t="s">
        <v>316</v>
      </c>
      <c r="D1386" s="6" t="s">
        <v>470</v>
      </c>
      <c r="E1386" s="6" t="s">
        <v>57</v>
      </c>
      <c r="F1386" s="6" t="s">
        <v>656</v>
      </c>
      <c r="G1386" s="7">
        <v>81.400000000000006</v>
      </c>
    </row>
    <row r="1387" spans="1:7" x14ac:dyDescent="0.3">
      <c r="A1387" s="18">
        <v>46099</v>
      </c>
      <c r="B1387" s="18" t="s">
        <v>51</v>
      </c>
      <c r="C1387" s="18" t="s">
        <v>316</v>
      </c>
      <c r="D1387" s="6" t="s">
        <v>470</v>
      </c>
      <c r="E1387" s="6" t="s">
        <v>57</v>
      </c>
      <c r="F1387" s="6" t="s">
        <v>656</v>
      </c>
      <c r="G1387" s="7">
        <v>97.9</v>
      </c>
    </row>
    <row r="1388" spans="1:7" x14ac:dyDescent="0.3">
      <c r="A1388" s="18">
        <v>46113</v>
      </c>
      <c r="B1388" s="18" t="s">
        <v>51</v>
      </c>
      <c r="C1388" s="18" t="s">
        <v>316</v>
      </c>
      <c r="D1388" s="6" t="s">
        <v>470</v>
      </c>
      <c r="E1388" s="6" t="s">
        <v>57</v>
      </c>
      <c r="F1388" s="6" t="s">
        <v>656</v>
      </c>
      <c r="G1388" s="7">
        <v>94.6</v>
      </c>
    </row>
    <row r="1389" spans="1:7" x14ac:dyDescent="0.3">
      <c r="A1389" s="18">
        <v>46113</v>
      </c>
      <c r="B1389" s="18" t="s">
        <v>51</v>
      </c>
      <c r="C1389" s="18" t="s">
        <v>316</v>
      </c>
      <c r="D1389" s="6" t="s">
        <v>470</v>
      </c>
      <c r="E1389" s="6" t="s">
        <v>57</v>
      </c>
      <c r="F1389" s="6" t="s">
        <v>656</v>
      </c>
      <c r="G1389" s="7">
        <v>106.7</v>
      </c>
    </row>
    <row r="1390" spans="1:7" x14ac:dyDescent="0.3">
      <c r="A1390" s="18">
        <v>46068</v>
      </c>
      <c r="B1390" s="18" t="s">
        <v>51</v>
      </c>
      <c r="C1390" s="18" t="s">
        <v>316</v>
      </c>
      <c r="D1390" s="6" t="s">
        <v>481</v>
      </c>
      <c r="E1390" s="6" t="s">
        <v>47</v>
      </c>
      <c r="F1390" s="6" t="s">
        <v>656</v>
      </c>
      <c r="G1390" s="7">
        <v>2648.72</v>
      </c>
    </row>
    <row r="1391" spans="1:7" x14ac:dyDescent="0.3">
      <c r="A1391" s="18">
        <v>46112</v>
      </c>
      <c r="B1391" s="18" t="s">
        <v>51</v>
      </c>
      <c r="C1391" s="18" t="s">
        <v>316</v>
      </c>
      <c r="D1391" s="6" t="s">
        <v>611</v>
      </c>
      <c r="E1391" s="6" t="s">
        <v>47</v>
      </c>
      <c r="F1391" s="6" t="s">
        <v>656</v>
      </c>
      <c r="G1391" s="7">
        <v>46.7</v>
      </c>
    </row>
    <row r="1392" spans="1:7" x14ac:dyDescent="0.3">
      <c r="A1392" s="18">
        <v>46192</v>
      </c>
      <c r="B1392" s="18" t="s">
        <v>51</v>
      </c>
      <c r="C1392" s="18" t="s">
        <v>316</v>
      </c>
      <c r="D1392" s="6" t="s">
        <v>1100</v>
      </c>
      <c r="E1392" s="6" t="s">
        <v>47</v>
      </c>
      <c r="F1392" s="6" t="s">
        <v>656</v>
      </c>
      <c r="G1392" s="7">
        <v>77</v>
      </c>
    </row>
    <row r="1393" spans="1:7" x14ac:dyDescent="0.3">
      <c r="A1393" s="18">
        <v>46193</v>
      </c>
      <c r="B1393" s="18" t="s">
        <v>51</v>
      </c>
      <c r="C1393" s="18" t="s">
        <v>316</v>
      </c>
      <c r="D1393" s="6" t="s">
        <v>1100</v>
      </c>
      <c r="E1393" s="6" t="s">
        <v>47</v>
      </c>
      <c r="F1393" s="6" t="s">
        <v>656</v>
      </c>
      <c r="G1393" s="7">
        <v>39.6</v>
      </c>
    </row>
    <row r="1394" spans="1:7" x14ac:dyDescent="0.3">
      <c r="A1394" s="18">
        <v>46040</v>
      </c>
      <c r="B1394" s="18" t="s">
        <v>51</v>
      </c>
      <c r="C1394" s="18" t="s">
        <v>316</v>
      </c>
      <c r="D1394" s="6" t="s">
        <v>404</v>
      </c>
      <c r="E1394" s="6" t="s">
        <v>47</v>
      </c>
      <c r="F1394" s="6" t="s">
        <v>656</v>
      </c>
      <c r="G1394" s="7">
        <v>314.5</v>
      </c>
    </row>
    <row r="1395" spans="1:7" x14ac:dyDescent="0.3">
      <c r="A1395" s="18">
        <v>46162</v>
      </c>
      <c r="B1395" s="18" t="s">
        <v>51</v>
      </c>
      <c r="C1395" s="18" t="s">
        <v>316</v>
      </c>
      <c r="D1395" s="6" t="s">
        <v>910</v>
      </c>
      <c r="E1395" s="6" t="s">
        <v>42</v>
      </c>
      <c r="F1395" s="6" t="s">
        <v>656</v>
      </c>
      <c r="G1395" s="7">
        <v>23.99</v>
      </c>
    </row>
    <row r="1396" spans="1:7" x14ac:dyDescent="0.3">
      <c r="A1396" s="18">
        <v>46036</v>
      </c>
      <c r="B1396" s="18" t="s">
        <v>51</v>
      </c>
      <c r="C1396" s="18" t="s">
        <v>316</v>
      </c>
      <c r="D1396" s="6" t="s">
        <v>383</v>
      </c>
      <c r="E1396" s="6" t="s">
        <v>47</v>
      </c>
      <c r="F1396" s="6" t="s">
        <v>656</v>
      </c>
      <c r="G1396" s="7">
        <v>1012.99</v>
      </c>
    </row>
    <row r="1397" spans="1:7" x14ac:dyDescent="0.3">
      <c r="A1397" s="18">
        <v>46155</v>
      </c>
      <c r="B1397" s="18" t="s">
        <v>51</v>
      </c>
      <c r="C1397" s="18" t="s">
        <v>316</v>
      </c>
      <c r="D1397" s="6" t="s">
        <v>895</v>
      </c>
      <c r="E1397" s="6" t="s">
        <v>57</v>
      </c>
      <c r="F1397" s="6" t="s">
        <v>656</v>
      </c>
      <c r="G1397" s="7">
        <v>109.38</v>
      </c>
    </row>
    <row r="1398" spans="1:7" x14ac:dyDescent="0.3">
      <c r="A1398" s="18">
        <v>46058</v>
      </c>
      <c r="B1398" s="18" t="s">
        <v>51</v>
      </c>
      <c r="C1398" s="18" t="s">
        <v>316</v>
      </c>
      <c r="D1398" s="6" t="s">
        <v>545</v>
      </c>
      <c r="E1398" s="6" t="s">
        <v>47</v>
      </c>
      <c r="F1398" s="6" t="s">
        <v>661</v>
      </c>
      <c r="G1398" s="7">
        <v>279.11</v>
      </c>
    </row>
    <row r="1399" spans="1:7" x14ac:dyDescent="0.3">
      <c r="A1399" s="18">
        <v>46090</v>
      </c>
      <c r="B1399" s="18" t="s">
        <v>51</v>
      </c>
      <c r="C1399" s="18" t="s">
        <v>316</v>
      </c>
      <c r="D1399" s="6" t="s">
        <v>545</v>
      </c>
      <c r="E1399" s="6" t="s">
        <v>47</v>
      </c>
      <c r="F1399" s="6" t="s">
        <v>656</v>
      </c>
      <c r="G1399" s="7">
        <v>8</v>
      </c>
    </row>
    <row r="1400" spans="1:7" x14ac:dyDescent="0.3">
      <c r="A1400" s="18">
        <v>46097</v>
      </c>
      <c r="B1400" s="18" t="s">
        <v>51</v>
      </c>
      <c r="C1400" s="18" t="s">
        <v>316</v>
      </c>
      <c r="D1400" s="6" t="s">
        <v>545</v>
      </c>
      <c r="E1400" s="6" t="s">
        <v>57</v>
      </c>
      <c r="F1400" s="6" t="s">
        <v>656</v>
      </c>
      <c r="G1400" s="7">
        <v>136.72999999999999</v>
      </c>
    </row>
    <row r="1401" spans="1:7" x14ac:dyDescent="0.3">
      <c r="A1401" s="18">
        <v>46097</v>
      </c>
      <c r="B1401" s="18" t="s">
        <v>51</v>
      </c>
      <c r="C1401" s="18" t="s">
        <v>316</v>
      </c>
      <c r="D1401" s="6" t="s">
        <v>562</v>
      </c>
      <c r="E1401" s="6" t="s">
        <v>47</v>
      </c>
      <c r="F1401" s="6" t="s">
        <v>656</v>
      </c>
      <c r="G1401" s="7">
        <v>276.10000000000002</v>
      </c>
    </row>
    <row r="1402" spans="1:7" x14ac:dyDescent="0.3">
      <c r="A1402" s="18">
        <v>46161</v>
      </c>
      <c r="B1402" s="18" t="s">
        <v>51</v>
      </c>
      <c r="C1402" s="18" t="s">
        <v>158</v>
      </c>
      <c r="D1402" s="6" t="s">
        <v>951</v>
      </c>
      <c r="E1402" s="6" t="s">
        <v>47</v>
      </c>
      <c r="F1402" s="6" t="s">
        <v>656</v>
      </c>
      <c r="G1402" s="7">
        <v>4373.34</v>
      </c>
    </row>
    <row r="1403" spans="1:7" x14ac:dyDescent="0.3">
      <c r="A1403" s="18">
        <v>46174</v>
      </c>
      <c r="B1403" s="18" t="s">
        <v>51</v>
      </c>
      <c r="C1403" s="18" t="s">
        <v>158</v>
      </c>
      <c r="D1403" s="6" t="s">
        <v>951</v>
      </c>
      <c r="E1403" s="6" t="s">
        <v>47</v>
      </c>
      <c r="F1403" s="6" t="s">
        <v>656</v>
      </c>
      <c r="G1403" s="7">
        <v>4373.33</v>
      </c>
    </row>
    <row r="1404" spans="1:7" x14ac:dyDescent="0.3">
      <c r="A1404" s="18">
        <v>46065</v>
      </c>
      <c r="B1404" s="18" t="s">
        <v>51</v>
      </c>
      <c r="C1404" s="18" t="s">
        <v>158</v>
      </c>
      <c r="D1404" s="6" t="s">
        <v>876</v>
      </c>
      <c r="E1404" s="6" t="s">
        <v>47</v>
      </c>
      <c r="F1404" s="6" t="s">
        <v>656</v>
      </c>
      <c r="G1404" s="7">
        <v>430.8</v>
      </c>
    </row>
    <row r="1405" spans="1:7" x14ac:dyDescent="0.3">
      <c r="A1405" s="18">
        <v>46082</v>
      </c>
      <c r="B1405" s="18" t="s">
        <v>51</v>
      </c>
      <c r="C1405" s="18" t="s">
        <v>158</v>
      </c>
      <c r="D1405" s="6" t="s">
        <v>876</v>
      </c>
      <c r="E1405" s="6" t="s">
        <v>47</v>
      </c>
      <c r="F1405" s="6" t="s">
        <v>656</v>
      </c>
      <c r="G1405" s="7">
        <v>430.8</v>
      </c>
    </row>
    <row r="1406" spans="1:7" x14ac:dyDescent="0.3">
      <c r="A1406" s="18">
        <v>46113</v>
      </c>
      <c r="B1406" s="18" t="s">
        <v>51</v>
      </c>
      <c r="C1406" s="18" t="s">
        <v>158</v>
      </c>
      <c r="D1406" s="6" t="s">
        <v>876</v>
      </c>
      <c r="E1406" s="6" t="s">
        <v>47</v>
      </c>
      <c r="F1406" s="6" t="s">
        <v>656</v>
      </c>
      <c r="G1406" s="7">
        <v>430.8</v>
      </c>
    </row>
    <row r="1407" spans="1:7" x14ac:dyDescent="0.3">
      <c r="A1407" s="18">
        <v>46143</v>
      </c>
      <c r="B1407" s="18" t="s">
        <v>51</v>
      </c>
      <c r="C1407" s="18" t="s">
        <v>158</v>
      </c>
      <c r="D1407" s="6" t="s">
        <v>876</v>
      </c>
      <c r="E1407" s="6" t="s">
        <v>47</v>
      </c>
      <c r="F1407" s="6" t="s">
        <v>656</v>
      </c>
      <c r="G1407" s="7">
        <v>430.8</v>
      </c>
    </row>
    <row r="1408" spans="1:7" x14ac:dyDescent="0.3">
      <c r="A1408" s="18">
        <v>46174</v>
      </c>
      <c r="B1408" s="18" t="s">
        <v>51</v>
      </c>
      <c r="C1408" s="18" t="s">
        <v>158</v>
      </c>
      <c r="D1408" s="6" t="s">
        <v>876</v>
      </c>
      <c r="E1408" s="6" t="s">
        <v>47</v>
      </c>
      <c r="F1408" s="6" t="s">
        <v>656</v>
      </c>
      <c r="G1408" s="7">
        <v>430.8</v>
      </c>
    </row>
    <row r="1409" spans="1:7" x14ac:dyDescent="0.3">
      <c r="A1409" s="18">
        <v>46113</v>
      </c>
      <c r="B1409" s="18" t="s">
        <v>51</v>
      </c>
      <c r="C1409" s="18" t="s">
        <v>158</v>
      </c>
      <c r="D1409" s="6" t="s">
        <v>949</v>
      </c>
      <c r="E1409" s="6" t="s">
        <v>47</v>
      </c>
      <c r="F1409" s="6" t="s">
        <v>656</v>
      </c>
      <c r="G1409" s="7">
        <v>531.6</v>
      </c>
    </row>
    <row r="1410" spans="1:7" x14ac:dyDescent="0.3">
      <c r="A1410" s="18">
        <v>46186</v>
      </c>
      <c r="B1410" s="18" t="s">
        <v>51</v>
      </c>
      <c r="C1410" s="18" t="s">
        <v>158</v>
      </c>
      <c r="D1410" s="6" t="s">
        <v>949</v>
      </c>
      <c r="E1410" s="6" t="s">
        <v>47</v>
      </c>
      <c r="F1410" s="6" t="s">
        <v>656</v>
      </c>
      <c r="G1410" s="7">
        <v>823.8</v>
      </c>
    </row>
    <row r="1411" spans="1:7" x14ac:dyDescent="0.3">
      <c r="A1411" s="18">
        <v>46156</v>
      </c>
      <c r="B1411" s="18" t="s">
        <v>51</v>
      </c>
      <c r="C1411" s="18" t="s">
        <v>158</v>
      </c>
      <c r="D1411" s="6" t="s">
        <v>900</v>
      </c>
      <c r="E1411" s="6" t="s">
        <v>47</v>
      </c>
      <c r="F1411" s="6" t="s">
        <v>656</v>
      </c>
      <c r="G1411" s="7">
        <v>16695.48</v>
      </c>
    </row>
    <row r="1412" spans="1:7" x14ac:dyDescent="0.3">
      <c r="A1412" s="18">
        <v>46168</v>
      </c>
      <c r="B1412" s="18" t="s">
        <v>51</v>
      </c>
      <c r="C1412" s="18" t="s">
        <v>158</v>
      </c>
      <c r="D1412" s="6" t="s">
        <v>900</v>
      </c>
      <c r="E1412" s="6" t="s">
        <v>47</v>
      </c>
      <c r="F1412" s="6" t="s">
        <v>656</v>
      </c>
      <c r="G1412" s="7">
        <v>7557.92</v>
      </c>
    </row>
    <row r="1413" spans="1:7" x14ac:dyDescent="0.3">
      <c r="A1413" s="18">
        <v>46036</v>
      </c>
      <c r="B1413" s="18" t="s">
        <v>51</v>
      </c>
      <c r="C1413" s="6" t="s">
        <v>158</v>
      </c>
      <c r="D1413" s="6" t="s">
        <v>948</v>
      </c>
      <c r="E1413" s="6" t="s">
        <v>47</v>
      </c>
      <c r="F1413" s="6" t="s">
        <v>659</v>
      </c>
      <c r="G1413" s="7">
        <v>9711</v>
      </c>
    </row>
    <row r="1414" spans="1:7" x14ac:dyDescent="0.3">
      <c r="A1414" s="18">
        <v>46147</v>
      </c>
      <c r="B1414" s="18" t="s">
        <v>51</v>
      </c>
      <c r="C1414" s="18" t="s">
        <v>158</v>
      </c>
      <c r="D1414" s="6" t="s">
        <v>948</v>
      </c>
      <c r="E1414" s="6" t="s">
        <v>47</v>
      </c>
      <c r="F1414" s="6" t="s">
        <v>659</v>
      </c>
      <c r="G1414" s="3">
        <v>10928</v>
      </c>
    </row>
    <row r="1415" spans="1:7" x14ac:dyDescent="0.3">
      <c r="A1415" s="18">
        <v>46155</v>
      </c>
      <c r="B1415" s="18" t="s">
        <v>51</v>
      </c>
      <c r="C1415" s="18" t="s">
        <v>158</v>
      </c>
      <c r="D1415" s="6" t="s">
        <v>892</v>
      </c>
      <c r="E1415" s="6" t="s">
        <v>47</v>
      </c>
      <c r="F1415" s="6" t="s">
        <v>656</v>
      </c>
      <c r="G1415" s="7">
        <v>6955.8</v>
      </c>
    </row>
    <row r="1416" spans="1:7" x14ac:dyDescent="0.3">
      <c r="A1416" s="18">
        <v>46023</v>
      </c>
      <c r="B1416" s="18" t="s">
        <v>51</v>
      </c>
      <c r="C1416" s="18" t="s">
        <v>158</v>
      </c>
      <c r="D1416" s="6" t="s">
        <v>875</v>
      </c>
      <c r="E1416" s="6" t="s">
        <v>47</v>
      </c>
      <c r="F1416" s="6" t="s">
        <v>656</v>
      </c>
      <c r="G1416" s="7">
        <v>729.93</v>
      </c>
    </row>
    <row r="1417" spans="1:7" x14ac:dyDescent="0.3">
      <c r="A1417" s="18">
        <v>46042</v>
      </c>
      <c r="B1417" s="18" t="s">
        <v>51</v>
      </c>
      <c r="C1417" s="18" t="s">
        <v>158</v>
      </c>
      <c r="D1417" s="6" t="s">
        <v>875</v>
      </c>
      <c r="E1417" s="6" t="s">
        <v>47</v>
      </c>
      <c r="F1417" s="6" t="s">
        <v>656</v>
      </c>
      <c r="G1417" s="7">
        <v>784.1</v>
      </c>
    </row>
    <row r="1418" spans="1:7" x14ac:dyDescent="0.3">
      <c r="A1418" s="18">
        <v>46047</v>
      </c>
      <c r="B1418" s="18" t="s">
        <v>51</v>
      </c>
      <c r="C1418" s="18" t="s">
        <v>158</v>
      </c>
      <c r="D1418" s="6" t="s">
        <v>875</v>
      </c>
      <c r="E1418" s="6" t="s">
        <v>47</v>
      </c>
      <c r="F1418" s="6" t="s">
        <v>657</v>
      </c>
      <c r="G1418" s="7">
        <v>733.25</v>
      </c>
    </row>
    <row r="1419" spans="1:7" x14ac:dyDescent="0.3">
      <c r="A1419" s="18">
        <v>46054</v>
      </c>
      <c r="B1419" s="18" t="s">
        <v>51</v>
      </c>
      <c r="C1419" s="18" t="s">
        <v>158</v>
      </c>
      <c r="D1419" s="6" t="s">
        <v>875</v>
      </c>
      <c r="E1419" s="6" t="s">
        <v>47</v>
      </c>
      <c r="F1419" s="6" t="s">
        <v>656</v>
      </c>
      <c r="G1419" s="7">
        <v>729.93</v>
      </c>
    </row>
    <row r="1420" spans="1:7" x14ac:dyDescent="0.3">
      <c r="A1420" s="18">
        <v>46054</v>
      </c>
      <c r="B1420" s="18" t="s">
        <v>51</v>
      </c>
      <c r="C1420" s="18" t="s">
        <v>158</v>
      </c>
      <c r="D1420" s="6" t="s">
        <v>875</v>
      </c>
      <c r="E1420" s="6" t="s">
        <v>47</v>
      </c>
      <c r="F1420" s="6" t="s">
        <v>656</v>
      </c>
      <c r="G1420" s="7">
        <v>784.09</v>
      </c>
    </row>
    <row r="1421" spans="1:7" x14ac:dyDescent="0.3">
      <c r="A1421" s="18">
        <v>46078</v>
      </c>
      <c r="B1421" s="18" t="s">
        <v>51</v>
      </c>
      <c r="C1421" s="18" t="s">
        <v>158</v>
      </c>
      <c r="D1421" s="6" t="s">
        <v>875</v>
      </c>
      <c r="E1421" s="6" t="s">
        <v>47</v>
      </c>
      <c r="F1421" s="6" t="s">
        <v>657</v>
      </c>
      <c r="G1421" s="7">
        <v>733.25</v>
      </c>
    </row>
    <row r="1422" spans="1:7" x14ac:dyDescent="0.3">
      <c r="A1422" s="18">
        <v>46082</v>
      </c>
      <c r="B1422" s="18" t="s">
        <v>51</v>
      </c>
      <c r="C1422" s="18" t="s">
        <v>158</v>
      </c>
      <c r="D1422" s="6" t="s">
        <v>875</v>
      </c>
      <c r="E1422" s="6" t="s">
        <v>47</v>
      </c>
      <c r="F1422" s="6" t="s">
        <v>656</v>
      </c>
      <c r="G1422" s="7">
        <v>729.93</v>
      </c>
    </row>
    <row r="1423" spans="1:7" x14ac:dyDescent="0.3">
      <c r="A1423" s="18">
        <v>46082</v>
      </c>
      <c r="B1423" s="18" t="s">
        <v>51</v>
      </c>
      <c r="C1423" s="18" t="s">
        <v>158</v>
      </c>
      <c r="D1423" s="6" t="s">
        <v>875</v>
      </c>
      <c r="E1423" s="6" t="s">
        <v>47</v>
      </c>
      <c r="F1423" s="6" t="s">
        <v>656</v>
      </c>
      <c r="G1423" s="7">
        <v>784.09</v>
      </c>
    </row>
    <row r="1424" spans="1:7" x14ac:dyDescent="0.3">
      <c r="A1424" s="18">
        <v>46113</v>
      </c>
      <c r="B1424" s="18" t="s">
        <v>51</v>
      </c>
      <c r="C1424" s="18" t="s">
        <v>158</v>
      </c>
      <c r="D1424" s="6" t="s">
        <v>875</v>
      </c>
      <c r="E1424" s="6" t="s">
        <v>47</v>
      </c>
      <c r="F1424" s="6" t="s">
        <v>656</v>
      </c>
      <c r="G1424" s="7">
        <v>729.93</v>
      </c>
    </row>
    <row r="1425" spans="1:7" ht="15" customHeight="1" x14ac:dyDescent="0.3">
      <c r="A1425" s="18">
        <v>46113</v>
      </c>
      <c r="B1425" s="18" t="s">
        <v>51</v>
      </c>
      <c r="C1425" s="18" t="s">
        <v>158</v>
      </c>
      <c r="D1425" s="6" t="s">
        <v>875</v>
      </c>
      <c r="E1425" s="6" t="s">
        <v>47</v>
      </c>
      <c r="F1425" s="6" t="s">
        <v>656</v>
      </c>
      <c r="G1425" s="7">
        <v>784.09</v>
      </c>
    </row>
    <row r="1426" spans="1:7" x14ac:dyDescent="0.3">
      <c r="A1426" s="18">
        <v>46143</v>
      </c>
      <c r="B1426" s="18" t="s">
        <v>51</v>
      </c>
      <c r="C1426" s="18" t="s">
        <v>158</v>
      </c>
      <c r="D1426" s="6" t="s">
        <v>875</v>
      </c>
      <c r="E1426" s="6" t="s">
        <v>47</v>
      </c>
      <c r="F1426" s="6" t="s">
        <v>656</v>
      </c>
      <c r="G1426" s="7">
        <v>729.93</v>
      </c>
    </row>
    <row r="1427" spans="1:7" x14ac:dyDescent="0.3">
      <c r="A1427" s="18">
        <v>46143</v>
      </c>
      <c r="B1427" s="18" t="s">
        <v>51</v>
      </c>
      <c r="C1427" s="18" t="s">
        <v>158</v>
      </c>
      <c r="D1427" s="6" t="s">
        <v>875</v>
      </c>
      <c r="E1427" s="6" t="s">
        <v>47</v>
      </c>
      <c r="F1427" s="6" t="s">
        <v>656</v>
      </c>
      <c r="G1427" s="7">
        <v>784.09</v>
      </c>
    </row>
    <row r="1428" spans="1:7" x14ac:dyDescent="0.3">
      <c r="A1428" s="18">
        <v>46174</v>
      </c>
      <c r="B1428" s="18" t="s">
        <v>51</v>
      </c>
      <c r="C1428" s="18" t="s">
        <v>158</v>
      </c>
      <c r="D1428" s="6" t="s">
        <v>875</v>
      </c>
      <c r="E1428" s="6" t="s">
        <v>47</v>
      </c>
      <c r="F1428" s="6" t="s">
        <v>656</v>
      </c>
      <c r="G1428" s="7">
        <v>784.09</v>
      </c>
    </row>
    <row r="1429" spans="1:7" x14ac:dyDescent="0.3">
      <c r="A1429" s="18">
        <v>46113</v>
      </c>
      <c r="B1429" s="18" t="s">
        <v>36</v>
      </c>
      <c r="C1429" s="18" t="s">
        <v>37</v>
      </c>
      <c r="D1429" s="6" t="s">
        <v>769</v>
      </c>
      <c r="E1429" s="6" t="s">
        <v>57</v>
      </c>
      <c r="F1429" s="6" t="s">
        <v>656</v>
      </c>
      <c r="G1429" s="7">
        <v>1712</v>
      </c>
    </row>
    <row r="1430" spans="1:7" x14ac:dyDescent="0.3">
      <c r="A1430" s="18">
        <v>46032</v>
      </c>
      <c r="B1430" s="18" t="s">
        <v>36</v>
      </c>
      <c r="C1430" s="18" t="s">
        <v>37</v>
      </c>
      <c r="D1430" s="6" t="s">
        <v>369</v>
      </c>
      <c r="E1430" s="6" t="s">
        <v>57</v>
      </c>
      <c r="F1430" s="6" t="s">
        <v>656</v>
      </c>
      <c r="G1430" s="7">
        <v>640</v>
      </c>
    </row>
    <row r="1431" spans="1:7" x14ac:dyDescent="0.3">
      <c r="A1431" s="18">
        <v>46188</v>
      </c>
      <c r="B1431" s="18" t="s">
        <v>36</v>
      </c>
      <c r="C1431" s="18" t="s">
        <v>37</v>
      </c>
      <c r="D1431" s="6" t="s">
        <v>995</v>
      </c>
      <c r="E1431" s="6" t="s">
        <v>42</v>
      </c>
      <c r="F1431" s="6" t="s">
        <v>659</v>
      </c>
      <c r="G1431" s="7">
        <v>1500</v>
      </c>
    </row>
    <row r="1432" spans="1:7" x14ac:dyDescent="0.3">
      <c r="A1432" s="18">
        <v>46027</v>
      </c>
      <c r="B1432" s="18" t="s">
        <v>36</v>
      </c>
      <c r="C1432" s="18" t="s">
        <v>37</v>
      </c>
      <c r="D1432" s="6" t="s">
        <v>334</v>
      </c>
      <c r="E1432" s="6" t="s">
        <v>57</v>
      </c>
      <c r="F1432" s="6" t="s">
        <v>656</v>
      </c>
      <c r="G1432" s="7">
        <v>570</v>
      </c>
    </row>
    <row r="1433" spans="1:7" x14ac:dyDescent="0.3">
      <c r="A1433" s="18">
        <v>46029</v>
      </c>
      <c r="B1433" s="18" t="s">
        <v>36</v>
      </c>
      <c r="C1433" s="18" t="s">
        <v>37</v>
      </c>
      <c r="D1433" s="6" t="s">
        <v>334</v>
      </c>
      <c r="E1433" s="6" t="s">
        <v>57</v>
      </c>
      <c r="F1433" s="6" t="s">
        <v>656</v>
      </c>
      <c r="G1433" s="7">
        <v>570</v>
      </c>
    </row>
    <row r="1434" spans="1:7" x14ac:dyDescent="0.3">
      <c r="A1434" s="18">
        <v>46076</v>
      </c>
      <c r="B1434" s="18" t="s">
        <v>36</v>
      </c>
      <c r="C1434" s="18" t="s">
        <v>37</v>
      </c>
      <c r="D1434" s="6" t="s">
        <v>334</v>
      </c>
      <c r="E1434" s="6" t="s">
        <v>57</v>
      </c>
      <c r="F1434" s="6" t="s">
        <v>656</v>
      </c>
      <c r="G1434" s="7">
        <v>570</v>
      </c>
    </row>
    <row r="1435" spans="1:7" x14ac:dyDescent="0.3">
      <c r="A1435" s="18">
        <v>46062</v>
      </c>
      <c r="B1435" s="18" t="s">
        <v>36</v>
      </c>
      <c r="C1435" s="18" t="s">
        <v>37</v>
      </c>
      <c r="D1435" s="6" t="s">
        <v>219</v>
      </c>
      <c r="E1435" s="6" t="s">
        <v>42</v>
      </c>
      <c r="F1435" s="6" t="s">
        <v>659</v>
      </c>
      <c r="G1435" s="7">
        <v>750</v>
      </c>
    </row>
    <row r="1436" spans="1:7" x14ac:dyDescent="0.3">
      <c r="A1436" s="18">
        <v>46098</v>
      </c>
      <c r="B1436" s="18" t="s">
        <v>36</v>
      </c>
      <c r="C1436" s="18" t="s">
        <v>37</v>
      </c>
      <c r="D1436" s="6" t="s">
        <v>219</v>
      </c>
      <c r="E1436" s="6" t="s">
        <v>42</v>
      </c>
      <c r="F1436" s="6" t="s">
        <v>659</v>
      </c>
      <c r="G1436" s="7">
        <v>2100</v>
      </c>
    </row>
    <row r="1437" spans="1:7" x14ac:dyDescent="0.3">
      <c r="A1437" s="18">
        <v>46163</v>
      </c>
      <c r="B1437" s="18" t="s">
        <v>36</v>
      </c>
      <c r="C1437" s="18" t="s">
        <v>37</v>
      </c>
      <c r="D1437" s="6" t="s">
        <v>219</v>
      </c>
      <c r="E1437" s="6" t="s">
        <v>42</v>
      </c>
      <c r="F1437" s="6" t="s">
        <v>659</v>
      </c>
      <c r="G1437" s="9">
        <v>1700</v>
      </c>
    </row>
    <row r="1438" spans="1:7" x14ac:dyDescent="0.3">
      <c r="A1438" s="18">
        <v>46112</v>
      </c>
      <c r="B1438" s="18" t="s">
        <v>36</v>
      </c>
      <c r="C1438" s="18" t="s">
        <v>37</v>
      </c>
      <c r="D1438" s="6" t="s">
        <v>614</v>
      </c>
      <c r="E1438" s="6" t="s">
        <v>57</v>
      </c>
      <c r="F1438" s="6" t="s">
        <v>659</v>
      </c>
      <c r="G1438" s="7">
        <v>1450</v>
      </c>
    </row>
    <row r="1439" spans="1:7" x14ac:dyDescent="0.3">
      <c r="A1439" s="18">
        <v>46190</v>
      </c>
      <c r="B1439" s="18" t="s">
        <v>36</v>
      </c>
      <c r="C1439" s="18" t="s">
        <v>37</v>
      </c>
      <c r="D1439" s="6" t="s">
        <v>1141</v>
      </c>
      <c r="E1439" s="6" t="s">
        <v>57</v>
      </c>
      <c r="F1439" s="6" t="s">
        <v>656</v>
      </c>
      <c r="G1439" s="7">
        <v>2730</v>
      </c>
    </row>
    <row r="1440" spans="1:7" x14ac:dyDescent="0.3">
      <c r="A1440" s="18">
        <v>46105</v>
      </c>
      <c r="B1440" s="18" t="s">
        <v>36</v>
      </c>
      <c r="C1440" s="18" t="s">
        <v>37</v>
      </c>
      <c r="D1440" s="6" t="s">
        <v>25</v>
      </c>
      <c r="E1440" s="6" t="s">
        <v>50</v>
      </c>
      <c r="F1440" s="6" t="s">
        <v>659</v>
      </c>
      <c r="G1440" s="7">
        <v>880</v>
      </c>
    </row>
    <row r="1441" spans="1:7" x14ac:dyDescent="0.3">
      <c r="A1441" s="18">
        <v>46113</v>
      </c>
      <c r="B1441" s="18" t="s">
        <v>36</v>
      </c>
      <c r="C1441" s="18" t="s">
        <v>37</v>
      </c>
      <c r="D1441" s="6" t="s">
        <v>726</v>
      </c>
      <c r="E1441" s="6" t="s">
        <v>57</v>
      </c>
      <c r="F1441" s="6" t="s">
        <v>656</v>
      </c>
      <c r="G1441" s="7">
        <v>800</v>
      </c>
    </row>
    <row r="1442" spans="1:7" x14ac:dyDescent="0.3">
      <c r="A1442" s="18">
        <v>46062</v>
      </c>
      <c r="B1442" s="18" t="s">
        <v>36</v>
      </c>
      <c r="C1442" s="18" t="s">
        <v>37</v>
      </c>
      <c r="D1442" s="6" t="s">
        <v>616</v>
      </c>
      <c r="E1442" s="6" t="s">
        <v>57</v>
      </c>
      <c r="F1442" s="6" t="s">
        <v>659</v>
      </c>
      <c r="G1442" s="7">
        <v>360</v>
      </c>
    </row>
    <row r="1443" spans="1:7" x14ac:dyDescent="0.3">
      <c r="A1443" s="18">
        <v>46078</v>
      </c>
      <c r="B1443" s="18" t="s">
        <v>36</v>
      </c>
      <c r="C1443" s="18" t="s">
        <v>37</v>
      </c>
      <c r="D1443" s="6" t="s">
        <v>616</v>
      </c>
      <c r="E1443" s="6" t="s">
        <v>57</v>
      </c>
      <c r="F1443" s="6" t="s">
        <v>659</v>
      </c>
      <c r="G1443" s="7">
        <v>2140</v>
      </c>
    </row>
    <row r="1444" spans="1:7" x14ac:dyDescent="0.3">
      <c r="A1444" s="18">
        <v>46108</v>
      </c>
      <c r="B1444" s="18" t="s">
        <v>36</v>
      </c>
      <c r="C1444" s="18" t="s">
        <v>37</v>
      </c>
      <c r="D1444" s="6" t="s">
        <v>616</v>
      </c>
      <c r="E1444" s="6" t="s">
        <v>57</v>
      </c>
      <c r="F1444" s="6" t="s">
        <v>659</v>
      </c>
      <c r="G1444" s="7">
        <v>1060</v>
      </c>
    </row>
    <row r="1445" spans="1:7" x14ac:dyDescent="0.3">
      <c r="A1445" s="18">
        <v>46034</v>
      </c>
      <c r="B1445" s="18" t="s">
        <v>36</v>
      </c>
      <c r="C1445" s="18" t="s">
        <v>37</v>
      </c>
      <c r="D1445" s="6" t="s">
        <v>615</v>
      </c>
      <c r="E1445" s="6" t="s">
        <v>50</v>
      </c>
      <c r="F1445" s="6" t="s">
        <v>659</v>
      </c>
      <c r="G1445" s="7">
        <v>900</v>
      </c>
    </row>
    <row r="1446" spans="1:7" x14ac:dyDescent="0.3">
      <c r="A1446" s="18">
        <v>46064</v>
      </c>
      <c r="B1446" s="18" t="s">
        <v>36</v>
      </c>
      <c r="C1446" s="18" t="s">
        <v>37</v>
      </c>
      <c r="D1446" s="6" t="s">
        <v>247</v>
      </c>
      <c r="E1446" s="6" t="s">
        <v>42</v>
      </c>
      <c r="F1446" s="6" t="s">
        <v>659</v>
      </c>
      <c r="G1446" s="7">
        <v>2450</v>
      </c>
    </row>
    <row r="1447" spans="1:7" x14ac:dyDescent="0.3">
      <c r="A1447" s="18">
        <v>46113</v>
      </c>
      <c r="B1447" s="18" t="s">
        <v>36</v>
      </c>
      <c r="C1447" s="18" t="s">
        <v>37</v>
      </c>
      <c r="D1447" s="6" t="s">
        <v>801</v>
      </c>
      <c r="E1447" s="6" t="s">
        <v>13</v>
      </c>
      <c r="F1447" s="6" t="s">
        <v>659</v>
      </c>
      <c r="G1447" s="7">
        <v>1050</v>
      </c>
    </row>
    <row r="1448" spans="1:7" x14ac:dyDescent="0.3">
      <c r="A1448" s="18">
        <v>46042</v>
      </c>
      <c r="B1448" s="18" t="s">
        <v>36</v>
      </c>
      <c r="C1448" s="18" t="s">
        <v>37</v>
      </c>
      <c r="D1448" s="6" t="s">
        <v>167</v>
      </c>
      <c r="E1448" s="6" t="s">
        <v>50</v>
      </c>
      <c r="F1448" s="6" t="s">
        <v>659</v>
      </c>
      <c r="G1448" s="7">
        <v>570</v>
      </c>
    </row>
    <row r="1449" spans="1:7" x14ac:dyDescent="0.3">
      <c r="A1449" s="18">
        <v>46113</v>
      </c>
      <c r="B1449" s="18" t="s">
        <v>36</v>
      </c>
      <c r="C1449" s="18" t="s">
        <v>37</v>
      </c>
      <c r="D1449" s="6" t="s">
        <v>167</v>
      </c>
      <c r="E1449" s="6" t="s">
        <v>50</v>
      </c>
      <c r="F1449" s="6" t="s">
        <v>659</v>
      </c>
      <c r="G1449" s="7">
        <v>580</v>
      </c>
    </row>
    <row r="1450" spans="1:7" x14ac:dyDescent="0.3">
      <c r="A1450" s="18">
        <v>46163</v>
      </c>
      <c r="B1450" s="18" t="s">
        <v>36</v>
      </c>
      <c r="C1450" s="18" t="s">
        <v>37</v>
      </c>
      <c r="D1450" s="6" t="s">
        <v>167</v>
      </c>
      <c r="E1450" s="6" t="s">
        <v>50</v>
      </c>
      <c r="F1450" s="6" t="s">
        <v>659</v>
      </c>
      <c r="G1450" s="9">
        <v>625</v>
      </c>
    </row>
    <row r="1451" spans="1:7" x14ac:dyDescent="0.3">
      <c r="A1451" s="18">
        <v>46059</v>
      </c>
      <c r="B1451" s="18" t="s">
        <v>36</v>
      </c>
      <c r="C1451" s="18" t="s">
        <v>37</v>
      </c>
      <c r="D1451" s="6" t="s">
        <v>617</v>
      </c>
      <c r="E1451" s="6" t="s">
        <v>42</v>
      </c>
      <c r="F1451" s="6" t="s">
        <v>659</v>
      </c>
      <c r="G1451" s="7">
        <v>1200</v>
      </c>
    </row>
    <row r="1452" spans="1:7" x14ac:dyDescent="0.3">
      <c r="A1452" s="18">
        <v>46164</v>
      </c>
      <c r="B1452" s="18" t="s">
        <v>36</v>
      </c>
      <c r="C1452" s="18" t="s">
        <v>37</v>
      </c>
      <c r="D1452" s="8" t="s">
        <v>830</v>
      </c>
      <c r="E1452" s="8" t="s">
        <v>57</v>
      </c>
      <c r="F1452" s="6" t="s">
        <v>659</v>
      </c>
      <c r="G1452" s="9">
        <v>525</v>
      </c>
    </row>
    <row r="1453" spans="1:7" x14ac:dyDescent="0.3">
      <c r="A1453" s="18">
        <v>46198</v>
      </c>
      <c r="B1453" s="47" t="s">
        <v>36</v>
      </c>
      <c r="C1453" s="47" t="s">
        <v>37</v>
      </c>
      <c r="D1453" s="8" t="s">
        <v>1005</v>
      </c>
      <c r="E1453" s="8" t="s">
        <v>42</v>
      </c>
      <c r="F1453" s="6" t="s">
        <v>659</v>
      </c>
      <c r="G1453" s="9">
        <v>1700</v>
      </c>
    </row>
    <row r="1454" spans="1:7" x14ac:dyDescent="0.3">
      <c r="A1454" s="18">
        <v>46091</v>
      </c>
      <c r="B1454" s="18" t="s">
        <v>36</v>
      </c>
      <c r="C1454" s="18" t="s">
        <v>99</v>
      </c>
      <c r="D1454" s="6" t="s">
        <v>294</v>
      </c>
      <c r="E1454" s="6" t="s">
        <v>57</v>
      </c>
      <c r="F1454" s="6" t="s">
        <v>659</v>
      </c>
      <c r="G1454" s="7">
        <v>3500</v>
      </c>
    </row>
    <row r="1455" spans="1:7" x14ac:dyDescent="0.3">
      <c r="A1455" s="18">
        <v>46107</v>
      </c>
      <c r="B1455" s="18" t="s">
        <v>36</v>
      </c>
      <c r="C1455" s="18" t="s">
        <v>99</v>
      </c>
      <c r="D1455" s="6" t="s">
        <v>26</v>
      </c>
      <c r="E1455" s="6" t="s">
        <v>13</v>
      </c>
      <c r="F1455" s="6" t="s">
        <v>659</v>
      </c>
      <c r="G1455" s="7">
        <v>130</v>
      </c>
    </row>
    <row r="1456" spans="1:7" x14ac:dyDescent="0.3">
      <c r="A1456" s="18">
        <v>46196</v>
      </c>
      <c r="B1456" s="47" t="s">
        <v>36</v>
      </c>
      <c r="C1456" s="47" t="s">
        <v>646</v>
      </c>
      <c r="D1456" s="8" t="s">
        <v>1001</v>
      </c>
      <c r="E1456" s="8" t="s">
        <v>57</v>
      </c>
      <c r="F1456" s="6" t="s">
        <v>659</v>
      </c>
      <c r="G1456" s="9">
        <v>130</v>
      </c>
    </row>
    <row r="1457" spans="1:7" x14ac:dyDescent="0.3">
      <c r="A1457" s="18">
        <v>46035</v>
      </c>
      <c r="B1457" s="18" t="s">
        <v>36</v>
      </c>
      <c r="C1457" s="18" t="s">
        <v>646</v>
      </c>
      <c r="D1457" s="6" t="s">
        <v>561</v>
      </c>
      <c r="E1457" s="6" t="s">
        <v>42</v>
      </c>
      <c r="F1457" s="6" t="s">
        <v>659</v>
      </c>
      <c r="G1457" s="7">
        <v>420</v>
      </c>
    </row>
    <row r="1458" spans="1:7" x14ac:dyDescent="0.3">
      <c r="A1458" s="18">
        <v>46037</v>
      </c>
      <c r="B1458" s="18" t="s">
        <v>36</v>
      </c>
      <c r="C1458" s="18" t="s">
        <v>646</v>
      </c>
      <c r="D1458" s="6" t="s">
        <v>561</v>
      </c>
      <c r="E1458" s="6" t="s">
        <v>57</v>
      </c>
      <c r="F1458" s="6" t="s">
        <v>659</v>
      </c>
      <c r="G1458" s="7">
        <v>320</v>
      </c>
    </row>
    <row r="1459" spans="1:7" x14ac:dyDescent="0.3">
      <c r="A1459" s="18">
        <v>46064</v>
      </c>
      <c r="B1459" s="18" t="s">
        <v>36</v>
      </c>
      <c r="C1459" s="18" t="s">
        <v>646</v>
      </c>
      <c r="D1459" s="6" t="s">
        <v>561</v>
      </c>
      <c r="E1459" s="6" t="s">
        <v>42</v>
      </c>
      <c r="F1459" s="6" t="s">
        <v>659</v>
      </c>
      <c r="G1459" s="7">
        <v>420</v>
      </c>
    </row>
    <row r="1460" spans="1:7" x14ac:dyDescent="0.3">
      <c r="A1460" s="18">
        <v>46097</v>
      </c>
      <c r="B1460" s="18" t="s">
        <v>36</v>
      </c>
      <c r="C1460" s="18" t="s">
        <v>646</v>
      </c>
      <c r="D1460" s="6" t="s">
        <v>561</v>
      </c>
      <c r="E1460" s="6" t="s">
        <v>57</v>
      </c>
      <c r="F1460" s="6" t="s">
        <v>659</v>
      </c>
      <c r="G1460" s="7">
        <v>320</v>
      </c>
    </row>
    <row r="1461" spans="1:7" x14ac:dyDescent="0.3">
      <c r="A1461" s="18">
        <v>46113</v>
      </c>
      <c r="B1461" s="18" t="s">
        <v>36</v>
      </c>
      <c r="C1461" s="18" t="s">
        <v>646</v>
      </c>
      <c r="D1461" s="6" t="s">
        <v>561</v>
      </c>
      <c r="E1461" s="6" t="s">
        <v>57</v>
      </c>
      <c r="F1461" s="6" t="s">
        <v>659</v>
      </c>
      <c r="G1461" s="7">
        <v>70</v>
      </c>
    </row>
    <row r="1462" spans="1:7" x14ac:dyDescent="0.3">
      <c r="A1462" s="18">
        <v>46065</v>
      </c>
      <c r="B1462" s="18" t="s">
        <v>36</v>
      </c>
      <c r="C1462" s="18" t="s">
        <v>646</v>
      </c>
      <c r="D1462" s="6" t="s">
        <v>103</v>
      </c>
      <c r="E1462" s="6" t="s">
        <v>57</v>
      </c>
      <c r="F1462" s="6" t="s">
        <v>656</v>
      </c>
      <c r="G1462" s="7">
        <v>84.69</v>
      </c>
    </row>
    <row r="1463" spans="1:7" x14ac:dyDescent="0.3">
      <c r="A1463" s="18">
        <v>46085</v>
      </c>
      <c r="B1463" s="18" t="s">
        <v>36</v>
      </c>
      <c r="C1463" s="18" t="s">
        <v>646</v>
      </c>
      <c r="D1463" s="6" t="s">
        <v>103</v>
      </c>
      <c r="E1463" s="6" t="s">
        <v>57</v>
      </c>
      <c r="F1463" s="6" t="s">
        <v>656</v>
      </c>
      <c r="G1463" s="7">
        <v>43.99</v>
      </c>
    </row>
    <row r="1464" spans="1:7" x14ac:dyDescent="0.3">
      <c r="A1464" s="18">
        <v>46113</v>
      </c>
      <c r="B1464" s="18" t="s">
        <v>36</v>
      </c>
      <c r="C1464" s="18" t="s">
        <v>646</v>
      </c>
      <c r="D1464" s="6" t="s">
        <v>103</v>
      </c>
      <c r="E1464" s="6" t="s">
        <v>57</v>
      </c>
      <c r="F1464" s="6" t="s">
        <v>656</v>
      </c>
      <c r="G1464" s="7">
        <v>387.8</v>
      </c>
    </row>
    <row r="1465" spans="1:7" x14ac:dyDescent="0.3">
      <c r="A1465" s="18">
        <v>46077</v>
      </c>
      <c r="B1465" s="18" t="s">
        <v>36</v>
      </c>
      <c r="C1465" s="18" t="s">
        <v>646</v>
      </c>
      <c r="D1465" s="6" t="s">
        <v>511</v>
      </c>
      <c r="E1465" s="6" t="s">
        <v>47</v>
      </c>
      <c r="F1465" s="6" t="s">
        <v>656</v>
      </c>
      <c r="G1465" s="7">
        <v>209.9</v>
      </c>
    </row>
    <row r="1466" spans="1:7" x14ac:dyDescent="0.3">
      <c r="A1466" s="18">
        <v>46113</v>
      </c>
      <c r="B1466" s="18" t="s">
        <v>36</v>
      </c>
      <c r="C1466" s="18" t="s">
        <v>646</v>
      </c>
      <c r="D1466" s="6" t="s">
        <v>511</v>
      </c>
      <c r="E1466" s="6" t="s">
        <v>42</v>
      </c>
      <c r="F1466" s="6" t="s">
        <v>656</v>
      </c>
      <c r="G1466" s="7">
        <v>71.900000000000006</v>
      </c>
    </row>
    <row r="1467" spans="1:7" x14ac:dyDescent="0.3">
      <c r="A1467" s="18">
        <v>46070</v>
      </c>
      <c r="B1467" s="18" t="s">
        <v>36</v>
      </c>
      <c r="C1467" s="18" t="s">
        <v>646</v>
      </c>
      <c r="D1467" s="6" t="s">
        <v>494</v>
      </c>
      <c r="E1467" s="6" t="s">
        <v>57</v>
      </c>
      <c r="F1467" s="6" t="s">
        <v>656</v>
      </c>
      <c r="G1467" s="7">
        <v>50.57</v>
      </c>
    </row>
    <row r="1468" spans="1:7" x14ac:dyDescent="0.3">
      <c r="A1468" s="18">
        <v>46150</v>
      </c>
      <c r="B1468" s="18" t="s">
        <v>36</v>
      </c>
      <c r="C1468" s="18" t="s">
        <v>646</v>
      </c>
      <c r="D1468" s="6" t="s">
        <v>384</v>
      </c>
      <c r="E1468" s="6" t="s">
        <v>42</v>
      </c>
      <c r="F1468" s="6" t="s">
        <v>656</v>
      </c>
      <c r="G1468" s="7">
        <v>191.66</v>
      </c>
    </row>
    <row r="1469" spans="1:7" x14ac:dyDescent="0.3">
      <c r="A1469" s="18">
        <v>46154</v>
      </c>
      <c r="B1469" s="18" t="s">
        <v>36</v>
      </c>
      <c r="C1469" s="18" t="s">
        <v>646</v>
      </c>
      <c r="D1469" s="6" t="s">
        <v>384</v>
      </c>
      <c r="E1469" s="6" t="s">
        <v>57</v>
      </c>
      <c r="F1469" s="6" t="s">
        <v>656</v>
      </c>
      <c r="G1469" s="7">
        <v>59.76</v>
      </c>
    </row>
    <row r="1470" spans="1:7" x14ac:dyDescent="0.3">
      <c r="A1470" s="18">
        <v>46164</v>
      </c>
      <c r="B1470" s="18" t="s">
        <v>36</v>
      </c>
      <c r="C1470" s="18" t="s">
        <v>646</v>
      </c>
      <c r="D1470" s="6" t="s">
        <v>384</v>
      </c>
      <c r="E1470" s="6" t="s">
        <v>42</v>
      </c>
      <c r="F1470" s="6" t="s">
        <v>656</v>
      </c>
      <c r="G1470" s="7">
        <v>490.52</v>
      </c>
    </row>
    <row r="1471" spans="1:7" x14ac:dyDescent="0.3">
      <c r="A1471" s="18">
        <v>46028</v>
      </c>
      <c r="B1471" s="18" t="s">
        <v>36</v>
      </c>
      <c r="C1471" s="18" t="s">
        <v>646</v>
      </c>
      <c r="D1471" s="6" t="s">
        <v>384</v>
      </c>
      <c r="E1471" s="6" t="s">
        <v>57</v>
      </c>
      <c r="F1471" s="6" t="s">
        <v>656</v>
      </c>
      <c r="G1471" s="7">
        <v>274.99</v>
      </c>
    </row>
    <row r="1472" spans="1:7" x14ac:dyDescent="0.3">
      <c r="A1472" s="18">
        <v>46037</v>
      </c>
      <c r="B1472" s="18" t="s">
        <v>36</v>
      </c>
      <c r="C1472" s="18" t="s">
        <v>646</v>
      </c>
      <c r="D1472" s="6" t="s">
        <v>384</v>
      </c>
      <c r="E1472" s="6" t="s">
        <v>57</v>
      </c>
      <c r="F1472" s="6" t="s">
        <v>656</v>
      </c>
      <c r="G1472" s="7">
        <v>537.36</v>
      </c>
    </row>
    <row r="1473" spans="1:7" x14ac:dyDescent="0.3">
      <c r="A1473" s="18">
        <v>46041</v>
      </c>
      <c r="B1473" s="18" t="s">
        <v>36</v>
      </c>
      <c r="C1473" s="18" t="s">
        <v>646</v>
      </c>
      <c r="D1473" s="6" t="s">
        <v>384</v>
      </c>
      <c r="E1473" s="6" t="s">
        <v>42</v>
      </c>
      <c r="F1473" s="6" t="s">
        <v>656</v>
      </c>
      <c r="G1473" s="7">
        <v>156.97999999999999</v>
      </c>
    </row>
    <row r="1474" spans="1:7" x14ac:dyDescent="0.3">
      <c r="A1474" s="18">
        <v>46042</v>
      </c>
      <c r="B1474" s="18" t="s">
        <v>36</v>
      </c>
      <c r="C1474" s="18" t="s">
        <v>646</v>
      </c>
      <c r="D1474" s="6" t="s">
        <v>384</v>
      </c>
      <c r="E1474" s="6" t="s">
        <v>42</v>
      </c>
      <c r="F1474" s="6" t="s">
        <v>656</v>
      </c>
      <c r="G1474" s="7">
        <v>4.99</v>
      </c>
    </row>
    <row r="1475" spans="1:7" x14ac:dyDescent="0.3">
      <c r="A1475" s="18">
        <v>46054</v>
      </c>
      <c r="B1475" s="18" t="s">
        <v>36</v>
      </c>
      <c r="C1475" s="18" t="s">
        <v>646</v>
      </c>
      <c r="D1475" s="6" t="s">
        <v>384</v>
      </c>
      <c r="E1475" s="6" t="s">
        <v>57</v>
      </c>
      <c r="F1475" s="6" t="s">
        <v>656</v>
      </c>
      <c r="G1475" s="7">
        <v>274.97000000000003</v>
      </c>
    </row>
    <row r="1476" spans="1:7" x14ac:dyDescent="0.3">
      <c r="A1476" s="18">
        <v>46056</v>
      </c>
      <c r="B1476" s="18" t="s">
        <v>36</v>
      </c>
      <c r="C1476" s="18" t="s">
        <v>646</v>
      </c>
      <c r="D1476" s="6" t="s">
        <v>384</v>
      </c>
      <c r="E1476" s="6" t="s">
        <v>57</v>
      </c>
      <c r="F1476" s="6" t="s">
        <v>656</v>
      </c>
      <c r="G1476" s="7">
        <f>11.54+25.57+7.99</f>
        <v>45.1</v>
      </c>
    </row>
    <row r="1477" spans="1:7" x14ac:dyDescent="0.3">
      <c r="A1477" s="18">
        <v>46066</v>
      </c>
      <c r="B1477" s="18" t="s">
        <v>36</v>
      </c>
      <c r="C1477" s="18" t="s">
        <v>646</v>
      </c>
      <c r="D1477" s="6" t="s">
        <v>384</v>
      </c>
      <c r="E1477" s="6" t="s">
        <v>13</v>
      </c>
      <c r="F1477" s="6" t="s">
        <v>656</v>
      </c>
      <c r="G1477" s="7">
        <v>323.95999999999998</v>
      </c>
    </row>
    <row r="1478" spans="1:7" x14ac:dyDescent="0.3">
      <c r="A1478" s="18">
        <v>46078</v>
      </c>
      <c r="B1478" s="18" t="s">
        <v>36</v>
      </c>
      <c r="C1478" s="18" t="s">
        <v>646</v>
      </c>
      <c r="D1478" s="6" t="s">
        <v>384</v>
      </c>
      <c r="E1478" s="6" t="s">
        <v>42</v>
      </c>
      <c r="F1478" s="6" t="s">
        <v>656</v>
      </c>
      <c r="G1478" s="7">
        <v>244.97</v>
      </c>
    </row>
    <row r="1479" spans="1:7" x14ac:dyDescent="0.3">
      <c r="A1479" s="18">
        <v>46082</v>
      </c>
      <c r="B1479" s="18" t="s">
        <v>36</v>
      </c>
      <c r="C1479" s="18" t="s">
        <v>646</v>
      </c>
      <c r="D1479" s="6" t="s">
        <v>384</v>
      </c>
      <c r="E1479" s="6" t="s">
        <v>57</v>
      </c>
      <c r="F1479" s="6" t="s">
        <v>656</v>
      </c>
      <c r="G1479" s="7">
        <v>274.97000000000003</v>
      </c>
    </row>
    <row r="1480" spans="1:7" x14ac:dyDescent="0.3">
      <c r="A1480" s="18">
        <v>46098</v>
      </c>
      <c r="B1480" s="18" t="s">
        <v>36</v>
      </c>
      <c r="C1480" s="18" t="s">
        <v>646</v>
      </c>
      <c r="D1480" s="6" t="s">
        <v>384</v>
      </c>
      <c r="E1480" s="6" t="s">
        <v>42</v>
      </c>
      <c r="F1480" s="6" t="s">
        <v>656</v>
      </c>
      <c r="G1480" s="7">
        <v>221.74</v>
      </c>
    </row>
    <row r="1481" spans="1:7" x14ac:dyDescent="0.3">
      <c r="A1481" s="18">
        <v>46113</v>
      </c>
      <c r="B1481" s="18" t="s">
        <v>36</v>
      </c>
      <c r="C1481" s="18" t="s">
        <v>646</v>
      </c>
      <c r="D1481" s="6" t="s">
        <v>384</v>
      </c>
      <c r="E1481" s="6" t="s">
        <v>57</v>
      </c>
      <c r="F1481" s="6" t="s">
        <v>656</v>
      </c>
      <c r="G1481" s="7">
        <v>274.97000000000003</v>
      </c>
    </row>
    <row r="1482" spans="1:7" x14ac:dyDescent="0.3">
      <c r="A1482" s="18">
        <v>46113</v>
      </c>
      <c r="B1482" s="18" t="s">
        <v>36</v>
      </c>
      <c r="C1482" s="18" t="s">
        <v>646</v>
      </c>
      <c r="D1482" s="6" t="s">
        <v>384</v>
      </c>
      <c r="E1482" s="6" t="s">
        <v>57</v>
      </c>
      <c r="F1482" s="6" t="s">
        <v>656</v>
      </c>
      <c r="G1482" s="7">
        <v>80.180000000000007</v>
      </c>
    </row>
    <row r="1483" spans="1:7" x14ac:dyDescent="0.3">
      <c r="A1483" s="18">
        <v>46113</v>
      </c>
      <c r="B1483" s="18" t="s">
        <v>36</v>
      </c>
      <c r="C1483" s="18" t="s">
        <v>646</v>
      </c>
      <c r="D1483" s="6" t="s">
        <v>384</v>
      </c>
      <c r="E1483" s="6" t="s">
        <v>42</v>
      </c>
      <c r="F1483" s="6" t="s">
        <v>656</v>
      </c>
      <c r="G1483" s="7">
        <v>266.17</v>
      </c>
    </row>
    <row r="1484" spans="1:7" x14ac:dyDescent="0.3">
      <c r="A1484" s="18">
        <v>46113</v>
      </c>
      <c r="B1484" s="18" t="s">
        <v>36</v>
      </c>
      <c r="C1484" s="18" t="s">
        <v>646</v>
      </c>
      <c r="D1484" s="6" t="s">
        <v>384</v>
      </c>
      <c r="E1484" s="6" t="s">
        <v>42</v>
      </c>
      <c r="F1484" s="6" t="s">
        <v>656</v>
      </c>
      <c r="G1484" s="7">
        <v>204.95</v>
      </c>
    </row>
    <row r="1485" spans="1:7" x14ac:dyDescent="0.3">
      <c r="A1485" s="18">
        <v>46113</v>
      </c>
      <c r="B1485" s="18" t="s">
        <v>36</v>
      </c>
      <c r="C1485" s="18" t="s">
        <v>646</v>
      </c>
      <c r="D1485" s="6" t="s">
        <v>384</v>
      </c>
      <c r="E1485" s="6" t="s">
        <v>57</v>
      </c>
      <c r="F1485" s="6" t="s">
        <v>656</v>
      </c>
      <c r="G1485" s="7">
        <v>70.59</v>
      </c>
    </row>
    <row r="1486" spans="1:7" x14ac:dyDescent="0.3">
      <c r="A1486" s="18">
        <v>46113</v>
      </c>
      <c r="B1486" s="18" t="s">
        <v>36</v>
      </c>
      <c r="C1486" s="18" t="s">
        <v>646</v>
      </c>
      <c r="D1486" s="6" t="s">
        <v>384</v>
      </c>
      <c r="E1486" s="6" t="s">
        <v>42</v>
      </c>
      <c r="F1486" s="6" t="s">
        <v>656</v>
      </c>
      <c r="G1486" s="7">
        <v>50.18</v>
      </c>
    </row>
    <row r="1487" spans="1:7" x14ac:dyDescent="0.3">
      <c r="A1487" s="18">
        <v>46113</v>
      </c>
      <c r="B1487" s="18" t="s">
        <v>36</v>
      </c>
      <c r="C1487" s="18" t="s">
        <v>646</v>
      </c>
      <c r="D1487" s="6" t="s">
        <v>384</v>
      </c>
      <c r="E1487" s="6" t="s">
        <v>57</v>
      </c>
      <c r="F1487" s="6" t="s">
        <v>656</v>
      </c>
      <c r="G1487" s="7">
        <v>334.19</v>
      </c>
    </row>
    <row r="1488" spans="1:7" x14ac:dyDescent="0.3">
      <c r="A1488" s="18">
        <v>46118</v>
      </c>
      <c r="B1488" s="18" t="s">
        <v>36</v>
      </c>
      <c r="C1488" s="18" t="s">
        <v>646</v>
      </c>
      <c r="D1488" s="6" t="s">
        <v>384</v>
      </c>
      <c r="E1488" s="6" t="s">
        <v>57</v>
      </c>
      <c r="F1488" s="6" t="s">
        <v>673</v>
      </c>
      <c r="G1488" s="7">
        <v>47.9</v>
      </c>
    </row>
    <row r="1489" spans="1:7" x14ac:dyDescent="0.3">
      <c r="A1489" s="18">
        <v>46167</v>
      </c>
      <c r="B1489" s="18" t="s">
        <v>36</v>
      </c>
      <c r="C1489" s="18" t="s">
        <v>646</v>
      </c>
      <c r="D1489" s="6" t="s">
        <v>384</v>
      </c>
      <c r="E1489" s="8" t="s">
        <v>57</v>
      </c>
      <c r="F1489" s="8" t="s">
        <v>673</v>
      </c>
      <c r="G1489" s="3">
        <v>128.35</v>
      </c>
    </row>
    <row r="1490" spans="1:7" x14ac:dyDescent="0.3">
      <c r="A1490" s="18">
        <v>46067</v>
      </c>
      <c r="B1490" s="18" t="s">
        <v>36</v>
      </c>
      <c r="C1490" s="18" t="s">
        <v>646</v>
      </c>
      <c r="D1490" s="6" t="s">
        <v>479</v>
      </c>
      <c r="E1490" s="6" t="s">
        <v>47</v>
      </c>
      <c r="F1490" s="6" t="s">
        <v>656</v>
      </c>
      <c r="G1490" s="7">
        <v>383.52</v>
      </c>
    </row>
    <row r="1491" spans="1:7" x14ac:dyDescent="0.3">
      <c r="A1491" s="18">
        <v>46068</v>
      </c>
      <c r="B1491" s="18" t="s">
        <v>36</v>
      </c>
      <c r="C1491" s="18" t="s">
        <v>646</v>
      </c>
      <c r="D1491" s="6" t="s">
        <v>479</v>
      </c>
      <c r="E1491" s="6" t="s">
        <v>47</v>
      </c>
      <c r="F1491" s="6" t="s">
        <v>656</v>
      </c>
      <c r="G1491" s="7">
        <v>28.3</v>
      </c>
    </row>
    <row r="1492" spans="1:7" x14ac:dyDescent="0.3">
      <c r="A1492" s="18">
        <v>46058</v>
      </c>
      <c r="B1492" s="18" t="s">
        <v>36</v>
      </c>
      <c r="C1492" s="18" t="s">
        <v>646</v>
      </c>
      <c r="D1492" s="6" t="s">
        <v>150</v>
      </c>
      <c r="E1492" s="6" t="s">
        <v>42</v>
      </c>
      <c r="F1492" s="6" t="s">
        <v>656</v>
      </c>
      <c r="G1492" s="7">
        <v>475.4</v>
      </c>
    </row>
    <row r="1493" spans="1:7" x14ac:dyDescent="0.3">
      <c r="A1493" s="18">
        <v>46064</v>
      </c>
      <c r="B1493" s="18" t="s">
        <v>36</v>
      </c>
      <c r="C1493" s="18" t="s">
        <v>646</v>
      </c>
      <c r="D1493" s="6" t="s">
        <v>150</v>
      </c>
      <c r="E1493" s="6" t="s">
        <v>57</v>
      </c>
      <c r="F1493" s="6" t="s">
        <v>661</v>
      </c>
      <c r="G1493" s="7">
        <v>586.54</v>
      </c>
    </row>
    <row r="1494" spans="1:7" x14ac:dyDescent="0.3">
      <c r="A1494" s="18">
        <v>46064</v>
      </c>
      <c r="B1494" s="18" t="s">
        <v>36</v>
      </c>
      <c r="C1494" s="18" t="s">
        <v>646</v>
      </c>
      <c r="D1494" s="6" t="s">
        <v>150</v>
      </c>
      <c r="E1494" s="6" t="s">
        <v>57</v>
      </c>
      <c r="F1494" s="6" t="s">
        <v>661</v>
      </c>
      <c r="G1494" s="7">
        <v>586.54</v>
      </c>
    </row>
    <row r="1495" spans="1:7" x14ac:dyDescent="0.3">
      <c r="A1495" s="18">
        <v>46076</v>
      </c>
      <c r="B1495" s="18" t="s">
        <v>36</v>
      </c>
      <c r="C1495" s="18" t="s">
        <v>646</v>
      </c>
      <c r="D1495" s="6" t="s">
        <v>150</v>
      </c>
      <c r="E1495" s="6" t="s">
        <v>57</v>
      </c>
      <c r="F1495" s="6" t="s">
        <v>656</v>
      </c>
      <c r="G1495" s="7">
        <v>35.92</v>
      </c>
    </row>
    <row r="1496" spans="1:7" x14ac:dyDescent="0.3">
      <c r="A1496" s="18">
        <v>46079</v>
      </c>
      <c r="B1496" s="18" t="s">
        <v>36</v>
      </c>
      <c r="C1496" s="18" t="s">
        <v>646</v>
      </c>
      <c r="D1496" s="6" t="s">
        <v>150</v>
      </c>
      <c r="E1496" s="6" t="s">
        <v>42</v>
      </c>
      <c r="F1496" s="6" t="s">
        <v>656</v>
      </c>
      <c r="G1496" s="7">
        <v>15.75</v>
      </c>
    </row>
    <row r="1497" spans="1:7" x14ac:dyDescent="0.3">
      <c r="A1497" s="18">
        <v>46086</v>
      </c>
      <c r="B1497" s="18" t="s">
        <v>36</v>
      </c>
      <c r="C1497" s="18" t="s">
        <v>646</v>
      </c>
      <c r="D1497" s="6" t="s">
        <v>150</v>
      </c>
      <c r="E1497" s="6" t="s">
        <v>57</v>
      </c>
      <c r="F1497" s="6" t="s">
        <v>661</v>
      </c>
      <c r="G1497" s="7">
        <v>586.54</v>
      </c>
    </row>
    <row r="1498" spans="1:7" x14ac:dyDescent="0.3">
      <c r="A1498" s="18">
        <v>46093</v>
      </c>
      <c r="B1498" s="18" t="s">
        <v>36</v>
      </c>
      <c r="C1498" s="18" t="s">
        <v>646</v>
      </c>
      <c r="D1498" s="6" t="s">
        <v>150</v>
      </c>
      <c r="E1498" s="6" t="s">
        <v>42</v>
      </c>
      <c r="F1498" s="6" t="s">
        <v>656</v>
      </c>
      <c r="G1498" s="7">
        <v>89.44</v>
      </c>
    </row>
    <row r="1499" spans="1:7" x14ac:dyDescent="0.3">
      <c r="A1499" s="18">
        <v>46097</v>
      </c>
      <c r="B1499" s="18" t="s">
        <v>36</v>
      </c>
      <c r="C1499" s="18" t="s">
        <v>646</v>
      </c>
      <c r="D1499" s="6" t="s">
        <v>150</v>
      </c>
      <c r="E1499" s="6" t="s">
        <v>42</v>
      </c>
      <c r="F1499" s="6" t="s">
        <v>656</v>
      </c>
      <c r="G1499" s="7">
        <v>184.53</v>
      </c>
    </row>
    <row r="1500" spans="1:7" x14ac:dyDescent="0.3">
      <c r="A1500" s="18">
        <v>46068</v>
      </c>
      <c r="B1500" s="18" t="s">
        <v>36</v>
      </c>
      <c r="C1500" s="18" t="s">
        <v>646</v>
      </c>
      <c r="D1500" s="6" t="s">
        <v>485</v>
      </c>
      <c r="E1500" s="6" t="s">
        <v>57</v>
      </c>
      <c r="F1500" s="6" t="s">
        <v>656</v>
      </c>
      <c r="G1500" s="7">
        <v>17.89</v>
      </c>
    </row>
    <row r="1501" spans="1:7" x14ac:dyDescent="0.3">
      <c r="A1501" s="18">
        <v>46066</v>
      </c>
      <c r="B1501" s="18" t="s">
        <v>36</v>
      </c>
      <c r="C1501" s="18" t="s">
        <v>646</v>
      </c>
      <c r="D1501" s="6" t="s">
        <v>526</v>
      </c>
      <c r="E1501" s="6" t="s">
        <v>42</v>
      </c>
      <c r="F1501" s="6" t="s">
        <v>656</v>
      </c>
      <c r="G1501" s="7">
        <v>342.34</v>
      </c>
    </row>
    <row r="1502" spans="1:7" x14ac:dyDescent="0.3">
      <c r="A1502" s="18">
        <v>46082</v>
      </c>
      <c r="B1502" s="18" t="s">
        <v>36</v>
      </c>
      <c r="C1502" s="18" t="s">
        <v>646</v>
      </c>
      <c r="D1502" s="6" t="s">
        <v>526</v>
      </c>
      <c r="E1502" s="6" t="s">
        <v>42</v>
      </c>
      <c r="F1502" s="6" t="s">
        <v>656</v>
      </c>
      <c r="G1502" s="7">
        <v>342.33</v>
      </c>
    </row>
    <row r="1503" spans="1:7" x14ac:dyDescent="0.3">
      <c r="A1503" s="18">
        <v>46113</v>
      </c>
      <c r="B1503" s="18" t="s">
        <v>36</v>
      </c>
      <c r="C1503" s="18" t="s">
        <v>646</v>
      </c>
      <c r="D1503" s="6" t="s">
        <v>526</v>
      </c>
      <c r="E1503" s="6" t="s">
        <v>42</v>
      </c>
      <c r="F1503" s="6" t="s">
        <v>656</v>
      </c>
      <c r="G1503" s="7">
        <v>342.33</v>
      </c>
    </row>
    <row r="1504" spans="1:7" x14ac:dyDescent="0.3">
      <c r="A1504" s="18">
        <v>46064</v>
      </c>
      <c r="B1504" s="18" t="s">
        <v>36</v>
      </c>
      <c r="C1504" s="18" t="s">
        <v>646</v>
      </c>
      <c r="D1504" s="6" t="s">
        <v>222</v>
      </c>
      <c r="E1504" s="6" t="s">
        <v>42</v>
      </c>
      <c r="F1504" s="6" t="s">
        <v>659</v>
      </c>
      <c r="G1504" s="7">
        <v>158.37</v>
      </c>
    </row>
    <row r="1505" spans="1:7" x14ac:dyDescent="0.3">
      <c r="A1505" s="18">
        <v>46102</v>
      </c>
      <c r="B1505" s="18" t="s">
        <v>36</v>
      </c>
      <c r="C1505" s="18" t="s">
        <v>646</v>
      </c>
      <c r="D1505" s="6" t="s">
        <v>572</v>
      </c>
      <c r="E1505" s="6" t="s">
        <v>57</v>
      </c>
      <c r="F1505" s="6" t="s">
        <v>656</v>
      </c>
      <c r="G1505" s="7">
        <v>92.5</v>
      </c>
    </row>
    <row r="1506" spans="1:7" x14ac:dyDescent="0.3">
      <c r="A1506" s="18">
        <v>46092</v>
      </c>
      <c r="B1506" s="18" t="s">
        <v>36</v>
      </c>
      <c r="C1506" s="18" t="s">
        <v>646</v>
      </c>
      <c r="D1506" s="6" t="s">
        <v>147</v>
      </c>
      <c r="E1506" s="6" t="s">
        <v>57</v>
      </c>
      <c r="F1506" s="6" t="s">
        <v>656</v>
      </c>
      <c r="G1506" s="7">
        <v>94.99</v>
      </c>
    </row>
    <row r="1507" spans="1:7" x14ac:dyDescent="0.3">
      <c r="A1507" s="18">
        <v>46025</v>
      </c>
      <c r="B1507" s="18" t="s">
        <v>36</v>
      </c>
      <c r="C1507" s="18" t="s">
        <v>646</v>
      </c>
      <c r="D1507" s="6" t="s">
        <v>321</v>
      </c>
      <c r="E1507" s="6" t="s">
        <v>47</v>
      </c>
      <c r="F1507" s="6" t="s">
        <v>656</v>
      </c>
      <c r="G1507" s="7">
        <v>204.15</v>
      </c>
    </row>
    <row r="1508" spans="1:7" x14ac:dyDescent="0.3">
      <c r="A1508" s="18">
        <v>46113</v>
      </c>
      <c r="B1508" s="18" t="s">
        <v>36</v>
      </c>
      <c r="C1508" s="18" t="s">
        <v>646</v>
      </c>
      <c r="D1508" s="6" t="s">
        <v>734</v>
      </c>
      <c r="E1508" s="6" t="s">
        <v>57</v>
      </c>
      <c r="F1508" s="6" t="s">
        <v>656</v>
      </c>
      <c r="G1508" s="7">
        <v>19.989999999999998</v>
      </c>
    </row>
    <row r="1509" spans="1:7" x14ac:dyDescent="0.3">
      <c r="A1509" s="18">
        <v>46105</v>
      </c>
      <c r="B1509" s="18" t="s">
        <v>36</v>
      </c>
      <c r="C1509" s="18" t="s">
        <v>646</v>
      </c>
      <c r="D1509" s="6" t="s">
        <v>575</v>
      </c>
      <c r="E1509" s="6" t="s">
        <v>57</v>
      </c>
      <c r="F1509" s="6" t="s">
        <v>656</v>
      </c>
      <c r="G1509" s="7">
        <v>1499.43</v>
      </c>
    </row>
    <row r="1510" spans="1:7" x14ac:dyDescent="0.3">
      <c r="A1510" s="18">
        <v>46073</v>
      </c>
      <c r="B1510" s="18" t="s">
        <v>36</v>
      </c>
      <c r="C1510" s="18" t="s">
        <v>646</v>
      </c>
      <c r="D1510" s="6" t="s">
        <v>575</v>
      </c>
      <c r="E1510" s="6" t="s">
        <v>57</v>
      </c>
      <c r="F1510" s="6" t="s">
        <v>659</v>
      </c>
      <c r="G1510" s="7">
        <v>144.13</v>
      </c>
    </row>
    <row r="1511" spans="1:7" x14ac:dyDescent="0.3">
      <c r="A1511" s="18">
        <v>46195</v>
      </c>
      <c r="B1511" s="18" t="s">
        <v>36</v>
      </c>
      <c r="C1511" s="18" t="s">
        <v>646</v>
      </c>
      <c r="D1511" s="6" t="s">
        <v>575</v>
      </c>
      <c r="E1511" s="6" t="s">
        <v>57</v>
      </c>
      <c r="F1511" s="6" t="s">
        <v>656</v>
      </c>
      <c r="G1511" s="7">
        <v>1452.54</v>
      </c>
    </row>
    <row r="1512" spans="1:7" x14ac:dyDescent="0.3">
      <c r="A1512" s="18">
        <v>46113</v>
      </c>
      <c r="B1512" s="18" t="s">
        <v>36</v>
      </c>
      <c r="C1512" s="18" t="s">
        <v>646</v>
      </c>
      <c r="D1512" s="8" t="s">
        <v>818</v>
      </c>
      <c r="E1512" s="6" t="s">
        <v>50</v>
      </c>
      <c r="F1512" s="6" t="s">
        <v>659</v>
      </c>
      <c r="G1512" s="7">
        <v>962.99</v>
      </c>
    </row>
    <row r="1513" spans="1:7" x14ac:dyDescent="0.3">
      <c r="A1513" s="18">
        <v>46113</v>
      </c>
      <c r="B1513" s="18" t="s">
        <v>36</v>
      </c>
      <c r="C1513" s="18" t="s">
        <v>646</v>
      </c>
      <c r="D1513" s="8" t="s">
        <v>818</v>
      </c>
      <c r="E1513" s="6" t="s">
        <v>50</v>
      </c>
      <c r="F1513" s="6" t="s">
        <v>659</v>
      </c>
      <c r="G1513" s="7">
        <v>112.28</v>
      </c>
    </row>
    <row r="1514" spans="1:7" x14ac:dyDescent="0.3">
      <c r="A1514" s="18">
        <v>46168</v>
      </c>
      <c r="B1514" s="18" t="s">
        <v>36</v>
      </c>
      <c r="C1514" s="18" t="s">
        <v>646</v>
      </c>
      <c r="D1514" s="8" t="s">
        <v>818</v>
      </c>
      <c r="E1514" s="37" t="s">
        <v>50</v>
      </c>
      <c r="F1514" s="6" t="s">
        <v>659</v>
      </c>
      <c r="G1514" s="9">
        <v>404.44</v>
      </c>
    </row>
    <row r="1515" spans="1:7" x14ac:dyDescent="0.3">
      <c r="A1515" s="18">
        <v>46042</v>
      </c>
      <c r="B1515" s="18" t="s">
        <v>36</v>
      </c>
      <c r="C1515" s="18" t="s">
        <v>646</v>
      </c>
      <c r="D1515" s="8" t="s">
        <v>818</v>
      </c>
      <c r="E1515" s="6" t="s">
        <v>50</v>
      </c>
      <c r="F1515" s="6" t="s">
        <v>659</v>
      </c>
      <c r="G1515" s="7">
        <v>819.64</v>
      </c>
    </row>
    <row r="1516" spans="1:7" x14ac:dyDescent="0.3">
      <c r="A1516" s="18">
        <v>46083</v>
      </c>
      <c r="B1516" s="18" t="s">
        <v>36</v>
      </c>
      <c r="C1516" s="18" t="s">
        <v>646</v>
      </c>
      <c r="D1516" s="8" t="s">
        <v>818</v>
      </c>
      <c r="E1516" s="6" t="s">
        <v>50</v>
      </c>
      <c r="F1516" s="6" t="s">
        <v>659</v>
      </c>
      <c r="G1516" s="7">
        <v>621.07000000000005</v>
      </c>
    </row>
    <row r="1517" spans="1:7" x14ac:dyDescent="0.3">
      <c r="A1517" s="18">
        <v>46090</v>
      </c>
      <c r="B1517" s="18" t="s">
        <v>36</v>
      </c>
      <c r="C1517" s="18" t="s">
        <v>646</v>
      </c>
      <c r="D1517" s="8" t="s">
        <v>818</v>
      </c>
      <c r="E1517" s="6" t="s">
        <v>50</v>
      </c>
      <c r="F1517" s="6" t="s">
        <v>659</v>
      </c>
      <c r="G1517" s="7">
        <f>78+174.38</f>
        <v>252.38</v>
      </c>
    </row>
    <row r="1518" spans="1:7" x14ac:dyDescent="0.3">
      <c r="A1518" s="18">
        <v>46092</v>
      </c>
      <c r="B1518" s="18" t="s">
        <v>36</v>
      </c>
      <c r="C1518" s="18" t="s">
        <v>646</v>
      </c>
      <c r="D1518" s="8" t="s">
        <v>818</v>
      </c>
      <c r="E1518" s="6" t="s">
        <v>50</v>
      </c>
      <c r="F1518" s="6" t="s">
        <v>659</v>
      </c>
      <c r="G1518" s="7">
        <v>63.73</v>
      </c>
    </row>
    <row r="1519" spans="1:7" x14ac:dyDescent="0.3">
      <c r="A1519" s="18">
        <v>46107</v>
      </c>
      <c r="B1519" s="18" t="s">
        <v>36</v>
      </c>
      <c r="C1519" s="18" t="s">
        <v>646</v>
      </c>
      <c r="D1519" s="8" t="s">
        <v>818</v>
      </c>
      <c r="E1519" s="6" t="s">
        <v>50</v>
      </c>
      <c r="F1519" s="6" t="s">
        <v>659</v>
      </c>
      <c r="G1519" s="7">
        <v>1174.44</v>
      </c>
    </row>
    <row r="1520" spans="1:7" x14ac:dyDescent="0.3">
      <c r="A1520" s="18">
        <v>46146</v>
      </c>
      <c r="B1520" s="18" t="s">
        <v>36</v>
      </c>
      <c r="C1520" s="18" t="s">
        <v>646</v>
      </c>
      <c r="D1520" s="8" t="s">
        <v>818</v>
      </c>
      <c r="E1520" s="8" t="s">
        <v>13</v>
      </c>
      <c r="F1520" s="6" t="s">
        <v>659</v>
      </c>
      <c r="G1520" s="9">
        <f>64.99+89.73</f>
        <v>154.72</v>
      </c>
    </row>
    <row r="1521" spans="1:7" x14ac:dyDescent="0.3">
      <c r="A1521" s="18">
        <v>46147</v>
      </c>
      <c r="B1521" s="18" t="s">
        <v>36</v>
      </c>
      <c r="C1521" s="18" t="s">
        <v>646</v>
      </c>
      <c r="D1521" s="8" t="s">
        <v>818</v>
      </c>
      <c r="E1521" s="8" t="s">
        <v>50</v>
      </c>
      <c r="F1521" s="6" t="s">
        <v>659</v>
      </c>
      <c r="G1521" s="9">
        <v>308.25</v>
      </c>
    </row>
    <row r="1522" spans="1:7" x14ac:dyDescent="0.3">
      <c r="A1522" s="18">
        <v>46148</v>
      </c>
      <c r="B1522" s="18" t="s">
        <v>36</v>
      </c>
      <c r="C1522" s="18" t="s">
        <v>646</v>
      </c>
      <c r="D1522" s="8" t="s">
        <v>818</v>
      </c>
      <c r="E1522" s="8" t="s">
        <v>13</v>
      </c>
      <c r="F1522" s="6" t="s">
        <v>659</v>
      </c>
      <c r="G1522" s="9">
        <v>111</v>
      </c>
    </row>
    <row r="1523" spans="1:7" x14ac:dyDescent="0.3">
      <c r="A1523" s="18">
        <v>46072</v>
      </c>
      <c r="B1523" s="18" t="s">
        <v>36</v>
      </c>
      <c r="C1523" s="18" t="s">
        <v>646</v>
      </c>
      <c r="D1523" s="8" t="s">
        <v>818</v>
      </c>
      <c r="E1523" s="6" t="s">
        <v>50</v>
      </c>
      <c r="F1523" s="6" t="s">
        <v>659</v>
      </c>
      <c r="G1523" s="7">
        <v>525.95000000000005</v>
      </c>
    </row>
    <row r="1524" spans="1:7" x14ac:dyDescent="0.3">
      <c r="A1524" s="18">
        <v>46113</v>
      </c>
      <c r="B1524" s="18" t="s">
        <v>36</v>
      </c>
      <c r="C1524" s="18" t="s">
        <v>646</v>
      </c>
      <c r="D1524" s="8" t="s">
        <v>818</v>
      </c>
      <c r="E1524" s="6" t="s">
        <v>13</v>
      </c>
      <c r="F1524" s="6" t="s">
        <v>659</v>
      </c>
      <c r="G1524" s="7">
        <v>807.62</v>
      </c>
    </row>
    <row r="1525" spans="1:7" s="1" customFormat="1" x14ac:dyDescent="0.3">
      <c r="A1525" s="23">
        <v>46181</v>
      </c>
      <c r="B1525" s="23" t="s">
        <v>36</v>
      </c>
      <c r="C1525" s="18" t="s">
        <v>646</v>
      </c>
      <c r="D1525" s="8" t="s">
        <v>818</v>
      </c>
      <c r="E1525" s="6" t="s">
        <v>50</v>
      </c>
      <c r="F1525" s="6" t="s">
        <v>659</v>
      </c>
      <c r="G1525" s="9">
        <v>112.58</v>
      </c>
    </row>
    <row r="1526" spans="1:7" x14ac:dyDescent="0.3">
      <c r="A1526" s="18">
        <v>46113</v>
      </c>
      <c r="B1526" s="18" t="s">
        <v>36</v>
      </c>
      <c r="C1526" s="18" t="s">
        <v>646</v>
      </c>
      <c r="D1526" s="6" t="s">
        <v>793</v>
      </c>
      <c r="E1526" s="6" t="s">
        <v>57</v>
      </c>
      <c r="F1526" s="6" t="s">
        <v>659</v>
      </c>
      <c r="G1526" s="7">
        <v>132.59</v>
      </c>
    </row>
    <row r="1527" spans="1:7" x14ac:dyDescent="0.3">
      <c r="A1527" s="18">
        <v>46047</v>
      </c>
      <c r="B1527" s="18" t="s">
        <v>36</v>
      </c>
      <c r="C1527" s="18" t="s">
        <v>646</v>
      </c>
      <c r="D1527" s="6" t="s">
        <v>298</v>
      </c>
      <c r="E1527" s="6" t="s">
        <v>57</v>
      </c>
      <c r="F1527" s="6" t="s">
        <v>657</v>
      </c>
      <c r="G1527" s="7">
        <v>351.92</v>
      </c>
    </row>
    <row r="1528" spans="1:7" x14ac:dyDescent="0.3">
      <c r="A1528" s="18">
        <v>46078</v>
      </c>
      <c r="B1528" s="18" t="s">
        <v>36</v>
      </c>
      <c r="C1528" s="18" t="s">
        <v>646</v>
      </c>
      <c r="D1528" s="6" t="s">
        <v>298</v>
      </c>
      <c r="E1528" s="6" t="s">
        <v>57</v>
      </c>
      <c r="F1528" s="6" t="s">
        <v>657</v>
      </c>
      <c r="G1528" s="7">
        <v>351.92</v>
      </c>
    </row>
    <row r="1529" spans="1:7" x14ac:dyDescent="0.3">
      <c r="A1529" s="18">
        <v>46113</v>
      </c>
      <c r="B1529" s="18" t="s">
        <v>36</v>
      </c>
      <c r="C1529" s="18" t="s">
        <v>646</v>
      </c>
      <c r="D1529" s="6" t="s">
        <v>794</v>
      </c>
      <c r="E1529" s="6" t="s">
        <v>57</v>
      </c>
      <c r="F1529" s="6" t="s">
        <v>659</v>
      </c>
      <c r="G1529" s="7">
        <v>108.98</v>
      </c>
    </row>
    <row r="1530" spans="1:7" x14ac:dyDescent="0.3">
      <c r="A1530" s="18">
        <v>46041</v>
      </c>
      <c r="B1530" s="18" t="s">
        <v>36</v>
      </c>
      <c r="C1530" s="18" t="s">
        <v>646</v>
      </c>
      <c r="D1530" s="6" t="s">
        <v>221</v>
      </c>
      <c r="E1530" s="6" t="s">
        <v>42</v>
      </c>
      <c r="F1530" s="6" t="s">
        <v>659</v>
      </c>
      <c r="G1530" s="7">
        <v>224.42</v>
      </c>
    </row>
    <row r="1531" spans="1:7" x14ac:dyDescent="0.3">
      <c r="A1531" s="18">
        <v>46064</v>
      </c>
      <c r="B1531" s="18" t="s">
        <v>36</v>
      </c>
      <c r="C1531" s="18" t="s">
        <v>646</v>
      </c>
      <c r="D1531" s="6" t="s">
        <v>221</v>
      </c>
      <c r="E1531" s="6" t="s">
        <v>42</v>
      </c>
      <c r="F1531" s="6" t="s">
        <v>659</v>
      </c>
      <c r="G1531" s="7">
        <v>104.99</v>
      </c>
    </row>
    <row r="1532" spans="1:7" x14ac:dyDescent="0.3">
      <c r="A1532" s="18">
        <v>46064</v>
      </c>
      <c r="B1532" s="18" t="s">
        <v>36</v>
      </c>
      <c r="C1532" s="18" t="s">
        <v>646</v>
      </c>
      <c r="D1532" s="6" t="s">
        <v>221</v>
      </c>
      <c r="E1532" s="6" t="s">
        <v>42</v>
      </c>
      <c r="F1532" s="6" t="s">
        <v>659</v>
      </c>
      <c r="G1532" s="7">
        <v>626.20000000000005</v>
      </c>
    </row>
    <row r="1533" spans="1:7" x14ac:dyDescent="0.3">
      <c r="A1533" s="18">
        <v>46195</v>
      </c>
      <c r="B1533" s="47" t="s">
        <v>36</v>
      </c>
      <c r="C1533" s="47" t="s">
        <v>646</v>
      </c>
      <c r="D1533" s="8" t="s">
        <v>1000</v>
      </c>
      <c r="E1533" s="8" t="s">
        <v>57</v>
      </c>
      <c r="F1533" s="6" t="s">
        <v>659</v>
      </c>
      <c r="G1533" s="9">
        <v>247.95</v>
      </c>
    </row>
    <row r="1534" spans="1:7" x14ac:dyDescent="0.3">
      <c r="A1534" s="18">
        <v>46113</v>
      </c>
      <c r="B1534" s="18" t="s">
        <v>36</v>
      </c>
      <c r="C1534" s="18" t="s">
        <v>49</v>
      </c>
      <c r="D1534" s="6" t="s">
        <v>779</v>
      </c>
      <c r="E1534" s="6" t="s">
        <v>50</v>
      </c>
      <c r="F1534" s="6" t="s">
        <v>659</v>
      </c>
      <c r="G1534" s="7">
        <v>-873.9</v>
      </c>
    </row>
    <row r="1535" spans="1:7" x14ac:dyDescent="0.3">
      <c r="A1535" s="18">
        <v>46080</v>
      </c>
      <c r="B1535" s="18" t="s">
        <v>36</v>
      </c>
      <c r="C1535" s="18" t="s">
        <v>49</v>
      </c>
      <c r="D1535" s="6" t="s">
        <v>95</v>
      </c>
      <c r="E1535" s="6" t="s">
        <v>42</v>
      </c>
      <c r="F1535" s="6" t="s">
        <v>659</v>
      </c>
      <c r="G1535" s="7">
        <v>-873.9</v>
      </c>
    </row>
    <row r="1536" spans="1:7" x14ac:dyDescent="0.3">
      <c r="A1536" s="18">
        <v>46099</v>
      </c>
      <c r="B1536" s="18" t="s">
        <v>36</v>
      </c>
      <c r="C1536" s="18" t="s">
        <v>49</v>
      </c>
      <c r="D1536" s="6" t="s">
        <v>95</v>
      </c>
      <c r="E1536" s="6" t="s">
        <v>42</v>
      </c>
      <c r="F1536" s="6" t="s">
        <v>659</v>
      </c>
      <c r="G1536" s="7">
        <v>-873.9</v>
      </c>
    </row>
    <row r="1537" spans="1:7" x14ac:dyDescent="0.3">
      <c r="A1537" s="18">
        <v>46104</v>
      </c>
      <c r="B1537" s="18" t="s">
        <v>36</v>
      </c>
      <c r="C1537" s="18" t="s">
        <v>49</v>
      </c>
      <c r="D1537" s="6" t="s">
        <v>95</v>
      </c>
      <c r="E1537" s="6" t="s">
        <v>42</v>
      </c>
      <c r="F1537" s="6" t="s">
        <v>659</v>
      </c>
      <c r="G1537" s="7">
        <v>-196.62</v>
      </c>
    </row>
    <row r="1538" spans="1:7" x14ac:dyDescent="0.3">
      <c r="A1538" s="18">
        <v>46164</v>
      </c>
      <c r="B1538" s="18" t="s">
        <v>36</v>
      </c>
      <c r="C1538" s="18" t="s">
        <v>49</v>
      </c>
      <c r="D1538" s="6" t="s">
        <v>95</v>
      </c>
      <c r="E1538" s="6" t="s">
        <v>42</v>
      </c>
      <c r="F1538" s="6" t="s">
        <v>659</v>
      </c>
      <c r="G1538" s="9">
        <v>-873.96</v>
      </c>
    </row>
    <row r="1539" spans="1:7" x14ac:dyDescent="0.3">
      <c r="A1539" s="18">
        <v>46192</v>
      </c>
      <c r="B1539" s="18" t="s">
        <v>36</v>
      </c>
      <c r="C1539" s="18" t="s">
        <v>49</v>
      </c>
      <c r="D1539" s="6" t="s">
        <v>95</v>
      </c>
      <c r="E1539" s="6" t="s">
        <v>42</v>
      </c>
      <c r="F1539" s="6" t="s">
        <v>659</v>
      </c>
      <c r="G1539" s="9">
        <v>-873.96</v>
      </c>
    </row>
    <row r="1540" spans="1:7" x14ac:dyDescent="0.3">
      <c r="A1540" s="18">
        <v>46038</v>
      </c>
      <c r="B1540" s="18" t="s">
        <v>36</v>
      </c>
      <c r="C1540" s="18" t="s">
        <v>49</v>
      </c>
      <c r="D1540" s="6" t="s">
        <v>5</v>
      </c>
      <c r="E1540" s="6" t="s">
        <v>57</v>
      </c>
      <c r="F1540" s="6" t="s">
        <v>659</v>
      </c>
      <c r="G1540" s="7">
        <v>-163.86</v>
      </c>
    </row>
    <row r="1541" spans="1:7" x14ac:dyDescent="0.3">
      <c r="A1541" s="18">
        <v>46085</v>
      </c>
      <c r="B1541" s="18" t="s">
        <v>36</v>
      </c>
      <c r="C1541" s="18" t="s">
        <v>49</v>
      </c>
      <c r="D1541" s="6" t="s">
        <v>5</v>
      </c>
      <c r="E1541" s="6" t="s">
        <v>57</v>
      </c>
      <c r="F1541" s="6" t="s">
        <v>659</v>
      </c>
      <c r="G1541" s="7">
        <v>-360.45</v>
      </c>
    </row>
    <row r="1542" spans="1:7" x14ac:dyDescent="0.3">
      <c r="A1542" s="18">
        <v>46111</v>
      </c>
      <c r="B1542" s="18" t="s">
        <v>36</v>
      </c>
      <c r="C1542" s="18" t="s">
        <v>49</v>
      </c>
      <c r="D1542" s="6" t="s">
        <v>5</v>
      </c>
      <c r="E1542" s="6" t="s">
        <v>57</v>
      </c>
      <c r="F1542" s="6" t="s">
        <v>659</v>
      </c>
      <c r="G1542" s="7">
        <v>-900</v>
      </c>
    </row>
    <row r="1543" spans="1:7" x14ac:dyDescent="0.3">
      <c r="A1543" s="18">
        <v>46113</v>
      </c>
      <c r="B1543" s="18" t="s">
        <v>36</v>
      </c>
      <c r="C1543" s="18" t="s">
        <v>49</v>
      </c>
      <c r="D1543" s="6" t="s">
        <v>5</v>
      </c>
      <c r="E1543" s="6" t="s">
        <v>57</v>
      </c>
      <c r="F1543" s="6" t="s">
        <v>659</v>
      </c>
      <c r="G1543" s="7">
        <v>-873.9</v>
      </c>
    </row>
    <row r="1544" spans="1:7" x14ac:dyDescent="0.3">
      <c r="A1544" s="18">
        <v>46113</v>
      </c>
      <c r="B1544" s="18" t="s">
        <v>36</v>
      </c>
      <c r="C1544" s="18" t="s">
        <v>49</v>
      </c>
      <c r="D1544" s="6" t="s">
        <v>5</v>
      </c>
      <c r="E1544" s="6" t="s">
        <v>57</v>
      </c>
      <c r="F1544" s="6" t="s">
        <v>659</v>
      </c>
      <c r="G1544" s="7">
        <v>-873.96</v>
      </c>
    </row>
    <row r="1545" spans="1:7" x14ac:dyDescent="0.3">
      <c r="A1545" s="18">
        <v>46113</v>
      </c>
      <c r="B1545" s="18" t="s">
        <v>36</v>
      </c>
      <c r="C1545" s="18" t="s">
        <v>49</v>
      </c>
      <c r="D1545" s="6" t="s">
        <v>5</v>
      </c>
      <c r="E1545" s="6" t="s">
        <v>57</v>
      </c>
      <c r="F1545" s="6" t="s">
        <v>659</v>
      </c>
      <c r="G1545" s="7">
        <v>-900</v>
      </c>
    </row>
    <row r="1546" spans="1:7" x14ac:dyDescent="0.3">
      <c r="A1546" s="18">
        <v>46099</v>
      </c>
      <c r="B1546" s="18" t="s">
        <v>36</v>
      </c>
      <c r="C1546" s="18" t="s">
        <v>49</v>
      </c>
      <c r="D1546" s="6" t="s">
        <v>19</v>
      </c>
      <c r="E1546" s="6" t="s">
        <v>13</v>
      </c>
      <c r="F1546" s="6" t="s">
        <v>659</v>
      </c>
      <c r="G1546" s="7">
        <v>-873.9</v>
      </c>
    </row>
    <row r="1547" spans="1:7" x14ac:dyDescent="0.3">
      <c r="A1547" s="18">
        <v>46080</v>
      </c>
      <c r="B1547" s="18" t="s">
        <v>36</v>
      </c>
      <c r="C1547" s="18" t="s">
        <v>49</v>
      </c>
      <c r="D1547" s="6" t="s">
        <v>300</v>
      </c>
      <c r="E1547" s="6" t="s">
        <v>50</v>
      </c>
      <c r="F1547" s="6" t="s">
        <v>659</v>
      </c>
      <c r="G1547" s="7">
        <v>-873.9</v>
      </c>
    </row>
    <row r="1548" spans="1:7" x14ac:dyDescent="0.3">
      <c r="A1548" s="18">
        <v>46083</v>
      </c>
      <c r="B1548" s="18" t="s">
        <v>36</v>
      </c>
      <c r="C1548" s="18" t="s">
        <v>72</v>
      </c>
      <c r="D1548" s="6" t="s">
        <v>1</v>
      </c>
      <c r="E1548" s="6" t="s">
        <v>42</v>
      </c>
      <c r="F1548" s="6" t="s">
        <v>659</v>
      </c>
      <c r="G1548" s="7">
        <v>540</v>
      </c>
    </row>
    <row r="1549" spans="1:7" x14ac:dyDescent="0.3">
      <c r="A1549" s="18">
        <v>46112</v>
      </c>
      <c r="B1549" s="18" t="s">
        <v>36</v>
      </c>
      <c r="C1549" s="18" t="s">
        <v>72</v>
      </c>
      <c r="D1549" s="6" t="s">
        <v>1</v>
      </c>
      <c r="E1549" s="6" t="s">
        <v>42</v>
      </c>
      <c r="F1549" s="6" t="s">
        <v>659</v>
      </c>
      <c r="G1549" s="7">
        <v>2160</v>
      </c>
    </row>
    <row r="1550" spans="1:7" x14ac:dyDescent="0.3">
      <c r="A1550" s="18">
        <v>46147</v>
      </c>
      <c r="B1550" s="18" t="s">
        <v>36</v>
      </c>
      <c r="C1550" s="18" t="s">
        <v>72</v>
      </c>
      <c r="D1550" s="6" t="s">
        <v>1</v>
      </c>
      <c r="E1550" s="6" t="s">
        <v>42</v>
      </c>
      <c r="F1550" s="6" t="s">
        <v>659</v>
      </c>
      <c r="G1550" s="9">
        <v>2700</v>
      </c>
    </row>
    <row r="1551" spans="1:7" x14ac:dyDescent="0.3">
      <c r="A1551" s="18">
        <v>46171</v>
      </c>
      <c r="B1551" s="18" t="s">
        <v>36</v>
      </c>
      <c r="C1551" s="18" t="s">
        <v>72</v>
      </c>
      <c r="D1551" s="8" t="s">
        <v>1</v>
      </c>
      <c r="E1551" s="8" t="s">
        <v>42</v>
      </c>
      <c r="F1551" s="6" t="s">
        <v>659</v>
      </c>
      <c r="G1551" s="9">
        <v>1620</v>
      </c>
    </row>
    <row r="1552" spans="1:7" x14ac:dyDescent="0.3">
      <c r="A1552" s="18">
        <v>46037</v>
      </c>
      <c r="B1552" s="18" t="s">
        <v>36</v>
      </c>
      <c r="C1552" s="18" t="s">
        <v>72</v>
      </c>
      <c r="D1552" s="6" t="s">
        <v>226</v>
      </c>
      <c r="E1552" s="6" t="s">
        <v>50</v>
      </c>
      <c r="F1552" s="6" t="s">
        <v>659</v>
      </c>
      <c r="G1552" s="7">
        <f>6*350</f>
        <v>2100</v>
      </c>
    </row>
    <row r="1553" spans="1:7" x14ac:dyDescent="0.3">
      <c r="A1553" s="18">
        <v>46072</v>
      </c>
      <c r="B1553" s="18" t="s">
        <v>36</v>
      </c>
      <c r="C1553" s="18" t="s">
        <v>72</v>
      </c>
      <c r="D1553" s="6" t="s">
        <v>226</v>
      </c>
      <c r="E1553" s="6" t="s">
        <v>50</v>
      </c>
      <c r="F1553" s="6" t="s">
        <v>659</v>
      </c>
      <c r="G1553" s="7">
        <f>350*6</f>
        <v>2100</v>
      </c>
    </row>
    <row r="1554" spans="1:7" x14ac:dyDescent="0.3">
      <c r="A1554" s="18">
        <v>46106</v>
      </c>
      <c r="B1554" s="18" t="s">
        <v>36</v>
      </c>
      <c r="C1554" s="18" t="s">
        <v>72</v>
      </c>
      <c r="D1554" s="6" t="s">
        <v>226</v>
      </c>
      <c r="E1554" s="6" t="s">
        <v>50</v>
      </c>
      <c r="F1554" s="6" t="s">
        <v>659</v>
      </c>
      <c r="G1554" s="7">
        <f>400*8</f>
        <v>3200</v>
      </c>
    </row>
    <row r="1555" spans="1:7" x14ac:dyDescent="0.3">
      <c r="A1555" s="18">
        <v>46113</v>
      </c>
      <c r="B1555" s="18" t="s">
        <v>36</v>
      </c>
      <c r="C1555" s="18" t="s">
        <v>72</v>
      </c>
      <c r="D1555" s="6" t="s">
        <v>226</v>
      </c>
      <c r="E1555" s="6" t="s">
        <v>50</v>
      </c>
      <c r="F1555" s="6" t="s">
        <v>659</v>
      </c>
      <c r="G1555" s="7">
        <v>3200</v>
      </c>
    </row>
    <row r="1556" spans="1:7" x14ac:dyDescent="0.3">
      <c r="A1556" s="18">
        <v>46171</v>
      </c>
      <c r="B1556" s="18" t="s">
        <v>36</v>
      </c>
      <c r="C1556" s="18" t="s">
        <v>72</v>
      </c>
      <c r="D1556" s="8" t="s">
        <v>226</v>
      </c>
      <c r="E1556" s="8" t="s">
        <v>50</v>
      </c>
      <c r="F1556" s="6" t="s">
        <v>659</v>
      </c>
      <c r="G1556" s="9">
        <v>3200</v>
      </c>
    </row>
    <row r="1557" spans="1:7" x14ac:dyDescent="0.3">
      <c r="A1557" s="18">
        <v>46192</v>
      </c>
      <c r="B1557" s="18" t="s">
        <v>36</v>
      </c>
      <c r="C1557" s="18" t="s">
        <v>72</v>
      </c>
      <c r="D1557" s="6" t="s">
        <v>226</v>
      </c>
      <c r="E1557" s="6" t="s">
        <v>50</v>
      </c>
      <c r="F1557" s="6" t="s">
        <v>659</v>
      </c>
      <c r="G1557" s="7">
        <f>5*400</f>
        <v>2000</v>
      </c>
    </row>
    <row r="1558" spans="1:7" x14ac:dyDescent="0.3">
      <c r="A1558" s="18">
        <v>46192</v>
      </c>
      <c r="B1558" s="18" t="s">
        <v>36</v>
      </c>
      <c r="C1558" s="18" t="s">
        <v>72</v>
      </c>
      <c r="D1558" s="6" t="s">
        <v>226</v>
      </c>
      <c r="E1558" s="6" t="s">
        <v>50</v>
      </c>
      <c r="F1558" s="6" t="s">
        <v>659</v>
      </c>
      <c r="G1558" s="9">
        <v>1300</v>
      </c>
    </row>
    <row r="1559" spans="1:7" x14ac:dyDescent="0.3">
      <c r="A1559" s="18">
        <v>46059</v>
      </c>
      <c r="B1559" s="18" t="s">
        <v>36</v>
      </c>
      <c r="C1559" s="18" t="s">
        <v>72</v>
      </c>
      <c r="D1559" s="6" t="s">
        <v>831</v>
      </c>
      <c r="E1559" s="6" t="s">
        <v>57</v>
      </c>
      <c r="F1559" s="6" t="s">
        <v>659</v>
      </c>
      <c r="G1559" s="7">
        <v>2920</v>
      </c>
    </row>
    <row r="1560" spans="1:7" x14ac:dyDescent="0.3">
      <c r="A1560" s="18">
        <v>46087</v>
      </c>
      <c r="B1560" s="18" t="s">
        <v>36</v>
      </c>
      <c r="C1560" s="18" t="s">
        <v>72</v>
      </c>
      <c r="D1560" s="6" t="s">
        <v>831</v>
      </c>
      <c r="E1560" s="6" t="s">
        <v>57</v>
      </c>
      <c r="F1560" s="6" t="s">
        <v>659</v>
      </c>
      <c r="G1560" s="7">
        <v>2920</v>
      </c>
    </row>
    <row r="1561" spans="1:7" x14ac:dyDescent="0.3">
      <c r="A1561" s="18">
        <v>46113</v>
      </c>
      <c r="B1561" s="18" t="s">
        <v>36</v>
      </c>
      <c r="C1561" s="18" t="s">
        <v>72</v>
      </c>
      <c r="D1561" s="6" t="s">
        <v>831</v>
      </c>
      <c r="E1561" s="6" t="s">
        <v>57</v>
      </c>
      <c r="F1561" s="6" t="s">
        <v>659</v>
      </c>
      <c r="G1561" s="7">
        <v>3650</v>
      </c>
    </row>
    <row r="1562" spans="1:7" x14ac:dyDescent="0.3">
      <c r="A1562" s="18">
        <v>46164</v>
      </c>
      <c r="B1562" s="18" t="s">
        <v>36</v>
      </c>
      <c r="C1562" s="18" t="s">
        <v>72</v>
      </c>
      <c r="D1562" s="6" t="s">
        <v>831</v>
      </c>
      <c r="E1562" s="6" t="s">
        <v>57</v>
      </c>
      <c r="F1562" s="6" t="s">
        <v>659</v>
      </c>
      <c r="G1562" s="9">
        <v>730</v>
      </c>
    </row>
    <row r="1563" spans="1:7" x14ac:dyDescent="0.3">
      <c r="A1563" s="18">
        <v>46195</v>
      </c>
      <c r="B1563" s="18" t="s">
        <v>36</v>
      </c>
      <c r="C1563" s="18" t="s">
        <v>72</v>
      </c>
      <c r="D1563" s="8" t="s">
        <v>831</v>
      </c>
      <c r="E1563" s="8" t="s">
        <v>57</v>
      </c>
      <c r="F1563" s="6" t="s">
        <v>659</v>
      </c>
      <c r="G1563" s="9">
        <v>730</v>
      </c>
    </row>
    <row r="1564" spans="1:7" x14ac:dyDescent="0.3">
      <c r="A1564" s="18">
        <v>46098</v>
      </c>
      <c r="B1564" s="18" t="s">
        <v>36</v>
      </c>
      <c r="C1564" s="18" t="s">
        <v>72</v>
      </c>
      <c r="D1564" s="6" t="s">
        <v>953</v>
      </c>
      <c r="E1564" s="6" t="s">
        <v>13</v>
      </c>
      <c r="F1564" s="6" t="s">
        <v>659</v>
      </c>
      <c r="G1564" s="7">
        <v>1300</v>
      </c>
    </row>
    <row r="1565" spans="1:7" x14ac:dyDescent="0.3">
      <c r="A1565" s="18">
        <v>46163</v>
      </c>
      <c r="B1565" s="18" t="s">
        <v>36</v>
      </c>
      <c r="C1565" s="18" t="s">
        <v>72</v>
      </c>
      <c r="D1565" s="6" t="s">
        <v>953</v>
      </c>
      <c r="E1565" s="6" t="s">
        <v>13</v>
      </c>
      <c r="F1565" s="6" t="s">
        <v>659</v>
      </c>
      <c r="G1565" s="7">
        <v>760</v>
      </c>
    </row>
    <row r="1566" spans="1:7" x14ac:dyDescent="0.3">
      <c r="A1566" s="18">
        <v>46050</v>
      </c>
      <c r="B1566" s="18" t="s">
        <v>36</v>
      </c>
      <c r="C1566" s="18" t="s">
        <v>72</v>
      </c>
      <c r="D1566" s="6" t="s">
        <v>953</v>
      </c>
      <c r="E1566" s="6" t="s">
        <v>13</v>
      </c>
      <c r="F1566" s="6" t="s">
        <v>659</v>
      </c>
      <c r="G1566" s="7">
        <v>760</v>
      </c>
    </row>
    <row r="1567" spans="1:7" x14ac:dyDescent="0.3">
      <c r="A1567" s="18">
        <v>46094</v>
      </c>
      <c r="B1567" s="18" t="s">
        <v>36</v>
      </c>
      <c r="C1567" s="18" t="s">
        <v>72</v>
      </c>
      <c r="D1567" s="6" t="s">
        <v>953</v>
      </c>
      <c r="E1567" s="6" t="s">
        <v>13</v>
      </c>
      <c r="F1567" s="6" t="s">
        <v>659</v>
      </c>
      <c r="G1567" s="7">
        <v>380</v>
      </c>
    </row>
    <row r="1568" spans="1:7" x14ac:dyDescent="0.3">
      <c r="A1568" s="18">
        <v>46113</v>
      </c>
      <c r="B1568" s="18" t="s">
        <v>36</v>
      </c>
      <c r="C1568" s="18" t="s">
        <v>72</v>
      </c>
      <c r="D1568" s="6" t="s">
        <v>953</v>
      </c>
      <c r="E1568" s="6" t="s">
        <v>13</v>
      </c>
      <c r="F1568" s="6" t="s">
        <v>659</v>
      </c>
      <c r="G1568" s="7">
        <v>1140</v>
      </c>
    </row>
    <row r="1569" spans="1:7" x14ac:dyDescent="0.3">
      <c r="A1569" s="18">
        <v>46181</v>
      </c>
      <c r="B1569" s="18" t="s">
        <v>36</v>
      </c>
      <c r="C1569" s="18" t="s">
        <v>72</v>
      </c>
      <c r="D1569" s="6" t="s">
        <v>953</v>
      </c>
      <c r="E1569" s="6" t="s">
        <v>13</v>
      </c>
      <c r="F1569" s="6" t="s">
        <v>659</v>
      </c>
      <c r="G1569" s="9">
        <v>380</v>
      </c>
    </row>
    <row r="1570" spans="1:7" x14ac:dyDescent="0.3">
      <c r="A1570" s="18">
        <v>46192</v>
      </c>
      <c r="B1570" s="18" t="s">
        <v>36</v>
      </c>
      <c r="C1570" s="18" t="s">
        <v>72</v>
      </c>
      <c r="D1570" s="6" t="s">
        <v>953</v>
      </c>
      <c r="E1570" s="6" t="s">
        <v>13</v>
      </c>
      <c r="F1570" s="6" t="s">
        <v>659</v>
      </c>
      <c r="G1570" s="9">
        <v>1300</v>
      </c>
    </row>
    <row r="1571" spans="1:7" x14ac:dyDescent="0.3">
      <c r="A1571" s="18">
        <v>46064</v>
      </c>
      <c r="B1571" s="18" t="s">
        <v>36</v>
      </c>
      <c r="C1571" s="18" t="s">
        <v>467</v>
      </c>
      <c r="D1571" s="6" t="s">
        <v>468</v>
      </c>
      <c r="E1571" s="6" t="s">
        <v>13</v>
      </c>
      <c r="F1571" s="6" t="s">
        <v>659</v>
      </c>
      <c r="G1571" s="7">
        <v>1039.27</v>
      </c>
    </row>
    <row r="1572" spans="1:7" x14ac:dyDescent="0.3">
      <c r="A1572" s="18">
        <v>46103</v>
      </c>
      <c r="B1572" s="18" t="s">
        <v>66</v>
      </c>
      <c r="C1572" s="18" t="s">
        <v>345</v>
      </c>
      <c r="D1572" s="6" t="s">
        <v>573</v>
      </c>
      <c r="E1572" s="6" t="s">
        <v>42</v>
      </c>
      <c r="F1572" s="6" t="s">
        <v>656</v>
      </c>
      <c r="G1572" s="7">
        <v>100</v>
      </c>
    </row>
    <row r="1573" spans="1:7" x14ac:dyDescent="0.3">
      <c r="A1573" s="18">
        <v>46089</v>
      </c>
      <c r="B1573" s="18" t="s">
        <v>66</v>
      </c>
      <c r="C1573" s="18" t="s">
        <v>345</v>
      </c>
      <c r="D1573" s="6" t="s">
        <v>540</v>
      </c>
      <c r="E1573" s="6" t="s">
        <v>57</v>
      </c>
      <c r="F1573" s="6" t="s">
        <v>656</v>
      </c>
      <c r="G1573" s="7">
        <v>387.48</v>
      </c>
    </row>
    <row r="1574" spans="1:7" x14ac:dyDescent="0.3">
      <c r="A1574" s="18">
        <v>46066</v>
      </c>
      <c r="B1574" s="18" t="s">
        <v>66</v>
      </c>
      <c r="C1574" s="18" t="s">
        <v>345</v>
      </c>
      <c r="D1574" s="6" t="s">
        <v>472</v>
      </c>
      <c r="E1574" s="6" t="s">
        <v>57</v>
      </c>
      <c r="F1574" s="6" t="s">
        <v>656</v>
      </c>
      <c r="G1574" s="7">
        <v>139.9</v>
      </c>
    </row>
    <row r="1575" spans="1:7" x14ac:dyDescent="0.3">
      <c r="A1575" s="18">
        <v>46113</v>
      </c>
      <c r="B1575" s="18" t="s">
        <v>66</v>
      </c>
      <c r="C1575" s="18" t="s">
        <v>345</v>
      </c>
      <c r="D1575" s="6" t="s">
        <v>472</v>
      </c>
      <c r="E1575" s="6" t="s">
        <v>57</v>
      </c>
      <c r="F1575" s="6" t="s">
        <v>656</v>
      </c>
      <c r="G1575" s="7">
        <v>149.9</v>
      </c>
    </row>
    <row r="1576" spans="1:7" x14ac:dyDescent="0.3">
      <c r="A1576" s="18">
        <v>46038</v>
      </c>
      <c r="B1576" s="18" t="s">
        <v>66</v>
      </c>
      <c r="C1576" s="18" t="s">
        <v>345</v>
      </c>
      <c r="D1576" s="6" t="s">
        <v>395</v>
      </c>
      <c r="E1576" s="6" t="s">
        <v>47</v>
      </c>
      <c r="F1576" s="6" t="s">
        <v>656</v>
      </c>
      <c r="G1576" s="7">
        <v>380</v>
      </c>
    </row>
    <row r="1577" spans="1:7" x14ac:dyDescent="0.3">
      <c r="A1577" s="18">
        <v>46028</v>
      </c>
      <c r="B1577" s="18" t="s">
        <v>66</v>
      </c>
      <c r="C1577" s="18" t="s">
        <v>345</v>
      </c>
      <c r="D1577" s="6" t="s">
        <v>346</v>
      </c>
      <c r="E1577" s="6" t="s">
        <v>57</v>
      </c>
      <c r="F1577" s="6" t="s">
        <v>656</v>
      </c>
      <c r="G1577" s="7">
        <v>276.88</v>
      </c>
    </row>
    <row r="1578" spans="1:7" x14ac:dyDescent="0.3">
      <c r="A1578" s="18">
        <v>46031</v>
      </c>
      <c r="B1578" s="18" t="s">
        <v>66</v>
      </c>
      <c r="C1578" s="18" t="s">
        <v>345</v>
      </c>
      <c r="D1578" s="6" t="s">
        <v>346</v>
      </c>
      <c r="E1578" s="6" t="s">
        <v>57</v>
      </c>
      <c r="F1578" s="6" t="s">
        <v>656</v>
      </c>
      <c r="G1578" s="7">
        <v>12</v>
      </c>
    </row>
    <row r="1579" spans="1:7" x14ac:dyDescent="0.3">
      <c r="A1579" s="18">
        <v>46031</v>
      </c>
      <c r="B1579" s="18" t="s">
        <v>66</v>
      </c>
      <c r="C1579" s="18" t="s">
        <v>345</v>
      </c>
      <c r="D1579" s="6" t="s">
        <v>346</v>
      </c>
      <c r="E1579" s="6" t="s">
        <v>57</v>
      </c>
      <c r="F1579" s="6" t="s">
        <v>656</v>
      </c>
      <c r="G1579" s="7">
        <v>323.05</v>
      </c>
    </row>
    <row r="1580" spans="1:7" x14ac:dyDescent="0.3">
      <c r="A1580" s="18">
        <v>46054</v>
      </c>
      <c r="B1580" s="18" t="s">
        <v>66</v>
      </c>
      <c r="C1580" s="18" t="s">
        <v>345</v>
      </c>
      <c r="D1580" s="6" t="s">
        <v>346</v>
      </c>
      <c r="E1580" s="6" t="s">
        <v>57</v>
      </c>
      <c r="F1580" s="6" t="s">
        <v>661</v>
      </c>
      <c r="G1580" s="7">
        <v>285.23</v>
      </c>
    </row>
    <row r="1581" spans="1:7" x14ac:dyDescent="0.3">
      <c r="A1581" s="18">
        <v>46080</v>
      </c>
      <c r="B1581" s="18" t="s">
        <v>66</v>
      </c>
      <c r="C1581" s="18" t="s">
        <v>345</v>
      </c>
      <c r="D1581" s="6" t="s">
        <v>346</v>
      </c>
      <c r="E1581" s="6" t="s">
        <v>42</v>
      </c>
      <c r="F1581" s="6" t="s">
        <v>656</v>
      </c>
      <c r="G1581" s="7">
        <v>384.2</v>
      </c>
    </row>
    <row r="1582" spans="1:7" x14ac:dyDescent="0.3">
      <c r="A1582" s="18">
        <v>46090</v>
      </c>
      <c r="B1582" s="18" t="s">
        <v>66</v>
      </c>
      <c r="C1582" s="18" t="s">
        <v>345</v>
      </c>
      <c r="D1582" s="6" t="s">
        <v>346</v>
      </c>
      <c r="E1582" s="6" t="s">
        <v>42</v>
      </c>
      <c r="F1582" s="6" t="s">
        <v>656</v>
      </c>
      <c r="G1582" s="7">
        <v>421.66</v>
      </c>
    </row>
    <row r="1583" spans="1:7" x14ac:dyDescent="0.3">
      <c r="A1583" s="18">
        <v>46101</v>
      </c>
      <c r="B1583" s="18" t="s">
        <v>66</v>
      </c>
      <c r="C1583" s="18" t="s">
        <v>345</v>
      </c>
      <c r="D1583" s="6" t="s">
        <v>346</v>
      </c>
      <c r="E1583" s="6" t="s">
        <v>57</v>
      </c>
      <c r="F1583" s="6" t="s">
        <v>656</v>
      </c>
      <c r="G1583" s="7">
        <v>453.95</v>
      </c>
    </row>
    <row r="1584" spans="1:7" x14ac:dyDescent="0.3">
      <c r="A1584" s="18">
        <v>46105</v>
      </c>
      <c r="B1584" s="18" t="s">
        <v>66</v>
      </c>
      <c r="C1584" s="18" t="s">
        <v>345</v>
      </c>
      <c r="D1584" s="6" t="s">
        <v>346</v>
      </c>
      <c r="E1584" s="6" t="s">
        <v>42</v>
      </c>
      <c r="F1584" s="6" t="s">
        <v>656</v>
      </c>
      <c r="G1584" s="7">
        <v>353.65</v>
      </c>
    </row>
    <row r="1585" spans="1:7" x14ac:dyDescent="0.3">
      <c r="A1585" s="18">
        <v>46113</v>
      </c>
      <c r="B1585" s="18" t="s">
        <v>66</v>
      </c>
      <c r="C1585" s="18" t="s">
        <v>345</v>
      </c>
      <c r="D1585" s="6" t="s">
        <v>346</v>
      </c>
      <c r="E1585" s="6" t="s">
        <v>42</v>
      </c>
      <c r="F1585" s="6" t="s">
        <v>656</v>
      </c>
      <c r="G1585" s="7">
        <v>363.27</v>
      </c>
    </row>
    <row r="1586" spans="1:7" x14ac:dyDescent="0.3">
      <c r="A1586" s="18">
        <v>46113</v>
      </c>
      <c r="B1586" s="18" t="s">
        <v>66</v>
      </c>
      <c r="C1586" s="18" t="s">
        <v>345</v>
      </c>
      <c r="D1586" s="6" t="s">
        <v>346</v>
      </c>
      <c r="E1586" s="6" t="s">
        <v>57</v>
      </c>
      <c r="F1586" s="6" t="s">
        <v>656</v>
      </c>
      <c r="G1586" s="7">
        <v>434.76</v>
      </c>
    </row>
    <row r="1587" spans="1:7" x14ac:dyDescent="0.3">
      <c r="A1587" s="18">
        <v>46113</v>
      </c>
      <c r="B1587" s="18" t="s">
        <v>66</v>
      </c>
      <c r="C1587" s="18" t="s">
        <v>345</v>
      </c>
      <c r="D1587" s="6" t="s">
        <v>346</v>
      </c>
      <c r="E1587" s="6" t="s">
        <v>57</v>
      </c>
      <c r="F1587" s="6" t="s">
        <v>656</v>
      </c>
      <c r="G1587" s="7">
        <v>18.059999999999999</v>
      </c>
    </row>
    <row r="1588" spans="1:7" x14ac:dyDescent="0.3">
      <c r="A1588" s="18">
        <v>46113</v>
      </c>
      <c r="B1588" s="18" t="s">
        <v>66</v>
      </c>
      <c r="C1588" s="18" t="s">
        <v>345</v>
      </c>
      <c r="D1588" s="6" t="s">
        <v>346</v>
      </c>
      <c r="E1588" s="6" t="s">
        <v>57</v>
      </c>
      <c r="F1588" s="6" t="s">
        <v>656</v>
      </c>
      <c r="G1588" s="7">
        <v>167.31</v>
      </c>
    </row>
    <row r="1589" spans="1:7" x14ac:dyDescent="0.3">
      <c r="A1589" s="18">
        <v>46146</v>
      </c>
      <c r="B1589" s="18" t="s">
        <v>66</v>
      </c>
      <c r="C1589" s="18" t="s">
        <v>345</v>
      </c>
      <c r="D1589" s="6" t="s">
        <v>346</v>
      </c>
      <c r="E1589" s="6" t="s">
        <v>42</v>
      </c>
      <c r="F1589" s="6" t="s">
        <v>656</v>
      </c>
      <c r="G1589" s="7">
        <v>368.07</v>
      </c>
    </row>
    <row r="1590" spans="1:7" x14ac:dyDescent="0.3">
      <c r="A1590" s="18">
        <v>46161</v>
      </c>
      <c r="B1590" s="18" t="s">
        <v>66</v>
      </c>
      <c r="C1590" s="18" t="s">
        <v>345</v>
      </c>
      <c r="D1590" s="6" t="s">
        <v>346</v>
      </c>
      <c r="E1590" s="6" t="s">
        <v>42</v>
      </c>
      <c r="F1590" s="6" t="s">
        <v>656</v>
      </c>
      <c r="G1590" s="7">
        <v>340.01</v>
      </c>
    </row>
    <row r="1591" spans="1:7" x14ac:dyDescent="0.3">
      <c r="A1591" s="18">
        <v>46164</v>
      </c>
      <c r="B1591" s="18" t="s">
        <v>66</v>
      </c>
      <c r="C1591" s="18" t="s">
        <v>345</v>
      </c>
      <c r="D1591" s="6" t="s">
        <v>346</v>
      </c>
      <c r="E1591" s="6" t="s">
        <v>42</v>
      </c>
      <c r="F1591" s="6" t="s">
        <v>656</v>
      </c>
      <c r="G1591" s="7">
        <v>446.7</v>
      </c>
    </row>
    <row r="1592" spans="1:7" x14ac:dyDescent="0.3">
      <c r="A1592" s="18">
        <v>46194</v>
      </c>
      <c r="B1592" s="18" t="s">
        <v>66</v>
      </c>
      <c r="C1592" s="18" t="s">
        <v>345</v>
      </c>
      <c r="D1592" s="6" t="s">
        <v>346</v>
      </c>
      <c r="E1592" s="6" t="s">
        <v>42</v>
      </c>
      <c r="F1592" s="6" t="s">
        <v>656</v>
      </c>
      <c r="G1592" s="7">
        <v>452.34</v>
      </c>
    </row>
    <row r="1593" spans="1:7" x14ac:dyDescent="0.3">
      <c r="A1593" s="18">
        <v>46194</v>
      </c>
      <c r="B1593" s="18" t="s">
        <v>66</v>
      </c>
      <c r="C1593" s="18" t="s">
        <v>345</v>
      </c>
      <c r="D1593" s="6" t="s">
        <v>346</v>
      </c>
      <c r="E1593" s="6" t="s">
        <v>57</v>
      </c>
      <c r="F1593" s="6" t="s">
        <v>656</v>
      </c>
      <c r="G1593" s="7">
        <v>251.58</v>
      </c>
    </row>
    <row r="1594" spans="1:7" x14ac:dyDescent="0.3">
      <c r="A1594" s="18">
        <v>46187</v>
      </c>
      <c r="B1594" s="18" t="s">
        <v>66</v>
      </c>
      <c r="C1594" s="18" t="s">
        <v>345</v>
      </c>
      <c r="D1594" s="6" t="s">
        <v>1096</v>
      </c>
      <c r="E1594" s="6" t="s">
        <v>57</v>
      </c>
      <c r="F1594" s="6" t="s">
        <v>656</v>
      </c>
      <c r="G1594" s="7">
        <v>397.44</v>
      </c>
    </row>
    <row r="1595" spans="1:7" x14ac:dyDescent="0.3">
      <c r="A1595" s="18">
        <v>46086</v>
      </c>
      <c r="B1595" s="18" t="s">
        <v>66</v>
      </c>
      <c r="C1595" s="18" t="s">
        <v>345</v>
      </c>
      <c r="D1595" s="6" t="s">
        <v>534</v>
      </c>
      <c r="E1595" s="6" t="s">
        <v>42</v>
      </c>
      <c r="F1595" s="6" t="s">
        <v>656</v>
      </c>
      <c r="G1595" s="7">
        <v>200</v>
      </c>
    </row>
    <row r="1596" spans="1:7" x14ac:dyDescent="0.3">
      <c r="A1596" s="18">
        <v>46145</v>
      </c>
      <c r="B1596" s="18" t="s">
        <v>66</v>
      </c>
      <c r="C1596" s="18" t="s">
        <v>345</v>
      </c>
      <c r="D1596" s="6" t="s">
        <v>869</v>
      </c>
      <c r="E1596" s="6" t="s">
        <v>13</v>
      </c>
      <c r="F1596" s="6" t="s">
        <v>659</v>
      </c>
      <c r="G1596" s="7">
        <v>100</v>
      </c>
    </row>
    <row r="1597" spans="1:7" x14ac:dyDescent="0.3">
      <c r="A1597" s="18">
        <v>46037</v>
      </c>
      <c r="B1597" s="18" t="s">
        <v>66</v>
      </c>
      <c r="C1597" s="18" t="s">
        <v>345</v>
      </c>
      <c r="D1597" s="6" t="s">
        <v>387</v>
      </c>
      <c r="E1597" s="6" t="s">
        <v>57</v>
      </c>
      <c r="F1597" s="6" t="s">
        <v>656</v>
      </c>
      <c r="G1597" s="7">
        <v>100</v>
      </c>
    </row>
    <row r="1598" spans="1:7" x14ac:dyDescent="0.3">
      <c r="A1598" s="18">
        <v>46061</v>
      </c>
      <c r="B1598" s="18" t="s">
        <v>66</v>
      </c>
      <c r="C1598" s="18" t="s">
        <v>345</v>
      </c>
      <c r="D1598" s="6" t="s">
        <v>666</v>
      </c>
      <c r="E1598" s="6" t="s">
        <v>57</v>
      </c>
      <c r="F1598" s="6" t="s">
        <v>661</v>
      </c>
      <c r="G1598" s="7">
        <v>389.05</v>
      </c>
    </row>
    <row r="1599" spans="1:7" x14ac:dyDescent="0.3">
      <c r="A1599" s="18">
        <v>46190</v>
      </c>
      <c r="B1599" s="46" t="s">
        <v>66</v>
      </c>
      <c r="C1599" s="46" t="s">
        <v>345</v>
      </c>
      <c r="D1599" s="6" t="s">
        <v>977</v>
      </c>
      <c r="E1599" s="6" t="s">
        <v>47</v>
      </c>
      <c r="F1599" s="6" t="s">
        <v>659</v>
      </c>
      <c r="G1599" s="7">
        <v>100</v>
      </c>
    </row>
    <row r="1600" spans="1:7" x14ac:dyDescent="0.3">
      <c r="A1600" s="18">
        <v>46190</v>
      </c>
      <c r="B1600" s="46" t="s">
        <v>66</v>
      </c>
      <c r="C1600" s="46" t="s">
        <v>345</v>
      </c>
      <c r="D1600" s="6" t="s">
        <v>977</v>
      </c>
      <c r="E1600" s="6" t="s">
        <v>47</v>
      </c>
      <c r="F1600" s="6" t="s">
        <v>659</v>
      </c>
      <c r="G1600" s="7">
        <v>50</v>
      </c>
    </row>
    <row r="1601" spans="1:7" x14ac:dyDescent="0.3">
      <c r="A1601" s="18">
        <v>46030</v>
      </c>
      <c r="B1601" s="18" t="s">
        <v>66</v>
      </c>
      <c r="C1601" s="18" t="s">
        <v>91</v>
      </c>
      <c r="D1601" s="6" t="s">
        <v>359</v>
      </c>
      <c r="E1601" s="6" t="s">
        <v>57</v>
      </c>
      <c r="F1601" s="6" t="s">
        <v>656</v>
      </c>
      <c r="G1601" s="7">
        <v>65</v>
      </c>
    </row>
    <row r="1602" spans="1:7" x14ac:dyDescent="0.3">
      <c r="A1602" s="18">
        <v>46099</v>
      </c>
      <c r="B1602" s="18" t="s">
        <v>66</v>
      </c>
      <c r="C1602" s="18" t="s">
        <v>91</v>
      </c>
      <c r="D1602" s="6" t="s">
        <v>359</v>
      </c>
      <c r="E1602" s="6" t="s">
        <v>57</v>
      </c>
      <c r="F1602" s="6" t="s">
        <v>656</v>
      </c>
      <c r="G1602" s="7">
        <v>120</v>
      </c>
    </row>
    <row r="1603" spans="1:7" x14ac:dyDescent="0.3">
      <c r="A1603" s="18">
        <v>46112</v>
      </c>
      <c r="B1603" s="18" t="s">
        <v>66</v>
      </c>
      <c r="C1603" s="18" t="s">
        <v>91</v>
      </c>
      <c r="D1603" s="6" t="s">
        <v>359</v>
      </c>
      <c r="E1603" s="6" t="s">
        <v>57</v>
      </c>
      <c r="F1603" s="6" t="s">
        <v>656</v>
      </c>
      <c r="G1603" s="7">
        <v>45</v>
      </c>
    </row>
    <row r="1604" spans="1:7" x14ac:dyDescent="0.3">
      <c r="A1604" s="18">
        <v>46113</v>
      </c>
      <c r="B1604" s="18" t="s">
        <v>66</v>
      </c>
      <c r="C1604" s="18" t="s">
        <v>91</v>
      </c>
      <c r="D1604" s="6" t="s">
        <v>359</v>
      </c>
      <c r="E1604" s="6" t="s">
        <v>57</v>
      </c>
      <c r="F1604" s="6" t="s">
        <v>656</v>
      </c>
      <c r="G1604" s="7">
        <v>60</v>
      </c>
    </row>
    <row r="1605" spans="1:7" x14ac:dyDescent="0.3">
      <c r="A1605" s="18">
        <v>46113</v>
      </c>
      <c r="B1605" s="18" t="s">
        <v>66</v>
      </c>
      <c r="C1605" s="18" t="s">
        <v>91</v>
      </c>
      <c r="D1605" s="6" t="s">
        <v>706</v>
      </c>
      <c r="E1605" s="6" t="s">
        <v>57</v>
      </c>
      <c r="F1605" s="6" t="s">
        <v>656</v>
      </c>
      <c r="G1605" s="7">
        <v>35</v>
      </c>
    </row>
    <row r="1606" spans="1:7" x14ac:dyDescent="0.3">
      <c r="A1606" s="18">
        <v>46038</v>
      </c>
      <c r="B1606" s="18" t="s">
        <v>66</v>
      </c>
      <c r="C1606" s="18" t="s">
        <v>91</v>
      </c>
      <c r="D1606" s="6" t="s">
        <v>389</v>
      </c>
      <c r="E1606" s="6" t="s">
        <v>57</v>
      </c>
      <c r="F1606" s="6" t="s">
        <v>656</v>
      </c>
      <c r="G1606" s="7">
        <v>37</v>
      </c>
    </row>
    <row r="1607" spans="1:7" x14ac:dyDescent="0.3">
      <c r="A1607" s="18">
        <v>46113</v>
      </c>
      <c r="B1607" s="18" t="s">
        <v>66</v>
      </c>
      <c r="C1607" s="18" t="s">
        <v>91</v>
      </c>
      <c r="D1607" s="6" t="s">
        <v>716</v>
      </c>
      <c r="E1607" s="6" t="s">
        <v>57</v>
      </c>
      <c r="F1607" s="6" t="s">
        <v>656</v>
      </c>
      <c r="G1607" s="7">
        <v>35</v>
      </c>
    </row>
    <row r="1608" spans="1:7" x14ac:dyDescent="0.3">
      <c r="A1608" s="18">
        <v>46113</v>
      </c>
      <c r="B1608" s="18" t="s">
        <v>66</v>
      </c>
      <c r="C1608" s="18" t="s">
        <v>91</v>
      </c>
      <c r="D1608" s="6" t="s">
        <v>723</v>
      </c>
      <c r="E1608" s="6" t="s">
        <v>42</v>
      </c>
      <c r="F1608" s="6" t="s">
        <v>656</v>
      </c>
      <c r="G1608" s="7">
        <v>16</v>
      </c>
    </row>
    <row r="1609" spans="1:7" x14ac:dyDescent="0.3">
      <c r="A1609" s="18">
        <v>46113</v>
      </c>
      <c r="B1609" s="18" t="s">
        <v>66</v>
      </c>
      <c r="C1609" s="18" t="s">
        <v>91</v>
      </c>
      <c r="D1609" s="6" t="s">
        <v>741</v>
      </c>
      <c r="E1609" s="6" t="s">
        <v>57</v>
      </c>
      <c r="F1609" s="6" t="s">
        <v>656</v>
      </c>
      <c r="G1609" s="7">
        <v>30</v>
      </c>
    </row>
    <row r="1610" spans="1:7" x14ac:dyDescent="0.3">
      <c r="A1610" s="18">
        <v>46065</v>
      </c>
      <c r="B1610" s="18" t="s">
        <v>66</v>
      </c>
      <c r="C1610" s="18" t="s">
        <v>91</v>
      </c>
      <c r="D1610" s="6" t="s">
        <v>469</v>
      </c>
      <c r="E1610" s="6" t="s">
        <v>57</v>
      </c>
      <c r="F1610" s="6" t="s">
        <v>656</v>
      </c>
      <c r="G1610" s="7">
        <v>25</v>
      </c>
    </row>
    <row r="1611" spans="1:7" x14ac:dyDescent="0.3">
      <c r="A1611" s="18">
        <v>46176</v>
      </c>
      <c r="B1611" s="18" t="s">
        <v>66</v>
      </c>
      <c r="C1611" s="18" t="s">
        <v>91</v>
      </c>
      <c r="D1611" s="8" t="s">
        <v>989</v>
      </c>
      <c r="E1611" s="8" t="s">
        <v>50</v>
      </c>
      <c r="F1611" s="6" t="s">
        <v>659</v>
      </c>
      <c r="G1611" s="9">
        <v>457.33</v>
      </c>
    </row>
    <row r="1612" spans="1:7" x14ac:dyDescent="0.3">
      <c r="A1612" s="18">
        <v>46203</v>
      </c>
      <c r="B1612" s="18" t="s">
        <v>66</v>
      </c>
      <c r="C1612" s="18" t="s">
        <v>91</v>
      </c>
      <c r="D1612" s="8" t="s">
        <v>989</v>
      </c>
      <c r="E1612" s="8" t="s">
        <v>50</v>
      </c>
      <c r="F1612" s="6" t="s">
        <v>659</v>
      </c>
      <c r="G1612" s="3">
        <v>490</v>
      </c>
    </row>
    <row r="1613" spans="1:7" x14ac:dyDescent="0.3">
      <c r="A1613" s="18">
        <v>46092</v>
      </c>
      <c r="B1613" s="18" t="s">
        <v>66</v>
      </c>
      <c r="C1613" s="18" t="s">
        <v>91</v>
      </c>
      <c r="D1613" s="6" t="s">
        <v>551</v>
      </c>
      <c r="E1613" s="6" t="s">
        <v>57</v>
      </c>
      <c r="F1613" s="6" t="s">
        <v>656</v>
      </c>
      <c r="G1613" s="7">
        <v>40</v>
      </c>
    </row>
    <row r="1614" spans="1:7" x14ac:dyDescent="0.3">
      <c r="A1614" s="18">
        <v>46113</v>
      </c>
      <c r="B1614" s="18" t="s">
        <v>66</v>
      </c>
      <c r="C1614" s="18" t="s">
        <v>91</v>
      </c>
      <c r="D1614" s="6" t="s">
        <v>551</v>
      </c>
      <c r="E1614" s="6" t="s">
        <v>57</v>
      </c>
      <c r="F1614" s="6" t="s">
        <v>656</v>
      </c>
      <c r="G1614" s="7">
        <v>45</v>
      </c>
    </row>
    <row r="1615" spans="1:7" x14ac:dyDescent="0.3">
      <c r="A1615" s="18">
        <v>46041</v>
      </c>
      <c r="B1615" s="18" t="s">
        <v>66</v>
      </c>
      <c r="C1615" s="18" t="s">
        <v>91</v>
      </c>
      <c r="D1615" s="6" t="s">
        <v>410</v>
      </c>
      <c r="E1615" s="6" t="s">
        <v>57</v>
      </c>
      <c r="F1615" s="6" t="s">
        <v>656</v>
      </c>
      <c r="G1615" s="7">
        <v>32</v>
      </c>
    </row>
    <row r="1616" spans="1:7" x14ac:dyDescent="0.3">
      <c r="A1616" s="18">
        <v>46031</v>
      </c>
      <c r="B1616" s="18" t="s">
        <v>66</v>
      </c>
      <c r="C1616" s="18" t="s">
        <v>91</v>
      </c>
      <c r="D1616" s="6" t="s">
        <v>364</v>
      </c>
      <c r="E1616" s="6" t="s">
        <v>57</v>
      </c>
      <c r="F1616" s="6" t="s">
        <v>656</v>
      </c>
      <c r="G1616" s="7">
        <v>59.99</v>
      </c>
    </row>
    <row r="1617" spans="1:7" x14ac:dyDescent="0.3">
      <c r="A1617" s="18">
        <v>46113</v>
      </c>
      <c r="B1617" s="18" t="s">
        <v>66</v>
      </c>
      <c r="C1617" s="18" t="s">
        <v>91</v>
      </c>
      <c r="D1617" s="6" t="s">
        <v>711</v>
      </c>
      <c r="E1617" s="6" t="s">
        <v>57</v>
      </c>
      <c r="F1617" s="6" t="s">
        <v>656</v>
      </c>
      <c r="G1617" s="7">
        <v>40</v>
      </c>
    </row>
    <row r="1618" spans="1:7" x14ac:dyDescent="0.3">
      <c r="A1618" s="18">
        <v>46113</v>
      </c>
      <c r="B1618" s="18" t="s">
        <v>66</v>
      </c>
      <c r="C1618" s="18" t="s">
        <v>91</v>
      </c>
      <c r="D1618" s="6" t="s">
        <v>711</v>
      </c>
      <c r="E1618" s="6" t="s">
        <v>57</v>
      </c>
      <c r="F1618" s="6" t="s">
        <v>656</v>
      </c>
      <c r="G1618" s="7">
        <v>40</v>
      </c>
    </row>
    <row r="1619" spans="1:7" x14ac:dyDescent="0.3">
      <c r="A1619" s="18">
        <v>46058</v>
      </c>
      <c r="B1619" s="18" t="s">
        <v>66</v>
      </c>
      <c r="C1619" s="18" t="s">
        <v>91</v>
      </c>
      <c r="D1619" s="6" t="s">
        <v>465</v>
      </c>
      <c r="E1619" s="6" t="s">
        <v>42</v>
      </c>
      <c r="F1619" s="6" t="s">
        <v>656</v>
      </c>
      <c r="G1619" s="7">
        <v>25</v>
      </c>
    </row>
    <row r="1620" spans="1:7" x14ac:dyDescent="0.3">
      <c r="A1620" s="18">
        <v>46113</v>
      </c>
      <c r="B1620" s="18" t="s">
        <v>66</v>
      </c>
      <c r="C1620" s="18" t="s">
        <v>91</v>
      </c>
      <c r="D1620" s="6" t="s">
        <v>762</v>
      </c>
      <c r="E1620" s="6" t="s">
        <v>57</v>
      </c>
      <c r="F1620" s="6" t="s">
        <v>656</v>
      </c>
      <c r="G1620" s="7">
        <v>90</v>
      </c>
    </row>
    <row r="1621" spans="1:7" x14ac:dyDescent="0.3">
      <c r="A1621" s="18">
        <v>46113</v>
      </c>
      <c r="B1621" s="18" t="s">
        <v>66</v>
      </c>
      <c r="C1621" s="18" t="s">
        <v>91</v>
      </c>
      <c r="D1621" s="6" t="s">
        <v>754</v>
      </c>
      <c r="E1621" s="6" t="s">
        <v>57</v>
      </c>
      <c r="F1621" s="6" t="s">
        <v>656</v>
      </c>
      <c r="G1621" s="7">
        <v>35</v>
      </c>
    </row>
    <row r="1622" spans="1:7" x14ac:dyDescent="0.3">
      <c r="A1622" s="18">
        <v>46094</v>
      </c>
      <c r="B1622" s="18" t="s">
        <v>66</v>
      </c>
      <c r="C1622" s="18" t="s">
        <v>91</v>
      </c>
      <c r="D1622" s="6" t="s">
        <v>559</v>
      </c>
      <c r="E1622" s="6" t="s">
        <v>57</v>
      </c>
      <c r="F1622" s="6" t="s">
        <v>656</v>
      </c>
      <c r="G1622" s="7">
        <v>45</v>
      </c>
    </row>
    <row r="1623" spans="1:7" x14ac:dyDescent="0.3">
      <c r="A1623" s="18">
        <v>46113</v>
      </c>
      <c r="B1623" s="18" t="s">
        <v>66</v>
      </c>
      <c r="C1623" s="18" t="s">
        <v>91</v>
      </c>
      <c r="D1623" s="6" t="s">
        <v>732</v>
      </c>
      <c r="E1623" s="6" t="s">
        <v>57</v>
      </c>
      <c r="F1623" s="6" t="s">
        <v>656</v>
      </c>
      <c r="G1623" s="7">
        <v>45</v>
      </c>
    </row>
    <row r="1624" spans="1:7" x14ac:dyDescent="0.3">
      <c r="A1624" s="18">
        <v>46105</v>
      </c>
      <c r="B1624" s="18" t="s">
        <v>66</v>
      </c>
      <c r="C1624" s="18" t="s">
        <v>91</v>
      </c>
      <c r="D1624" s="6" t="s">
        <v>578</v>
      </c>
      <c r="E1624" s="6" t="s">
        <v>42</v>
      </c>
      <c r="F1624" s="6" t="s">
        <v>656</v>
      </c>
      <c r="G1624" s="7">
        <v>40</v>
      </c>
    </row>
    <row r="1625" spans="1:7" x14ac:dyDescent="0.3">
      <c r="A1625" s="18">
        <v>46188</v>
      </c>
      <c r="B1625" s="46" t="s">
        <v>66</v>
      </c>
      <c r="C1625" s="46" t="s">
        <v>91</v>
      </c>
      <c r="D1625" s="10" t="s">
        <v>994</v>
      </c>
      <c r="E1625" s="10" t="s">
        <v>47</v>
      </c>
      <c r="F1625" s="6" t="s">
        <v>659</v>
      </c>
      <c r="G1625" s="3">
        <v>400</v>
      </c>
    </row>
    <row r="1626" spans="1:7" x14ac:dyDescent="0.3">
      <c r="A1626" s="18">
        <v>46191</v>
      </c>
      <c r="B1626" s="18" t="s">
        <v>66</v>
      </c>
      <c r="C1626" s="18" t="s">
        <v>1142</v>
      </c>
      <c r="D1626" s="6" t="s">
        <v>1098</v>
      </c>
      <c r="E1626" s="6" t="s">
        <v>57</v>
      </c>
      <c r="F1626" s="6" t="s">
        <v>656</v>
      </c>
      <c r="G1626" s="7">
        <v>28</v>
      </c>
    </row>
    <row r="1627" spans="1:7" x14ac:dyDescent="0.3">
      <c r="A1627" s="18">
        <v>46035</v>
      </c>
      <c r="B1627" s="18" t="s">
        <v>66</v>
      </c>
      <c r="C1627" s="18" t="s">
        <v>83</v>
      </c>
      <c r="D1627" s="6" t="s">
        <v>283</v>
      </c>
      <c r="E1627" s="6" t="s">
        <v>57</v>
      </c>
      <c r="F1627" s="6" t="s">
        <v>659</v>
      </c>
      <c r="G1627" s="7">
        <v>368.59</v>
      </c>
    </row>
    <row r="1628" spans="1:7" x14ac:dyDescent="0.3">
      <c r="A1628" s="18">
        <v>46072</v>
      </c>
      <c r="B1628" s="18" t="s">
        <v>66</v>
      </c>
      <c r="C1628" s="18" t="s">
        <v>83</v>
      </c>
      <c r="D1628" s="6" t="s">
        <v>283</v>
      </c>
      <c r="E1628" s="6" t="s">
        <v>57</v>
      </c>
      <c r="F1628" s="6" t="s">
        <v>659</v>
      </c>
      <c r="G1628" s="7">
        <v>368.59</v>
      </c>
    </row>
    <row r="1629" spans="1:7" x14ac:dyDescent="0.3">
      <c r="A1629" s="18">
        <v>46097</v>
      </c>
      <c r="B1629" s="18" t="s">
        <v>66</v>
      </c>
      <c r="C1629" s="18" t="s">
        <v>83</v>
      </c>
      <c r="D1629" s="6" t="s">
        <v>283</v>
      </c>
      <c r="E1629" s="6" t="s">
        <v>57</v>
      </c>
      <c r="F1629" s="6" t="s">
        <v>659</v>
      </c>
      <c r="G1629" s="7">
        <v>368.59</v>
      </c>
    </row>
    <row r="1630" spans="1:7" x14ac:dyDescent="0.3">
      <c r="A1630" s="18">
        <v>46113</v>
      </c>
      <c r="B1630" s="18" t="s">
        <v>66</v>
      </c>
      <c r="C1630" s="18" t="s">
        <v>83</v>
      </c>
      <c r="D1630" s="6" t="s">
        <v>283</v>
      </c>
      <c r="E1630" s="6" t="s">
        <v>57</v>
      </c>
      <c r="F1630" s="6" t="s">
        <v>659</v>
      </c>
      <c r="G1630" s="7">
        <v>368.59</v>
      </c>
    </row>
    <row r="1631" spans="1:7" x14ac:dyDescent="0.3">
      <c r="A1631" s="18">
        <v>46156</v>
      </c>
      <c r="B1631" s="18" t="s">
        <v>66</v>
      </c>
      <c r="C1631" s="18" t="s">
        <v>83</v>
      </c>
      <c r="D1631" s="6" t="s">
        <v>283</v>
      </c>
      <c r="E1631" s="6" t="s">
        <v>57</v>
      </c>
      <c r="F1631" s="6" t="s">
        <v>659</v>
      </c>
      <c r="G1631" s="7">
        <v>368.59</v>
      </c>
    </row>
    <row r="1632" spans="1:7" x14ac:dyDescent="0.3">
      <c r="A1632" s="18">
        <v>46035</v>
      </c>
      <c r="B1632" s="18" t="s">
        <v>66</v>
      </c>
      <c r="C1632" s="18" t="s">
        <v>83</v>
      </c>
      <c r="D1632" s="6" t="s">
        <v>284</v>
      </c>
      <c r="E1632" s="6" t="s">
        <v>57</v>
      </c>
      <c r="F1632" s="6" t="s">
        <v>659</v>
      </c>
      <c r="G1632" s="7">
        <v>440.88</v>
      </c>
    </row>
    <row r="1633" spans="1:7" x14ac:dyDescent="0.3">
      <c r="A1633" s="18">
        <v>46072</v>
      </c>
      <c r="B1633" s="18" t="s">
        <v>66</v>
      </c>
      <c r="C1633" s="18" t="s">
        <v>83</v>
      </c>
      <c r="D1633" s="6" t="s">
        <v>284</v>
      </c>
      <c r="E1633" s="6" t="s">
        <v>57</v>
      </c>
      <c r="F1633" s="6" t="s">
        <v>659</v>
      </c>
      <c r="G1633" s="7">
        <v>440.88</v>
      </c>
    </row>
    <row r="1634" spans="1:7" x14ac:dyDescent="0.3">
      <c r="A1634" s="18">
        <v>46100</v>
      </c>
      <c r="B1634" s="18" t="s">
        <v>66</v>
      </c>
      <c r="C1634" s="18" t="s">
        <v>83</v>
      </c>
      <c r="D1634" s="6" t="s">
        <v>284</v>
      </c>
      <c r="E1634" s="6" t="s">
        <v>57</v>
      </c>
      <c r="F1634" s="6" t="s">
        <v>659</v>
      </c>
      <c r="G1634" s="7">
        <v>440.88</v>
      </c>
    </row>
    <row r="1635" spans="1:7" x14ac:dyDescent="0.3">
      <c r="A1635" s="18">
        <v>46113</v>
      </c>
      <c r="B1635" s="18" t="s">
        <v>66</v>
      </c>
      <c r="C1635" s="18" t="s">
        <v>83</v>
      </c>
      <c r="D1635" s="6" t="s">
        <v>284</v>
      </c>
      <c r="E1635" s="6" t="s">
        <v>57</v>
      </c>
      <c r="F1635" s="6" t="s">
        <v>659</v>
      </c>
      <c r="G1635" s="7">
        <v>440.88</v>
      </c>
    </row>
    <row r="1636" spans="1:7" x14ac:dyDescent="0.3">
      <c r="A1636" s="18">
        <v>46162</v>
      </c>
      <c r="B1636" s="18" t="s">
        <v>66</v>
      </c>
      <c r="C1636" s="18" t="s">
        <v>83</v>
      </c>
      <c r="D1636" s="6" t="s">
        <v>284</v>
      </c>
      <c r="E1636" s="6" t="s">
        <v>57</v>
      </c>
      <c r="F1636" s="6" t="s">
        <v>659</v>
      </c>
      <c r="G1636" s="3">
        <v>440.88</v>
      </c>
    </row>
    <row r="1637" spans="1:7" x14ac:dyDescent="0.3">
      <c r="A1637" s="18">
        <v>46034</v>
      </c>
      <c r="B1637" s="18" t="s">
        <v>66</v>
      </c>
      <c r="C1637" s="18" t="s">
        <v>83</v>
      </c>
      <c r="D1637" s="6" t="s">
        <v>285</v>
      </c>
      <c r="E1637" s="6" t="s">
        <v>57</v>
      </c>
      <c r="F1637" s="6" t="s">
        <v>659</v>
      </c>
      <c r="G1637" s="7">
        <v>1333.35</v>
      </c>
    </row>
    <row r="1638" spans="1:7" x14ac:dyDescent="0.3">
      <c r="A1638" s="18">
        <v>46065</v>
      </c>
      <c r="B1638" s="18" t="s">
        <v>66</v>
      </c>
      <c r="C1638" s="18" t="s">
        <v>83</v>
      </c>
      <c r="D1638" s="6" t="s">
        <v>285</v>
      </c>
      <c r="E1638" s="6" t="s">
        <v>57</v>
      </c>
      <c r="F1638" s="6" t="s">
        <v>659</v>
      </c>
      <c r="G1638" s="7">
        <v>1333.35</v>
      </c>
    </row>
    <row r="1639" spans="1:7" x14ac:dyDescent="0.3">
      <c r="A1639" s="18">
        <v>46093</v>
      </c>
      <c r="B1639" s="18" t="s">
        <v>66</v>
      </c>
      <c r="C1639" s="18" t="s">
        <v>83</v>
      </c>
      <c r="D1639" s="6" t="s">
        <v>285</v>
      </c>
      <c r="E1639" s="6" t="s">
        <v>57</v>
      </c>
      <c r="F1639" s="6" t="s">
        <v>659</v>
      </c>
      <c r="G1639" s="7">
        <v>1333.35</v>
      </c>
    </row>
    <row r="1640" spans="1:7" x14ac:dyDescent="0.3">
      <c r="A1640" s="18">
        <v>46113</v>
      </c>
      <c r="B1640" s="18" t="s">
        <v>66</v>
      </c>
      <c r="C1640" s="18" t="s">
        <v>83</v>
      </c>
      <c r="D1640" s="6" t="s">
        <v>285</v>
      </c>
      <c r="E1640" s="6" t="s">
        <v>57</v>
      </c>
      <c r="F1640" s="6" t="s">
        <v>659</v>
      </c>
      <c r="G1640" s="7">
        <v>1333.35</v>
      </c>
    </row>
    <row r="1641" spans="1:7" x14ac:dyDescent="0.3">
      <c r="A1641" s="18">
        <v>46154</v>
      </c>
      <c r="B1641" s="18" t="s">
        <v>66</v>
      </c>
      <c r="C1641" s="18" t="s">
        <v>83</v>
      </c>
      <c r="D1641" s="6" t="s">
        <v>285</v>
      </c>
      <c r="E1641" s="6" t="s">
        <v>57</v>
      </c>
      <c r="F1641" s="6" t="s">
        <v>659</v>
      </c>
      <c r="G1641" s="9">
        <v>1333.35</v>
      </c>
    </row>
    <row r="1642" spans="1:7" x14ac:dyDescent="0.3">
      <c r="A1642" s="18">
        <v>46041</v>
      </c>
      <c r="B1642" s="18" t="s">
        <v>66</v>
      </c>
      <c r="C1642" s="18" t="s">
        <v>83</v>
      </c>
      <c r="D1642" s="6" t="s">
        <v>166</v>
      </c>
      <c r="E1642" s="6" t="s">
        <v>13</v>
      </c>
      <c r="F1642" s="6" t="s">
        <v>659</v>
      </c>
      <c r="G1642" s="7">
        <v>1070.46</v>
      </c>
    </row>
    <row r="1643" spans="1:7" x14ac:dyDescent="0.3">
      <c r="A1643" s="18">
        <v>46076</v>
      </c>
      <c r="B1643" s="18" t="s">
        <v>66</v>
      </c>
      <c r="C1643" s="18" t="s">
        <v>83</v>
      </c>
      <c r="D1643" s="6" t="s">
        <v>166</v>
      </c>
      <c r="E1643" s="6" t="s">
        <v>13</v>
      </c>
      <c r="F1643" s="6" t="s">
        <v>659</v>
      </c>
      <c r="G1643" s="7">
        <v>1070.46</v>
      </c>
    </row>
    <row r="1644" spans="1:7" x14ac:dyDescent="0.3">
      <c r="A1644" s="18">
        <v>46104</v>
      </c>
      <c r="B1644" s="18" t="s">
        <v>66</v>
      </c>
      <c r="C1644" s="18" t="s">
        <v>83</v>
      </c>
      <c r="D1644" s="6" t="s">
        <v>166</v>
      </c>
      <c r="E1644" s="6" t="s">
        <v>13</v>
      </c>
      <c r="F1644" s="6" t="s">
        <v>659</v>
      </c>
      <c r="G1644" s="7">
        <v>1070.46</v>
      </c>
    </row>
    <row r="1645" spans="1:7" x14ac:dyDescent="0.3">
      <c r="A1645" s="18">
        <v>46113</v>
      </c>
      <c r="B1645" s="18" t="s">
        <v>66</v>
      </c>
      <c r="C1645" s="18" t="s">
        <v>83</v>
      </c>
      <c r="D1645" s="6" t="s">
        <v>166</v>
      </c>
      <c r="E1645" s="6" t="s">
        <v>13</v>
      </c>
      <c r="F1645" s="6" t="s">
        <v>659</v>
      </c>
      <c r="G1645" s="7">
        <v>1070.46</v>
      </c>
    </row>
    <row r="1646" spans="1:7" x14ac:dyDescent="0.3">
      <c r="A1646" s="18">
        <v>46163</v>
      </c>
      <c r="B1646" s="18" t="s">
        <v>66</v>
      </c>
      <c r="C1646" s="18" t="s">
        <v>83</v>
      </c>
      <c r="D1646" s="10" t="s">
        <v>166</v>
      </c>
      <c r="E1646" s="10" t="s">
        <v>13</v>
      </c>
      <c r="F1646" s="6" t="s">
        <v>659</v>
      </c>
      <c r="G1646" s="3">
        <v>1070.46</v>
      </c>
    </row>
    <row r="1647" spans="1:7" x14ac:dyDescent="0.3">
      <c r="A1647" s="18">
        <v>46041</v>
      </c>
      <c r="B1647" s="18" t="s">
        <v>66</v>
      </c>
      <c r="C1647" s="18" t="s">
        <v>83</v>
      </c>
      <c r="D1647" s="6" t="s">
        <v>165</v>
      </c>
      <c r="E1647" s="6" t="s">
        <v>57</v>
      </c>
      <c r="F1647" s="6" t="s">
        <v>659</v>
      </c>
      <c r="G1647" s="7">
        <v>4512.3599999999997</v>
      </c>
    </row>
    <row r="1648" spans="1:7" x14ac:dyDescent="0.3">
      <c r="A1648" s="18">
        <v>46076</v>
      </c>
      <c r="B1648" s="18" t="s">
        <v>66</v>
      </c>
      <c r="C1648" s="18" t="s">
        <v>83</v>
      </c>
      <c r="D1648" s="6" t="s">
        <v>165</v>
      </c>
      <c r="E1648" s="6" t="s">
        <v>57</v>
      </c>
      <c r="F1648" s="6" t="s">
        <v>659</v>
      </c>
      <c r="G1648" s="7">
        <v>4512.3599999999997</v>
      </c>
    </row>
    <row r="1649" spans="1:7" x14ac:dyDescent="0.3">
      <c r="A1649" s="18">
        <v>46104</v>
      </c>
      <c r="B1649" s="18" t="s">
        <v>66</v>
      </c>
      <c r="C1649" s="18" t="s">
        <v>83</v>
      </c>
      <c r="D1649" s="6" t="s">
        <v>165</v>
      </c>
      <c r="E1649" s="6" t="s">
        <v>57</v>
      </c>
      <c r="F1649" s="6" t="s">
        <v>659</v>
      </c>
      <c r="G1649" s="7">
        <v>4512.3599999999997</v>
      </c>
    </row>
    <row r="1650" spans="1:7" x14ac:dyDescent="0.3">
      <c r="A1650" s="18">
        <v>46113</v>
      </c>
      <c r="B1650" s="18" t="s">
        <v>66</v>
      </c>
      <c r="C1650" s="18" t="s">
        <v>83</v>
      </c>
      <c r="D1650" s="6" t="s">
        <v>165</v>
      </c>
      <c r="E1650" s="6" t="s">
        <v>57</v>
      </c>
      <c r="F1650" s="6" t="s">
        <v>659</v>
      </c>
      <c r="G1650" s="7">
        <v>4512.3599999999997</v>
      </c>
    </row>
    <row r="1651" spans="1:7" x14ac:dyDescent="0.3">
      <c r="A1651" s="18">
        <v>46163</v>
      </c>
      <c r="B1651" s="18" t="s">
        <v>66</v>
      </c>
      <c r="C1651" s="18" t="s">
        <v>83</v>
      </c>
      <c r="D1651" s="10" t="s">
        <v>165</v>
      </c>
      <c r="E1651" s="10" t="s">
        <v>57</v>
      </c>
      <c r="F1651" s="6" t="s">
        <v>659</v>
      </c>
      <c r="G1651" s="3">
        <v>4512.3599999999997</v>
      </c>
    </row>
    <row r="1652" spans="1:7" x14ac:dyDescent="0.3">
      <c r="A1652" s="18">
        <v>46037</v>
      </c>
      <c r="B1652" s="18" t="s">
        <v>66</v>
      </c>
      <c r="C1652" s="18" t="s">
        <v>83</v>
      </c>
      <c r="D1652" s="6" t="s">
        <v>286</v>
      </c>
      <c r="E1652" s="6" t="s">
        <v>50</v>
      </c>
      <c r="F1652" s="6" t="s">
        <v>659</v>
      </c>
      <c r="G1652" s="7">
        <v>828.17</v>
      </c>
    </row>
    <row r="1653" spans="1:7" x14ac:dyDescent="0.3">
      <c r="A1653" s="18">
        <v>46072</v>
      </c>
      <c r="B1653" s="18" t="s">
        <v>66</v>
      </c>
      <c r="C1653" s="18" t="s">
        <v>83</v>
      </c>
      <c r="D1653" s="6" t="s">
        <v>286</v>
      </c>
      <c r="E1653" s="6" t="s">
        <v>50</v>
      </c>
      <c r="F1653" s="6" t="s">
        <v>659</v>
      </c>
      <c r="G1653" s="7">
        <v>828.17</v>
      </c>
    </row>
    <row r="1654" spans="1:7" x14ac:dyDescent="0.3">
      <c r="A1654" s="18">
        <v>46097</v>
      </c>
      <c r="B1654" s="18" t="s">
        <v>66</v>
      </c>
      <c r="C1654" s="18" t="s">
        <v>83</v>
      </c>
      <c r="D1654" s="6" t="s">
        <v>286</v>
      </c>
      <c r="E1654" s="6" t="s">
        <v>50</v>
      </c>
      <c r="F1654" s="6" t="s">
        <v>659</v>
      </c>
      <c r="G1654" s="7">
        <v>828.17</v>
      </c>
    </row>
    <row r="1655" spans="1:7" x14ac:dyDescent="0.3">
      <c r="A1655" s="18">
        <v>46113</v>
      </c>
      <c r="B1655" s="18" t="s">
        <v>66</v>
      </c>
      <c r="C1655" s="18" t="s">
        <v>83</v>
      </c>
      <c r="D1655" s="6" t="s">
        <v>286</v>
      </c>
      <c r="E1655" s="6" t="s">
        <v>50</v>
      </c>
      <c r="F1655" s="6" t="s">
        <v>659</v>
      </c>
      <c r="G1655" s="7">
        <v>828.17</v>
      </c>
    </row>
    <row r="1656" spans="1:7" x14ac:dyDescent="0.3">
      <c r="A1656" s="18">
        <v>46157</v>
      </c>
      <c r="B1656" s="18" t="s">
        <v>66</v>
      </c>
      <c r="C1656" s="18" t="s">
        <v>83</v>
      </c>
      <c r="D1656" s="6" t="s">
        <v>286</v>
      </c>
      <c r="E1656" s="8" t="s">
        <v>50</v>
      </c>
      <c r="F1656" s="6" t="s">
        <v>659</v>
      </c>
      <c r="G1656" s="7">
        <v>828.17</v>
      </c>
    </row>
    <row r="1657" spans="1:7" x14ac:dyDescent="0.3">
      <c r="A1657" s="18">
        <v>46041</v>
      </c>
      <c r="B1657" s="18" t="s">
        <v>66</v>
      </c>
      <c r="C1657" s="18" t="s">
        <v>83</v>
      </c>
      <c r="D1657" s="6" t="s">
        <v>287</v>
      </c>
      <c r="E1657" s="6" t="s">
        <v>57</v>
      </c>
      <c r="F1657" s="6" t="s">
        <v>659</v>
      </c>
      <c r="G1657" s="7">
        <v>38440.15</v>
      </c>
    </row>
    <row r="1658" spans="1:7" x14ac:dyDescent="0.3">
      <c r="A1658" s="18">
        <v>46101</v>
      </c>
      <c r="B1658" s="18" t="s">
        <v>66</v>
      </c>
      <c r="C1658" s="18" t="s">
        <v>58</v>
      </c>
      <c r="D1658" s="6" t="s">
        <v>569</v>
      </c>
      <c r="E1658" s="6" t="s">
        <v>13</v>
      </c>
      <c r="F1658" s="6" t="s">
        <v>656</v>
      </c>
      <c r="G1658" s="7">
        <v>200</v>
      </c>
    </row>
    <row r="1659" spans="1:7" x14ac:dyDescent="0.3">
      <c r="A1659" s="18">
        <v>46044</v>
      </c>
      <c r="B1659" s="18" t="s">
        <v>66</v>
      </c>
      <c r="C1659" s="18" t="s">
        <v>58</v>
      </c>
      <c r="D1659" s="6" t="s">
        <v>169</v>
      </c>
      <c r="E1659" s="6" t="s">
        <v>57</v>
      </c>
      <c r="F1659" s="6" t="s">
        <v>659</v>
      </c>
      <c r="G1659" s="7">
        <v>78.28</v>
      </c>
    </row>
    <row r="1660" spans="1:7" x14ac:dyDescent="0.3">
      <c r="A1660" s="18">
        <v>46182</v>
      </c>
      <c r="B1660" s="44" t="s">
        <v>66</v>
      </c>
      <c r="C1660" s="44" t="s">
        <v>58</v>
      </c>
      <c r="D1660" s="8" t="s">
        <v>974</v>
      </c>
      <c r="E1660" s="8" t="s">
        <v>57</v>
      </c>
      <c r="F1660" s="6" t="s">
        <v>659</v>
      </c>
      <c r="G1660" s="9">
        <v>250</v>
      </c>
    </row>
    <row r="1661" spans="1:7" x14ac:dyDescent="0.3">
      <c r="A1661" s="18">
        <v>46183</v>
      </c>
      <c r="B1661" s="44" t="s">
        <v>66</v>
      </c>
      <c r="C1661" s="44" t="s">
        <v>58</v>
      </c>
      <c r="D1661" s="6" t="s">
        <v>170</v>
      </c>
      <c r="E1661" s="6" t="s">
        <v>47</v>
      </c>
      <c r="F1661" s="6" t="s">
        <v>659</v>
      </c>
      <c r="G1661" s="3">
        <v>375</v>
      </c>
    </row>
    <row r="1662" spans="1:7" x14ac:dyDescent="0.3">
      <c r="A1662" s="18">
        <v>46076</v>
      </c>
      <c r="B1662" s="18" t="s">
        <v>66</v>
      </c>
      <c r="C1662" s="18" t="s">
        <v>58</v>
      </c>
      <c r="D1662" s="6" t="s">
        <v>232</v>
      </c>
      <c r="E1662" s="6" t="s">
        <v>57</v>
      </c>
      <c r="F1662" s="6" t="s">
        <v>659</v>
      </c>
      <c r="G1662" s="7">
        <v>500</v>
      </c>
    </row>
    <row r="1663" spans="1:7" x14ac:dyDescent="0.3">
      <c r="A1663" s="18">
        <v>46167</v>
      </c>
      <c r="B1663" s="18" t="s">
        <v>66</v>
      </c>
      <c r="C1663" s="18" t="s">
        <v>58</v>
      </c>
      <c r="D1663" s="8" t="s">
        <v>813</v>
      </c>
      <c r="E1663" s="8" t="s">
        <v>57</v>
      </c>
      <c r="F1663" s="6" t="s">
        <v>659</v>
      </c>
      <c r="G1663" s="9">
        <v>240</v>
      </c>
    </row>
    <row r="1664" spans="1:7" x14ac:dyDescent="0.3">
      <c r="A1664" s="18">
        <v>46044</v>
      </c>
      <c r="B1664" s="18" t="s">
        <v>66</v>
      </c>
      <c r="C1664" s="18" t="s">
        <v>58</v>
      </c>
      <c r="D1664" s="6" t="s">
        <v>168</v>
      </c>
      <c r="E1664" s="6" t="s">
        <v>57</v>
      </c>
      <c r="F1664" s="6" t="s">
        <v>659</v>
      </c>
      <c r="G1664" s="7">
        <v>100</v>
      </c>
    </row>
    <row r="1665" spans="1:7" x14ac:dyDescent="0.3">
      <c r="A1665" s="18">
        <v>46044</v>
      </c>
      <c r="B1665" s="18" t="s">
        <v>66</v>
      </c>
      <c r="C1665" s="18" t="s">
        <v>58</v>
      </c>
      <c r="D1665" s="6" t="s">
        <v>168</v>
      </c>
      <c r="E1665" s="6" t="s">
        <v>57</v>
      </c>
      <c r="F1665" s="6" t="s">
        <v>659</v>
      </c>
      <c r="G1665" s="7">
        <v>120</v>
      </c>
    </row>
    <row r="1666" spans="1:7" x14ac:dyDescent="0.3">
      <c r="A1666" s="18">
        <v>46170</v>
      </c>
      <c r="B1666" s="18" t="s">
        <v>66</v>
      </c>
      <c r="C1666" s="18" t="s">
        <v>58</v>
      </c>
      <c r="D1666" s="8" t="s">
        <v>837</v>
      </c>
      <c r="E1666" s="8" t="s">
        <v>57</v>
      </c>
      <c r="F1666" s="6" t="s">
        <v>659</v>
      </c>
      <c r="G1666" s="9">
        <v>750</v>
      </c>
    </row>
    <row r="1667" spans="1:7" x14ac:dyDescent="0.3">
      <c r="A1667" s="19">
        <v>46106</v>
      </c>
      <c r="B1667" s="8" t="s">
        <v>66</v>
      </c>
      <c r="C1667" s="18" t="s">
        <v>58</v>
      </c>
      <c r="D1667" s="6" t="s">
        <v>955</v>
      </c>
      <c r="E1667" s="4" t="s">
        <v>13</v>
      </c>
      <c r="F1667" s="6" t="s">
        <v>659</v>
      </c>
      <c r="G1667" s="9">
        <v>7200</v>
      </c>
    </row>
    <row r="1668" spans="1:7" x14ac:dyDescent="0.3">
      <c r="A1668" s="18">
        <v>46151</v>
      </c>
      <c r="B1668" s="18" t="s">
        <v>66</v>
      </c>
      <c r="C1668" s="18" t="s">
        <v>58</v>
      </c>
      <c r="D1668" s="34" t="s">
        <v>955</v>
      </c>
      <c r="E1668" s="34" t="s">
        <v>13</v>
      </c>
      <c r="F1668" s="6" t="s">
        <v>659</v>
      </c>
      <c r="G1668" s="35">
        <v>2700</v>
      </c>
    </row>
    <row r="1669" spans="1:7" x14ac:dyDescent="0.3">
      <c r="A1669" s="18">
        <v>46038</v>
      </c>
      <c r="B1669" s="18" t="s">
        <v>66</v>
      </c>
      <c r="C1669" s="18" t="s">
        <v>58</v>
      </c>
      <c r="D1669" s="6" t="s">
        <v>193</v>
      </c>
      <c r="E1669" s="6" t="s">
        <v>50</v>
      </c>
      <c r="F1669" s="6" t="s">
        <v>659</v>
      </c>
      <c r="G1669" s="7">
        <v>6160</v>
      </c>
    </row>
    <row r="1670" spans="1:7" x14ac:dyDescent="0.3">
      <c r="A1670" s="18">
        <v>46045</v>
      </c>
      <c r="B1670" s="18" t="s">
        <v>66</v>
      </c>
      <c r="C1670" s="18" t="s">
        <v>58</v>
      </c>
      <c r="D1670" s="6" t="s">
        <v>204</v>
      </c>
      <c r="E1670" s="6" t="s">
        <v>57</v>
      </c>
      <c r="F1670" s="6" t="s">
        <v>659</v>
      </c>
      <c r="G1670" s="7">
        <v>1150</v>
      </c>
    </row>
    <row r="1671" spans="1:7" x14ac:dyDescent="0.3">
      <c r="A1671" s="18">
        <v>46202</v>
      </c>
      <c r="B1671" s="44" t="s">
        <v>66</v>
      </c>
      <c r="C1671" s="44" t="s">
        <v>58</v>
      </c>
      <c r="D1671" s="6" t="s">
        <v>986</v>
      </c>
      <c r="E1671" s="6" t="s">
        <v>57</v>
      </c>
      <c r="F1671" s="6" t="s">
        <v>659</v>
      </c>
      <c r="G1671" s="3">
        <v>1500</v>
      </c>
    </row>
    <row r="1672" spans="1:7" x14ac:dyDescent="0.3">
      <c r="A1672" s="18">
        <v>46202</v>
      </c>
      <c r="B1672" s="44" t="s">
        <v>66</v>
      </c>
      <c r="C1672" s="44" t="s">
        <v>58</v>
      </c>
      <c r="D1672" s="6" t="s">
        <v>984</v>
      </c>
      <c r="E1672" s="6" t="s">
        <v>50</v>
      </c>
      <c r="F1672" s="6" t="s">
        <v>659</v>
      </c>
      <c r="G1672" s="3">
        <v>2940</v>
      </c>
    </row>
    <row r="1673" spans="1:7" x14ac:dyDescent="0.3">
      <c r="A1673" s="18">
        <v>46202</v>
      </c>
      <c r="B1673" s="44" t="s">
        <v>66</v>
      </c>
      <c r="C1673" s="44" t="s">
        <v>58</v>
      </c>
      <c r="D1673" s="6" t="s">
        <v>985</v>
      </c>
      <c r="E1673" s="6" t="s">
        <v>57</v>
      </c>
      <c r="F1673" s="6" t="s">
        <v>659</v>
      </c>
      <c r="G1673" s="3">
        <v>2060</v>
      </c>
    </row>
    <row r="1674" spans="1:7" x14ac:dyDescent="0.3">
      <c r="A1674" s="18">
        <v>46181</v>
      </c>
      <c r="B1674" s="44" t="s">
        <v>66</v>
      </c>
      <c r="C1674" s="44" t="s">
        <v>58</v>
      </c>
      <c r="D1674" s="8" t="s">
        <v>991</v>
      </c>
      <c r="E1674" s="8" t="s">
        <v>57</v>
      </c>
      <c r="F1674" s="6" t="s">
        <v>659</v>
      </c>
      <c r="G1674" s="9">
        <v>190</v>
      </c>
    </row>
    <row r="1675" spans="1:7" x14ac:dyDescent="0.3">
      <c r="A1675" s="18">
        <v>46182</v>
      </c>
      <c r="B1675" s="44" t="s">
        <v>66</v>
      </c>
      <c r="C1675" s="44" t="s">
        <v>58</v>
      </c>
      <c r="D1675" s="8" t="s">
        <v>991</v>
      </c>
      <c r="E1675" s="8" t="s">
        <v>57</v>
      </c>
      <c r="F1675" s="6" t="s">
        <v>659</v>
      </c>
      <c r="G1675" s="9">
        <v>190</v>
      </c>
    </row>
    <row r="1676" spans="1:7" x14ac:dyDescent="0.3">
      <c r="A1676" s="18">
        <v>46027</v>
      </c>
      <c r="B1676" s="18" t="s">
        <v>66</v>
      </c>
      <c r="C1676" s="18" t="s">
        <v>67</v>
      </c>
      <c r="D1676" s="6" t="s">
        <v>68</v>
      </c>
      <c r="E1676" s="6" t="s">
        <v>13</v>
      </c>
      <c r="F1676" s="6" t="s">
        <v>659</v>
      </c>
      <c r="G1676" s="7">
        <v>169.69</v>
      </c>
    </row>
    <row r="1677" spans="1:7" x14ac:dyDescent="0.3">
      <c r="A1677" s="18">
        <v>46058</v>
      </c>
      <c r="B1677" s="18" t="s">
        <v>66</v>
      </c>
      <c r="C1677" s="18" t="s">
        <v>67</v>
      </c>
      <c r="D1677" s="6" t="s">
        <v>68</v>
      </c>
      <c r="E1677" s="6" t="s">
        <v>13</v>
      </c>
      <c r="F1677" s="6" t="s">
        <v>659</v>
      </c>
      <c r="G1677" s="7">
        <v>169.69</v>
      </c>
    </row>
    <row r="1678" spans="1:7" x14ac:dyDescent="0.3">
      <c r="A1678" s="18">
        <v>46086</v>
      </c>
      <c r="B1678" s="18" t="s">
        <v>66</v>
      </c>
      <c r="C1678" s="18" t="s">
        <v>67</v>
      </c>
      <c r="D1678" s="6" t="s">
        <v>68</v>
      </c>
      <c r="E1678" s="6" t="s">
        <v>13</v>
      </c>
      <c r="F1678" s="6" t="s">
        <v>659</v>
      </c>
      <c r="G1678" s="7">
        <v>173.87</v>
      </c>
    </row>
    <row r="1679" spans="1:7" x14ac:dyDescent="0.3">
      <c r="A1679" s="18">
        <v>46113</v>
      </c>
      <c r="B1679" s="18" t="s">
        <v>66</v>
      </c>
      <c r="C1679" s="18" t="s">
        <v>67</v>
      </c>
      <c r="D1679" s="6" t="s">
        <v>68</v>
      </c>
      <c r="E1679" s="6" t="s">
        <v>13</v>
      </c>
      <c r="F1679" s="6" t="s">
        <v>659</v>
      </c>
      <c r="G1679" s="7">
        <v>173.87</v>
      </c>
    </row>
    <row r="1680" spans="1:7" x14ac:dyDescent="0.3">
      <c r="A1680" s="18">
        <v>46190</v>
      </c>
      <c r="B1680" s="46" t="s">
        <v>66</v>
      </c>
      <c r="C1680" s="46" t="s">
        <v>67</v>
      </c>
      <c r="D1680" s="6" t="s">
        <v>978</v>
      </c>
      <c r="E1680" s="6" t="s">
        <v>47</v>
      </c>
      <c r="F1680" s="6" t="s">
        <v>659</v>
      </c>
      <c r="G1680" s="7">
        <v>87.72</v>
      </c>
    </row>
    <row r="1681" spans="1:7" x14ac:dyDescent="0.3">
      <c r="A1681" s="18">
        <v>46191</v>
      </c>
      <c r="B1681" s="46" t="s">
        <v>66</v>
      </c>
      <c r="C1681" s="46" t="s">
        <v>67</v>
      </c>
      <c r="D1681" s="6" t="s">
        <v>978</v>
      </c>
      <c r="E1681" s="6" t="s">
        <v>47</v>
      </c>
      <c r="F1681" s="6" t="s">
        <v>659</v>
      </c>
      <c r="G1681" s="7">
        <v>89.01</v>
      </c>
    </row>
    <row r="1682" spans="1:7" x14ac:dyDescent="0.3">
      <c r="A1682" s="18">
        <v>46041</v>
      </c>
      <c r="B1682" s="18" t="s">
        <v>66</v>
      </c>
      <c r="C1682" s="18" t="s">
        <v>67</v>
      </c>
      <c r="D1682" s="6" t="s">
        <v>189</v>
      </c>
      <c r="E1682" s="6" t="s">
        <v>50</v>
      </c>
      <c r="F1682" s="6" t="s">
        <v>659</v>
      </c>
      <c r="G1682" s="7">
        <v>72.44</v>
      </c>
    </row>
    <row r="1683" spans="1:7" x14ac:dyDescent="0.3">
      <c r="A1683" s="18">
        <v>46072</v>
      </c>
      <c r="B1683" s="18" t="s">
        <v>66</v>
      </c>
      <c r="C1683" s="18" t="s">
        <v>67</v>
      </c>
      <c r="D1683" s="6" t="s">
        <v>189</v>
      </c>
      <c r="E1683" s="6" t="s">
        <v>50</v>
      </c>
      <c r="F1683" s="6" t="s">
        <v>659</v>
      </c>
      <c r="G1683" s="7">
        <v>72.44</v>
      </c>
    </row>
    <row r="1684" spans="1:7" x14ac:dyDescent="0.3">
      <c r="A1684" s="18">
        <v>46100</v>
      </c>
      <c r="B1684" s="18" t="s">
        <v>66</v>
      </c>
      <c r="C1684" s="18" t="s">
        <v>67</v>
      </c>
      <c r="D1684" s="6" t="s">
        <v>189</v>
      </c>
      <c r="E1684" s="6" t="s">
        <v>50</v>
      </c>
      <c r="F1684" s="6" t="s">
        <v>659</v>
      </c>
      <c r="G1684" s="7">
        <v>73.16</v>
      </c>
    </row>
    <row r="1685" spans="1:7" x14ac:dyDescent="0.3">
      <c r="A1685" s="18">
        <v>46113</v>
      </c>
      <c r="B1685" s="18" t="s">
        <v>66</v>
      </c>
      <c r="C1685" s="18" t="s">
        <v>67</v>
      </c>
      <c r="D1685" s="6" t="s">
        <v>189</v>
      </c>
      <c r="E1685" s="6" t="s">
        <v>50</v>
      </c>
      <c r="F1685" s="6" t="s">
        <v>659</v>
      </c>
      <c r="G1685" s="7">
        <v>73.16</v>
      </c>
    </row>
    <row r="1686" spans="1:7" x14ac:dyDescent="0.3">
      <c r="A1686" s="18">
        <v>46146</v>
      </c>
      <c r="B1686" s="18" t="s">
        <v>66</v>
      </c>
      <c r="C1686" s="18" t="s">
        <v>67</v>
      </c>
      <c r="D1686" s="6" t="s">
        <v>189</v>
      </c>
      <c r="E1686" s="6" t="s">
        <v>50</v>
      </c>
      <c r="F1686" s="6" t="s">
        <v>659</v>
      </c>
      <c r="G1686" s="9">
        <v>39.9</v>
      </c>
    </row>
    <row r="1687" spans="1:7" x14ac:dyDescent="0.3">
      <c r="A1687" s="18">
        <v>46113</v>
      </c>
      <c r="B1687" s="18" t="s">
        <v>66</v>
      </c>
      <c r="C1687" s="18" t="s">
        <v>67</v>
      </c>
      <c r="D1687" s="6" t="s">
        <v>799</v>
      </c>
      <c r="E1687" s="6" t="s">
        <v>13</v>
      </c>
      <c r="F1687" s="6" t="s">
        <v>659</v>
      </c>
      <c r="G1687" s="7">
        <v>100</v>
      </c>
    </row>
    <row r="1688" spans="1:7" x14ac:dyDescent="0.3">
      <c r="A1688" s="18">
        <v>46113</v>
      </c>
      <c r="B1688" s="18" t="s">
        <v>66</v>
      </c>
      <c r="C1688" s="18" t="s">
        <v>67</v>
      </c>
      <c r="D1688" s="6" t="s">
        <v>799</v>
      </c>
      <c r="E1688" s="6" t="s">
        <v>13</v>
      </c>
      <c r="F1688" s="6" t="s">
        <v>659</v>
      </c>
      <c r="G1688" s="7">
        <v>39.9</v>
      </c>
    </row>
    <row r="1689" spans="1:7" x14ac:dyDescent="0.3">
      <c r="A1689" s="18">
        <v>46113</v>
      </c>
      <c r="B1689" s="18" t="s">
        <v>66</v>
      </c>
      <c r="C1689" s="18" t="s">
        <v>67</v>
      </c>
      <c r="D1689" s="6" t="s">
        <v>798</v>
      </c>
      <c r="E1689" s="6" t="s">
        <v>50</v>
      </c>
      <c r="F1689" s="6" t="s">
        <v>659</v>
      </c>
      <c r="G1689" s="7">
        <v>100</v>
      </c>
    </row>
    <row r="1690" spans="1:7" x14ac:dyDescent="0.3">
      <c r="A1690" s="18">
        <v>46035</v>
      </c>
      <c r="B1690" s="18" t="s">
        <v>66</v>
      </c>
      <c r="C1690" s="18" t="s">
        <v>183</v>
      </c>
      <c r="D1690" s="6" t="s">
        <v>156</v>
      </c>
      <c r="E1690" s="6" t="s">
        <v>57</v>
      </c>
      <c r="F1690" s="6" t="s">
        <v>659</v>
      </c>
      <c r="G1690" s="7">
        <v>306.82</v>
      </c>
    </row>
    <row r="1691" spans="1:7" x14ac:dyDescent="0.3">
      <c r="A1691" s="18">
        <v>46034</v>
      </c>
      <c r="B1691" s="18" t="s">
        <v>66</v>
      </c>
      <c r="C1691" s="18" t="s">
        <v>183</v>
      </c>
      <c r="D1691" s="6" t="s">
        <v>182</v>
      </c>
      <c r="E1691" s="6" t="s">
        <v>42</v>
      </c>
      <c r="F1691" s="6" t="s">
        <v>659</v>
      </c>
      <c r="G1691" s="7">
        <v>139.18</v>
      </c>
    </row>
    <row r="1692" spans="1:7" x14ac:dyDescent="0.3">
      <c r="A1692" s="18">
        <v>46035</v>
      </c>
      <c r="B1692" s="18" t="s">
        <v>66</v>
      </c>
      <c r="C1692" s="18" t="s">
        <v>183</v>
      </c>
      <c r="D1692" s="6" t="s">
        <v>157</v>
      </c>
      <c r="E1692" s="6" t="s">
        <v>57</v>
      </c>
      <c r="F1692" s="6" t="s">
        <v>659</v>
      </c>
      <c r="G1692" s="7">
        <f>136.08+140.84</f>
        <v>276.92</v>
      </c>
    </row>
    <row r="1693" spans="1:7" x14ac:dyDescent="0.3">
      <c r="A1693" s="18">
        <v>46101</v>
      </c>
      <c r="B1693" s="18" t="s">
        <v>66</v>
      </c>
      <c r="C1693" s="18" t="s">
        <v>199</v>
      </c>
      <c r="D1693" s="6" t="s">
        <v>308</v>
      </c>
      <c r="E1693" s="6" t="s">
        <v>42</v>
      </c>
      <c r="F1693" s="6" t="s">
        <v>659</v>
      </c>
      <c r="G1693" s="7">
        <f>361.31+99.31</f>
        <v>460.62</v>
      </c>
    </row>
    <row r="1694" spans="1:7" x14ac:dyDescent="0.3">
      <c r="A1694" s="18">
        <v>46113</v>
      </c>
      <c r="B1694" s="18" t="s">
        <v>66</v>
      </c>
      <c r="C1694" s="18" t="s">
        <v>199</v>
      </c>
      <c r="D1694" s="6" t="s">
        <v>308</v>
      </c>
      <c r="E1694" s="6" t="s">
        <v>42</v>
      </c>
      <c r="F1694" s="6" t="s">
        <v>659</v>
      </c>
      <c r="G1694" s="7">
        <v>361.31</v>
      </c>
    </row>
    <row r="1695" spans="1:7" x14ac:dyDescent="0.3">
      <c r="A1695" s="18">
        <v>46042</v>
      </c>
      <c r="B1695" s="18" t="s">
        <v>66</v>
      </c>
      <c r="C1695" s="18" t="s">
        <v>199</v>
      </c>
      <c r="D1695" s="6" t="s">
        <v>308</v>
      </c>
      <c r="E1695" s="6" t="s">
        <v>42</v>
      </c>
      <c r="F1695" s="6" t="s">
        <v>659</v>
      </c>
      <c r="G1695" s="7">
        <f>99.31+361.34</f>
        <v>460.65</v>
      </c>
    </row>
    <row r="1696" spans="1:7" x14ac:dyDescent="0.3">
      <c r="A1696" s="18">
        <v>46072</v>
      </c>
      <c r="B1696" s="18" t="s">
        <v>66</v>
      </c>
      <c r="C1696" s="18" t="s">
        <v>199</v>
      </c>
      <c r="D1696" s="6" t="s">
        <v>308</v>
      </c>
      <c r="E1696" s="6" t="s">
        <v>42</v>
      </c>
      <c r="F1696" s="6" t="s">
        <v>659</v>
      </c>
      <c r="G1696" s="7">
        <f>361.31+99.31</f>
        <v>460.62</v>
      </c>
    </row>
    <row r="1697" spans="1:7" x14ac:dyDescent="0.3">
      <c r="A1697" s="18">
        <v>46162</v>
      </c>
      <c r="B1697" s="18" t="s">
        <v>66</v>
      </c>
      <c r="C1697" s="18" t="s">
        <v>199</v>
      </c>
      <c r="D1697" s="6" t="s">
        <v>308</v>
      </c>
      <c r="E1697" s="6" t="s">
        <v>42</v>
      </c>
      <c r="F1697" s="6" t="s">
        <v>659</v>
      </c>
      <c r="G1697" s="9">
        <v>361.31</v>
      </c>
    </row>
    <row r="1698" spans="1:7" x14ac:dyDescent="0.3">
      <c r="A1698" s="18">
        <v>46192</v>
      </c>
      <c r="B1698" s="18" t="s">
        <v>66</v>
      </c>
      <c r="C1698" s="18" t="s">
        <v>199</v>
      </c>
      <c r="D1698" s="6" t="s">
        <v>308</v>
      </c>
      <c r="E1698" s="6" t="s">
        <v>42</v>
      </c>
      <c r="F1698" s="6" t="s">
        <v>659</v>
      </c>
      <c r="G1698" s="9">
        <v>361.31</v>
      </c>
    </row>
    <row r="1699" spans="1:7" x14ac:dyDescent="0.3">
      <c r="A1699" s="18">
        <v>46189</v>
      </c>
      <c r="B1699" s="18" t="s">
        <v>66</v>
      </c>
      <c r="C1699" s="18" t="s">
        <v>199</v>
      </c>
      <c r="D1699" s="6" t="s">
        <v>1139</v>
      </c>
      <c r="E1699" s="6" t="s">
        <v>42</v>
      </c>
      <c r="F1699" s="6" t="s">
        <v>656</v>
      </c>
      <c r="G1699" s="7">
        <v>770.91</v>
      </c>
    </row>
    <row r="1700" spans="1:7" x14ac:dyDescent="0.3">
      <c r="A1700" s="18">
        <v>46032</v>
      </c>
      <c r="B1700" s="18" t="s">
        <v>66</v>
      </c>
      <c r="C1700" s="18" t="s">
        <v>199</v>
      </c>
      <c r="D1700" s="6" t="s">
        <v>368</v>
      </c>
      <c r="E1700" s="6" t="s">
        <v>57</v>
      </c>
      <c r="F1700" s="6" t="s">
        <v>656</v>
      </c>
      <c r="G1700" s="7">
        <v>1015.27</v>
      </c>
    </row>
    <row r="1701" spans="1:7" x14ac:dyDescent="0.3">
      <c r="A1701" s="18">
        <v>46063</v>
      </c>
      <c r="B1701" s="18" t="s">
        <v>66</v>
      </c>
      <c r="C1701" s="18" t="s">
        <v>199</v>
      </c>
      <c r="D1701" s="6" t="s">
        <v>368</v>
      </c>
      <c r="E1701" s="6" t="s">
        <v>57</v>
      </c>
      <c r="F1701" s="6" t="s">
        <v>656</v>
      </c>
      <c r="G1701" s="7">
        <v>1015.27</v>
      </c>
    </row>
    <row r="1702" spans="1:7" x14ac:dyDescent="0.3">
      <c r="A1702" s="18">
        <v>46091</v>
      </c>
      <c r="B1702" s="18" t="s">
        <v>66</v>
      </c>
      <c r="C1702" s="18" t="s">
        <v>199</v>
      </c>
      <c r="D1702" s="6" t="s">
        <v>368</v>
      </c>
      <c r="E1702" s="6" t="s">
        <v>57</v>
      </c>
      <c r="F1702" s="6" t="s">
        <v>656</v>
      </c>
      <c r="G1702" s="7">
        <v>1015.27</v>
      </c>
    </row>
    <row r="1703" spans="1:7" x14ac:dyDescent="0.3">
      <c r="A1703" s="18">
        <v>46113</v>
      </c>
      <c r="B1703" s="18" t="s">
        <v>66</v>
      </c>
      <c r="C1703" s="18" t="s">
        <v>199</v>
      </c>
      <c r="D1703" s="6" t="s">
        <v>368</v>
      </c>
      <c r="E1703" s="6" t="s">
        <v>57</v>
      </c>
      <c r="F1703" s="6" t="s">
        <v>656</v>
      </c>
      <c r="G1703" s="7">
        <v>1015.27</v>
      </c>
    </row>
    <row r="1704" spans="1:7" x14ac:dyDescent="0.3">
      <c r="A1704" s="18">
        <v>46152</v>
      </c>
      <c r="B1704" s="18" t="s">
        <v>66</v>
      </c>
      <c r="C1704" s="18" t="s">
        <v>199</v>
      </c>
      <c r="D1704" s="6" t="s">
        <v>368</v>
      </c>
      <c r="E1704" s="6" t="s">
        <v>57</v>
      </c>
      <c r="F1704" s="6" t="s">
        <v>656</v>
      </c>
      <c r="G1704" s="7">
        <v>1015.27</v>
      </c>
    </row>
    <row r="1705" spans="1:7" x14ac:dyDescent="0.3">
      <c r="A1705" s="18">
        <v>46183</v>
      </c>
      <c r="B1705" s="18" t="s">
        <v>66</v>
      </c>
      <c r="C1705" s="18" t="s">
        <v>199</v>
      </c>
      <c r="D1705" s="6" t="s">
        <v>368</v>
      </c>
      <c r="E1705" s="6" t="s">
        <v>57</v>
      </c>
      <c r="F1705" s="6" t="s">
        <v>656</v>
      </c>
      <c r="G1705" s="7">
        <v>1015.27</v>
      </c>
    </row>
    <row r="1706" spans="1:7" x14ac:dyDescent="0.3">
      <c r="A1706" s="18">
        <v>46042</v>
      </c>
      <c r="B1706" s="18" t="s">
        <v>66</v>
      </c>
      <c r="C1706" s="18" t="s">
        <v>199</v>
      </c>
      <c r="D1706" s="6" t="s">
        <v>307</v>
      </c>
      <c r="E1706" s="6" t="s">
        <v>50</v>
      </c>
      <c r="F1706" s="6" t="s">
        <v>659</v>
      </c>
      <c r="G1706" s="7">
        <v>491.36</v>
      </c>
    </row>
    <row r="1707" spans="1:7" x14ac:dyDescent="0.3">
      <c r="A1707" s="18">
        <v>46055</v>
      </c>
      <c r="B1707" s="18" t="s">
        <v>66</v>
      </c>
      <c r="C1707" s="18" t="s">
        <v>199</v>
      </c>
      <c r="D1707" s="6" t="s">
        <v>307</v>
      </c>
      <c r="E1707" s="6" t="s">
        <v>50</v>
      </c>
      <c r="F1707" s="6" t="s">
        <v>659</v>
      </c>
      <c r="G1707" s="7">
        <v>273.42</v>
      </c>
    </row>
    <row r="1708" spans="1:7" x14ac:dyDescent="0.3">
      <c r="A1708" s="18">
        <v>46188</v>
      </c>
      <c r="B1708" s="18" t="s">
        <v>66</v>
      </c>
      <c r="C1708" s="18" t="s">
        <v>154</v>
      </c>
      <c r="D1708" s="6" t="s">
        <v>1151</v>
      </c>
      <c r="E1708" s="6" t="s">
        <v>42</v>
      </c>
      <c r="F1708" s="6" t="s">
        <v>659</v>
      </c>
      <c r="G1708" s="7">
        <v>28</v>
      </c>
    </row>
    <row r="1709" spans="1:7" x14ac:dyDescent="0.3">
      <c r="A1709" s="18">
        <v>46113</v>
      </c>
      <c r="B1709" s="18" t="s">
        <v>66</v>
      </c>
      <c r="C1709" s="18" t="s">
        <v>154</v>
      </c>
      <c r="D1709" s="6" t="s">
        <v>274</v>
      </c>
      <c r="E1709" s="6" t="s">
        <v>42</v>
      </c>
      <c r="F1709" s="6" t="s">
        <v>659</v>
      </c>
      <c r="G1709" s="7">
        <v>42</v>
      </c>
    </row>
    <row r="1710" spans="1:7" x14ac:dyDescent="0.3">
      <c r="A1710" s="18">
        <v>46113</v>
      </c>
      <c r="B1710" s="18" t="s">
        <v>66</v>
      </c>
      <c r="C1710" s="18" t="s">
        <v>154</v>
      </c>
      <c r="D1710" s="6" t="s">
        <v>274</v>
      </c>
      <c r="E1710" s="6" t="s">
        <v>42</v>
      </c>
      <c r="F1710" s="6" t="s">
        <v>659</v>
      </c>
      <c r="G1710" s="7">
        <v>43</v>
      </c>
    </row>
    <row r="1711" spans="1:7" x14ac:dyDescent="0.3">
      <c r="A1711" s="18">
        <v>46113</v>
      </c>
      <c r="B1711" s="18" t="s">
        <v>66</v>
      </c>
      <c r="C1711" s="18" t="s">
        <v>154</v>
      </c>
      <c r="D1711" s="6" t="s">
        <v>274</v>
      </c>
      <c r="E1711" s="6" t="s">
        <v>42</v>
      </c>
      <c r="F1711" s="6" t="s">
        <v>659</v>
      </c>
      <c r="G1711" s="7">
        <v>42</v>
      </c>
    </row>
    <row r="1712" spans="1:7" x14ac:dyDescent="0.3">
      <c r="A1712" s="18">
        <v>46113</v>
      </c>
      <c r="B1712" s="18" t="s">
        <v>66</v>
      </c>
      <c r="C1712" s="18" t="s">
        <v>154</v>
      </c>
      <c r="D1712" s="6" t="s">
        <v>274</v>
      </c>
      <c r="E1712" s="6" t="s">
        <v>42</v>
      </c>
      <c r="F1712" s="6" t="s">
        <v>659</v>
      </c>
      <c r="G1712" s="7">
        <v>17</v>
      </c>
    </row>
    <row r="1713" spans="1:7" x14ac:dyDescent="0.3">
      <c r="A1713" s="18">
        <v>46148</v>
      </c>
      <c r="B1713" s="18" t="s">
        <v>66</v>
      </c>
      <c r="C1713" s="18" t="s">
        <v>154</v>
      </c>
      <c r="D1713" s="6" t="s">
        <v>274</v>
      </c>
      <c r="E1713" s="6" t="s">
        <v>42</v>
      </c>
      <c r="F1713" s="6" t="s">
        <v>659</v>
      </c>
      <c r="G1713" s="7">
        <v>55</v>
      </c>
    </row>
    <row r="1714" spans="1:7" x14ac:dyDescent="0.3">
      <c r="A1714" s="18">
        <v>46149</v>
      </c>
      <c r="B1714" s="18" t="s">
        <v>66</v>
      </c>
      <c r="C1714" s="18" t="s">
        <v>154</v>
      </c>
      <c r="D1714" s="6" t="s">
        <v>274</v>
      </c>
      <c r="E1714" s="6" t="s">
        <v>42</v>
      </c>
      <c r="F1714" s="6" t="s">
        <v>659</v>
      </c>
      <c r="G1714" s="7">
        <v>25</v>
      </c>
    </row>
    <row r="1715" spans="1:7" x14ac:dyDescent="0.3">
      <c r="A1715" s="18">
        <v>46167</v>
      </c>
      <c r="B1715" s="18" t="s">
        <v>66</v>
      </c>
      <c r="C1715" s="18" t="s">
        <v>154</v>
      </c>
      <c r="D1715" s="6" t="s">
        <v>274</v>
      </c>
      <c r="E1715" s="6" t="s">
        <v>42</v>
      </c>
      <c r="F1715" s="6" t="s">
        <v>659</v>
      </c>
      <c r="G1715" s="7">
        <v>47</v>
      </c>
    </row>
    <row r="1716" spans="1:7" x14ac:dyDescent="0.3">
      <c r="A1716" s="18">
        <v>46027</v>
      </c>
      <c r="B1716" s="18" t="s">
        <v>66</v>
      </c>
      <c r="C1716" s="18" t="s">
        <v>154</v>
      </c>
      <c r="D1716" s="6" t="s">
        <v>274</v>
      </c>
      <c r="E1716" s="6" t="s">
        <v>42</v>
      </c>
      <c r="F1716" s="6" t="s">
        <v>659</v>
      </c>
      <c r="G1716" s="7">
        <v>318</v>
      </c>
    </row>
    <row r="1717" spans="1:7" x14ac:dyDescent="0.3">
      <c r="A1717" s="18">
        <v>46062</v>
      </c>
      <c r="B1717" s="18" t="s">
        <v>66</v>
      </c>
      <c r="C1717" s="18" t="s">
        <v>154</v>
      </c>
      <c r="D1717" s="6" t="s">
        <v>274</v>
      </c>
      <c r="E1717" s="6" t="s">
        <v>42</v>
      </c>
      <c r="F1717" s="6" t="s">
        <v>659</v>
      </c>
      <c r="G1717" s="7">
        <v>80</v>
      </c>
    </row>
    <row r="1718" spans="1:7" x14ac:dyDescent="0.3">
      <c r="A1718" s="18">
        <v>46082</v>
      </c>
      <c r="B1718" s="18" t="s">
        <v>66</v>
      </c>
      <c r="C1718" s="18" t="s">
        <v>154</v>
      </c>
      <c r="D1718" s="6" t="s">
        <v>274</v>
      </c>
      <c r="E1718" s="6" t="s">
        <v>42</v>
      </c>
      <c r="F1718" s="6" t="s">
        <v>659</v>
      </c>
      <c r="G1718" s="7">
        <v>218</v>
      </c>
    </row>
    <row r="1719" spans="1:7" x14ac:dyDescent="0.3">
      <c r="A1719" s="18">
        <v>46146</v>
      </c>
      <c r="B1719" s="18" t="s">
        <v>66</v>
      </c>
      <c r="C1719" s="18" t="s">
        <v>154</v>
      </c>
      <c r="D1719" s="6" t="s">
        <v>264</v>
      </c>
      <c r="E1719" s="6" t="s">
        <v>13</v>
      </c>
      <c r="F1719" s="6" t="s">
        <v>659</v>
      </c>
      <c r="G1719" s="7">
        <v>53</v>
      </c>
    </row>
    <row r="1720" spans="1:7" x14ac:dyDescent="0.3">
      <c r="A1720" s="18">
        <v>46148</v>
      </c>
      <c r="B1720" s="18" t="s">
        <v>66</v>
      </c>
      <c r="C1720" s="18" t="s">
        <v>154</v>
      </c>
      <c r="D1720" s="6" t="s">
        <v>264</v>
      </c>
      <c r="E1720" s="6" t="s">
        <v>13</v>
      </c>
      <c r="F1720" s="6" t="s">
        <v>659</v>
      </c>
      <c r="G1720" s="7">
        <v>47</v>
      </c>
    </row>
    <row r="1721" spans="1:7" x14ac:dyDescent="0.3">
      <c r="A1721" s="18">
        <v>46150</v>
      </c>
      <c r="B1721" s="18" t="s">
        <v>66</v>
      </c>
      <c r="C1721" s="18" t="s">
        <v>154</v>
      </c>
      <c r="D1721" s="6" t="s">
        <v>264</v>
      </c>
      <c r="E1721" s="6" t="s">
        <v>13</v>
      </c>
      <c r="F1721" s="6" t="s">
        <v>659</v>
      </c>
      <c r="G1721" s="7">
        <v>29</v>
      </c>
    </row>
    <row r="1722" spans="1:7" x14ac:dyDescent="0.3">
      <c r="A1722" s="18">
        <v>46164</v>
      </c>
      <c r="B1722" s="18" t="s">
        <v>66</v>
      </c>
      <c r="C1722" s="18" t="s">
        <v>154</v>
      </c>
      <c r="D1722" s="6" t="s">
        <v>264</v>
      </c>
      <c r="E1722" s="6" t="s">
        <v>13</v>
      </c>
      <c r="F1722" s="6" t="s">
        <v>659</v>
      </c>
      <c r="G1722" s="7">
        <v>32</v>
      </c>
    </row>
    <row r="1723" spans="1:7" x14ac:dyDescent="0.3">
      <c r="A1723" s="18">
        <v>46035</v>
      </c>
      <c r="B1723" s="18" t="s">
        <v>66</v>
      </c>
      <c r="C1723" s="18" t="s">
        <v>154</v>
      </c>
      <c r="D1723" s="6" t="s">
        <v>264</v>
      </c>
      <c r="E1723" s="6" t="s">
        <v>13</v>
      </c>
      <c r="F1723" s="6" t="s">
        <v>659</v>
      </c>
      <c r="G1723" s="7">
        <v>25</v>
      </c>
    </row>
    <row r="1724" spans="1:7" x14ac:dyDescent="0.3">
      <c r="A1724" s="18">
        <v>46062</v>
      </c>
      <c r="B1724" s="18" t="s">
        <v>66</v>
      </c>
      <c r="C1724" s="18" t="s">
        <v>154</v>
      </c>
      <c r="D1724" s="6" t="s">
        <v>264</v>
      </c>
      <c r="E1724" s="6" t="s">
        <v>13</v>
      </c>
      <c r="F1724" s="6" t="s">
        <v>659</v>
      </c>
      <c r="G1724" s="7">
        <v>87</v>
      </c>
    </row>
    <row r="1725" spans="1:7" x14ac:dyDescent="0.3">
      <c r="A1725" s="18">
        <v>46192</v>
      </c>
      <c r="B1725" s="18" t="s">
        <v>66</v>
      </c>
      <c r="C1725" s="18" t="s">
        <v>154</v>
      </c>
      <c r="D1725" s="6" t="s">
        <v>264</v>
      </c>
      <c r="E1725" s="6" t="s">
        <v>13</v>
      </c>
      <c r="F1725" s="6" t="s">
        <v>659</v>
      </c>
      <c r="G1725" s="7">
        <v>20</v>
      </c>
    </row>
    <row r="1726" spans="1:7" x14ac:dyDescent="0.3">
      <c r="A1726" s="18">
        <v>46113</v>
      </c>
      <c r="B1726" s="18" t="s">
        <v>66</v>
      </c>
      <c r="C1726" s="18" t="s">
        <v>154</v>
      </c>
      <c r="D1726" s="6" t="s">
        <v>266</v>
      </c>
      <c r="E1726" s="6" t="s">
        <v>57</v>
      </c>
      <c r="F1726" s="6" t="s">
        <v>659</v>
      </c>
      <c r="G1726" s="7">
        <v>37</v>
      </c>
    </row>
    <row r="1727" spans="1:7" x14ac:dyDescent="0.3">
      <c r="A1727" s="18">
        <v>46113</v>
      </c>
      <c r="B1727" s="18" t="s">
        <v>66</v>
      </c>
      <c r="C1727" s="18" t="s">
        <v>154</v>
      </c>
      <c r="D1727" s="6" t="s">
        <v>266</v>
      </c>
      <c r="E1727" s="6" t="s">
        <v>57</v>
      </c>
      <c r="F1727" s="6" t="s">
        <v>659</v>
      </c>
      <c r="G1727" s="7">
        <v>10.199999999999999</v>
      </c>
    </row>
    <row r="1728" spans="1:7" x14ac:dyDescent="0.3">
      <c r="A1728" s="18">
        <v>46113</v>
      </c>
      <c r="B1728" s="18" t="s">
        <v>66</v>
      </c>
      <c r="C1728" s="18" t="s">
        <v>154</v>
      </c>
      <c r="D1728" s="6" t="s">
        <v>266</v>
      </c>
      <c r="E1728" s="6" t="s">
        <v>57</v>
      </c>
      <c r="F1728" s="6" t="s">
        <v>659</v>
      </c>
      <c r="G1728" s="7">
        <v>32</v>
      </c>
    </row>
    <row r="1729" spans="1:7" x14ac:dyDescent="0.3">
      <c r="A1729" s="18">
        <v>46113</v>
      </c>
      <c r="B1729" s="18" t="s">
        <v>66</v>
      </c>
      <c r="C1729" s="18" t="s">
        <v>154</v>
      </c>
      <c r="D1729" s="6" t="s">
        <v>266</v>
      </c>
      <c r="E1729" s="6" t="s">
        <v>57</v>
      </c>
      <c r="F1729" s="6" t="s">
        <v>659</v>
      </c>
      <c r="G1729" s="7">
        <v>3.4</v>
      </c>
    </row>
    <row r="1730" spans="1:7" x14ac:dyDescent="0.3">
      <c r="A1730" s="18">
        <v>46031</v>
      </c>
      <c r="B1730" s="18" t="s">
        <v>66</v>
      </c>
      <c r="C1730" s="18" t="s">
        <v>154</v>
      </c>
      <c r="D1730" s="6" t="s">
        <v>266</v>
      </c>
      <c r="E1730" s="6" t="s">
        <v>57</v>
      </c>
      <c r="F1730" s="6" t="s">
        <v>659</v>
      </c>
      <c r="G1730" s="7">
        <v>50</v>
      </c>
    </row>
    <row r="1731" spans="1:7" x14ac:dyDescent="0.3">
      <c r="A1731" s="18">
        <v>46191</v>
      </c>
      <c r="B1731" s="18" t="s">
        <v>66</v>
      </c>
      <c r="C1731" s="18" t="s">
        <v>154</v>
      </c>
      <c r="D1731" s="6" t="s">
        <v>266</v>
      </c>
      <c r="E1731" s="6" t="s">
        <v>57</v>
      </c>
      <c r="F1731" s="6" t="s">
        <v>659</v>
      </c>
      <c r="G1731" s="7">
        <v>45</v>
      </c>
    </row>
    <row r="1732" spans="1:7" x14ac:dyDescent="0.3">
      <c r="A1732" s="18">
        <v>46113</v>
      </c>
      <c r="B1732" s="18" t="s">
        <v>66</v>
      </c>
      <c r="C1732" s="18" t="s">
        <v>154</v>
      </c>
      <c r="D1732" s="6" t="s">
        <v>272</v>
      </c>
      <c r="E1732" s="6" t="s">
        <v>50</v>
      </c>
      <c r="F1732" s="6" t="s">
        <v>659</v>
      </c>
      <c r="G1732" s="7">
        <v>3.4</v>
      </c>
    </row>
    <row r="1733" spans="1:7" x14ac:dyDescent="0.3">
      <c r="A1733" s="18">
        <v>46113</v>
      </c>
      <c r="B1733" s="18" t="s">
        <v>66</v>
      </c>
      <c r="C1733" s="18" t="s">
        <v>154</v>
      </c>
      <c r="D1733" s="6" t="s">
        <v>272</v>
      </c>
      <c r="E1733" s="6" t="s">
        <v>50</v>
      </c>
      <c r="F1733" s="6" t="s">
        <v>659</v>
      </c>
      <c r="G1733" s="7">
        <v>42</v>
      </c>
    </row>
    <row r="1734" spans="1:7" ht="13.8" customHeight="1" x14ac:dyDescent="0.3">
      <c r="A1734" s="18">
        <v>46113</v>
      </c>
      <c r="B1734" s="18" t="s">
        <v>66</v>
      </c>
      <c r="C1734" s="18" t="s">
        <v>154</v>
      </c>
      <c r="D1734" s="6" t="s">
        <v>272</v>
      </c>
      <c r="E1734" s="6" t="s">
        <v>50</v>
      </c>
      <c r="F1734" s="6" t="s">
        <v>659</v>
      </c>
      <c r="G1734" s="7">
        <v>37</v>
      </c>
    </row>
    <row r="1735" spans="1:7" x14ac:dyDescent="0.3">
      <c r="A1735" s="18">
        <v>46139</v>
      </c>
      <c r="B1735" s="18" t="s">
        <v>66</v>
      </c>
      <c r="C1735" s="18" t="s">
        <v>154</v>
      </c>
      <c r="D1735" s="6" t="s">
        <v>272</v>
      </c>
      <c r="E1735" s="6" t="s">
        <v>50</v>
      </c>
      <c r="F1735" s="6" t="s">
        <v>659</v>
      </c>
      <c r="G1735" s="7">
        <v>29</v>
      </c>
    </row>
    <row r="1736" spans="1:7" x14ac:dyDescent="0.3">
      <c r="A1736" s="18">
        <v>46141</v>
      </c>
      <c r="B1736" s="18" t="s">
        <v>66</v>
      </c>
      <c r="C1736" s="18" t="s">
        <v>154</v>
      </c>
      <c r="D1736" s="6" t="s">
        <v>272</v>
      </c>
      <c r="E1736" s="6" t="s">
        <v>50</v>
      </c>
      <c r="F1736" s="6" t="s">
        <v>659</v>
      </c>
      <c r="G1736" s="7">
        <v>42</v>
      </c>
    </row>
    <row r="1737" spans="1:7" x14ac:dyDescent="0.3">
      <c r="A1737" s="18">
        <v>46145</v>
      </c>
      <c r="B1737" s="18" t="s">
        <v>66</v>
      </c>
      <c r="C1737" s="18" t="s">
        <v>154</v>
      </c>
      <c r="D1737" s="6" t="s">
        <v>272</v>
      </c>
      <c r="E1737" s="6" t="s">
        <v>50</v>
      </c>
      <c r="F1737" s="6" t="s">
        <v>659</v>
      </c>
      <c r="G1737" s="7">
        <v>37</v>
      </c>
    </row>
    <row r="1738" spans="1:7" x14ac:dyDescent="0.3">
      <c r="A1738" s="18">
        <v>46149</v>
      </c>
      <c r="B1738" s="18" t="s">
        <v>66</v>
      </c>
      <c r="C1738" s="18" t="s">
        <v>154</v>
      </c>
      <c r="D1738" s="6" t="s">
        <v>272</v>
      </c>
      <c r="E1738" s="6" t="s">
        <v>50</v>
      </c>
      <c r="F1738" s="6" t="s">
        <v>659</v>
      </c>
      <c r="G1738" s="7">
        <v>52</v>
      </c>
    </row>
    <row r="1739" spans="1:7" x14ac:dyDescent="0.3">
      <c r="A1739" s="18">
        <v>46153</v>
      </c>
      <c r="B1739" s="18" t="s">
        <v>66</v>
      </c>
      <c r="C1739" s="18" t="s">
        <v>154</v>
      </c>
      <c r="D1739" s="6" t="s">
        <v>272</v>
      </c>
      <c r="E1739" s="6" t="s">
        <v>50</v>
      </c>
      <c r="F1739" s="6" t="s">
        <v>659</v>
      </c>
      <c r="G1739" s="7">
        <v>25</v>
      </c>
    </row>
    <row r="1740" spans="1:7" x14ac:dyDescent="0.3">
      <c r="A1740" s="18">
        <v>46161</v>
      </c>
      <c r="B1740" s="18" t="s">
        <v>66</v>
      </c>
      <c r="C1740" s="18" t="s">
        <v>154</v>
      </c>
      <c r="D1740" s="6" t="s">
        <v>272</v>
      </c>
      <c r="E1740" s="6" t="s">
        <v>50</v>
      </c>
      <c r="F1740" s="6" t="s">
        <v>659</v>
      </c>
      <c r="G1740" s="7">
        <v>37</v>
      </c>
    </row>
    <row r="1741" spans="1:7" x14ac:dyDescent="0.3">
      <c r="A1741" s="18">
        <v>46167</v>
      </c>
      <c r="B1741" s="18" t="s">
        <v>66</v>
      </c>
      <c r="C1741" s="18" t="s">
        <v>154</v>
      </c>
      <c r="D1741" s="6" t="s">
        <v>272</v>
      </c>
      <c r="E1741" s="6" t="s">
        <v>50</v>
      </c>
      <c r="F1741" s="6" t="s">
        <v>659</v>
      </c>
      <c r="G1741" s="7">
        <v>55</v>
      </c>
    </row>
    <row r="1742" spans="1:7" x14ac:dyDescent="0.3">
      <c r="A1742" s="18">
        <v>46169</v>
      </c>
      <c r="B1742" s="18" t="s">
        <v>66</v>
      </c>
      <c r="C1742" s="18" t="s">
        <v>154</v>
      </c>
      <c r="D1742" s="6" t="s">
        <v>272</v>
      </c>
      <c r="E1742" s="6" t="s">
        <v>50</v>
      </c>
      <c r="F1742" s="6" t="s">
        <v>659</v>
      </c>
      <c r="G1742" s="7">
        <v>37</v>
      </c>
    </row>
    <row r="1743" spans="1:7" x14ac:dyDescent="0.3">
      <c r="A1743" s="18">
        <v>46076</v>
      </c>
      <c r="B1743" s="18" t="s">
        <v>66</v>
      </c>
      <c r="C1743" s="18" t="s">
        <v>154</v>
      </c>
      <c r="D1743" s="6" t="s">
        <v>272</v>
      </c>
      <c r="E1743" s="6" t="s">
        <v>50</v>
      </c>
      <c r="F1743" s="6" t="s">
        <v>659</v>
      </c>
      <c r="G1743" s="7">
        <v>92</v>
      </c>
    </row>
    <row r="1744" spans="1:7" x14ac:dyDescent="0.3">
      <c r="A1744" s="18">
        <v>46082</v>
      </c>
      <c r="B1744" s="18" t="s">
        <v>66</v>
      </c>
      <c r="C1744" s="18" t="s">
        <v>154</v>
      </c>
      <c r="D1744" s="6" t="s">
        <v>272</v>
      </c>
      <c r="E1744" s="6" t="s">
        <v>50</v>
      </c>
      <c r="F1744" s="6" t="s">
        <v>659</v>
      </c>
      <c r="G1744" s="7">
        <v>199</v>
      </c>
    </row>
    <row r="1745" spans="1:7" x14ac:dyDescent="0.3">
      <c r="A1745" s="18">
        <v>46188</v>
      </c>
      <c r="B1745" s="18" t="s">
        <v>66</v>
      </c>
      <c r="C1745" s="18" t="s">
        <v>154</v>
      </c>
      <c r="D1745" s="6" t="s">
        <v>272</v>
      </c>
      <c r="E1745" s="6" t="s">
        <v>50</v>
      </c>
      <c r="F1745" s="6" t="s">
        <v>659</v>
      </c>
      <c r="G1745" s="7">
        <v>32</v>
      </c>
    </row>
    <row r="1746" spans="1:7" x14ac:dyDescent="0.3">
      <c r="A1746" s="18">
        <v>46029</v>
      </c>
      <c r="B1746" s="18" t="s">
        <v>66</v>
      </c>
      <c r="C1746" s="18" t="s">
        <v>154</v>
      </c>
      <c r="D1746" s="6" t="s">
        <v>265</v>
      </c>
      <c r="E1746" s="6" t="s">
        <v>57</v>
      </c>
      <c r="F1746" s="6" t="s">
        <v>659</v>
      </c>
      <c r="G1746" s="7">
        <v>137.4</v>
      </c>
    </row>
    <row r="1747" spans="1:7" x14ac:dyDescent="0.3">
      <c r="A1747" s="18">
        <v>46063</v>
      </c>
      <c r="B1747" s="18" t="s">
        <v>66</v>
      </c>
      <c r="C1747" s="18" t="s">
        <v>154</v>
      </c>
      <c r="D1747" s="6" t="s">
        <v>265</v>
      </c>
      <c r="E1747" s="6" t="s">
        <v>57</v>
      </c>
      <c r="F1747" s="6" t="s">
        <v>659</v>
      </c>
      <c r="G1747" s="7">
        <v>317.39999999999998</v>
      </c>
    </row>
    <row r="1748" spans="1:7" x14ac:dyDescent="0.3">
      <c r="A1748" s="18">
        <v>46079</v>
      </c>
      <c r="B1748" s="18" t="s">
        <v>66</v>
      </c>
      <c r="C1748" s="18" t="s">
        <v>154</v>
      </c>
      <c r="D1748" s="6" t="s">
        <v>269</v>
      </c>
      <c r="E1748" s="6" t="s">
        <v>42</v>
      </c>
      <c r="F1748" s="6" t="s">
        <v>659</v>
      </c>
      <c r="G1748" s="7">
        <v>25.9</v>
      </c>
    </row>
    <row r="1749" spans="1:7" x14ac:dyDescent="0.3">
      <c r="A1749" s="18">
        <v>46110</v>
      </c>
      <c r="B1749" s="18" t="s">
        <v>66</v>
      </c>
      <c r="C1749" s="18" t="s">
        <v>154</v>
      </c>
      <c r="D1749" s="6" t="s">
        <v>269</v>
      </c>
      <c r="E1749" s="6" t="s">
        <v>42</v>
      </c>
      <c r="F1749" s="6" t="s">
        <v>659</v>
      </c>
      <c r="G1749" s="7">
        <v>25.9</v>
      </c>
    </row>
    <row r="1750" spans="1:7" x14ac:dyDescent="0.3">
      <c r="A1750" s="18">
        <v>46113</v>
      </c>
      <c r="B1750" s="18" t="s">
        <v>66</v>
      </c>
      <c r="C1750" s="18" t="s">
        <v>154</v>
      </c>
      <c r="D1750" s="6" t="s">
        <v>269</v>
      </c>
      <c r="E1750" s="6" t="s">
        <v>42</v>
      </c>
      <c r="F1750" s="6" t="s">
        <v>659</v>
      </c>
      <c r="G1750" s="7">
        <v>25.9</v>
      </c>
    </row>
    <row r="1751" spans="1:7" x14ac:dyDescent="0.3">
      <c r="A1751" s="18">
        <v>46143</v>
      </c>
      <c r="B1751" s="18" t="s">
        <v>66</v>
      </c>
      <c r="C1751" s="18" t="s">
        <v>154</v>
      </c>
      <c r="D1751" s="6" t="s">
        <v>269</v>
      </c>
      <c r="E1751" s="6" t="s">
        <v>42</v>
      </c>
      <c r="F1751" s="6" t="s">
        <v>659</v>
      </c>
      <c r="G1751" s="7">
        <v>25.9</v>
      </c>
    </row>
    <row r="1752" spans="1:7" x14ac:dyDescent="0.3">
      <c r="A1752" s="18">
        <v>46174</v>
      </c>
      <c r="B1752" s="18" t="s">
        <v>66</v>
      </c>
      <c r="C1752" s="18" t="s">
        <v>154</v>
      </c>
      <c r="D1752" s="6" t="s">
        <v>269</v>
      </c>
      <c r="E1752" s="6" t="s">
        <v>42</v>
      </c>
      <c r="F1752" s="6" t="s">
        <v>659</v>
      </c>
      <c r="G1752" s="7">
        <v>25.9</v>
      </c>
    </row>
    <row r="1753" spans="1:7" x14ac:dyDescent="0.3">
      <c r="A1753" s="18">
        <v>46051</v>
      </c>
      <c r="B1753" s="18" t="s">
        <v>66</v>
      </c>
      <c r="C1753" s="18" t="s">
        <v>154</v>
      </c>
      <c r="D1753" s="6" t="s">
        <v>270</v>
      </c>
      <c r="E1753" s="6" t="s">
        <v>57</v>
      </c>
      <c r="F1753" s="6" t="s">
        <v>659</v>
      </c>
      <c r="G1753" s="7">
        <v>58.17</v>
      </c>
    </row>
    <row r="1754" spans="1:7" x14ac:dyDescent="0.3">
      <c r="A1754" s="18">
        <v>46079</v>
      </c>
      <c r="B1754" s="18" t="s">
        <v>66</v>
      </c>
      <c r="C1754" s="18" t="s">
        <v>154</v>
      </c>
      <c r="D1754" s="6" t="s">
        <v>270</v>
      </c>
      <c r="E1754" s="6" t="s">
        <v>57</v>
      </c>
      <c r="F1754" s="6" t="s">
        <v>659</v>
      </c>
      <c r="G1754" s="7">
        <v>58.17</v>
      </c>
    </row>
    <row r="1755" spans="1:7" x14ac:dyDescent="0.3">
      <c r="A1755" s="18">
        <v>46110</v>
      </c>
      <c r="B1755" s="18" t="s">
        <v>66</v>
      </c>
      <c r="C1755" s="18" t="s">
        <v>154</v>
      </c>
      <c r="D1755" s="6" t="s">
        <v>270</v>
      </c>
      <c r="E1755" s="6" t="s">
        <v>57</v>
      </c>
      <c r="F1755" s="6" t="s">
        <v>659</v>
      </c>
      <c r="G1755" s="7">
        <v>58.17</v>
      </c>
    </row>
    <row r="1756" spans="1:7" x14ac:dyDescent="0.3">
      <c r="A1756" s="18">
        <v>46113</v>
      </c>
      <c r="B1756" s="18" t="s">
        <v>66</v>
      </c>
      <c r="C1756" s="18" t="s">
        <v>154</v>
      </c>
      <c r="D1756" s="6" t="s">
        <v>270</v>
      </c>
      <c r="E1756" s="6" t="s">
        <v>57</v>
      </c>
      <c r="F1756" s="6" t="s">
        <v>659</v>
      </c>
      <c r="G1756" s="7">
        <v>58.17</v>
      </c>
    </row>
    <row r="1757" spans="1:7" x14ac:dyDescent="0.3">
      <c r="A1757" s="18">
        <v>46143</v>
      </c>
      <c r="B1757" s="18" t="s">
        <v>66</v>
      </c>
      <c r="C1757" s="18" t="s">
        <v>154</v>
      </c>
      <c r="D1757" s="6" t="s">
        <v>270</v>
      </c>
      <c r="E1757" s="6" t="s">
        <v>57</v>
      </c>
      <c r="F1757" s="6" t="s">
        <v>659</v>
      </c>
      <c r="G1757" s="7">
        <v>58.17</v>
      </c>
    </row>
    <row r="1758" spans="1:7" x14ac:dyDescent="0.3">
      <c r="A1758" s="18">
        <v>46174</v>
      </c>
      <c r="B1758" s="18" t="s">
        <v>66</v>
      </c>
      <c r="C1758" s="18" t="s">
        <v>154</v>
      </c>
      <c r="D1758" s="6" t="s">
        <v>270</v>
      </c>
      <c r="E1758" s="6" t="s">
        <v>57</v>
      </c>
      <c r="F1758" s="6" t="s">
        <v>659</v>
      </c>
      <c r="G1758" s="7">
        <v>58.17</v>
      </c>
    </row>
    <row r="1759" spans="1:7" x14ac:dyDescent="0.3">
      <c r="A1759" s="18">
        <v>46051</v>
      </c>
      <c r="B1759" s="18" t="s">
        <v>66</v>
      </c>
      <c r="C1759" s="18" t="s">
        <v>154</v>
      </c>
      <c r="D1759" s="6" t="s">
        <v>259</v>
      </c>
      <c r="E1759" s="6" t="s">
        <v>13</v>
      </c>
      <c r="F1759" s="6" t="s">
        <v>659</v>
      </c>
      <c r="G1759" s="7">
        <v>49.08</v>
      </c>
    </row>
    <row r="1760" spans="1:7" x14ac:dyDescent="0.3">
      <c r="A1760" s="18">
        <v>46174</v>
      </c>
      <c r="B1760" s="18" t="s">
        <v>66</v>
      </c>
      <c r="C1760" s="18" t="s">
        <v>154</v>
      </c>
      <c r="D1760" s="6" t="s">
        <v>259</v>
      </c>
      <c r="E1760" s="6" t="s">
        <v>13</v>
      </c>
      <c r="F1760" s="6" t="s">
        <v>659</v>
      </c>
      <c r="G1760" s="7">
        <v>49.08</v>
      </c>
    </row>
    <row r="1761" spans="1:7" x14ac:dyDescent="0.3">
      <c r="A1761" s="18">
        <v>46079</v>
      </c>
      <c r="B1761" s="18" t="s">
        <v>66</v>
      </c>
      <c r="C1761" s="18" t="s">
        <v>154</v>
      </c>
      <c r="D1761" s="6" t="s">
        <v>259</v>
      </c>
      <c r="E1761" s="6" t="s">
        <v>13</v>
      </c>
      <c r="F1761" s="6" t="s">
        <v>659</v>
      </c>
      <c r="G1761" s="7">
        <v>49.08</v>
      </c>
    </row>
    <row r="1762" spans="1:7" x14ac:dyDescent="0.3">
      <c r="A1762" s="18">
        <v>46110</v>
      </c>
      <c r="B1762" s="18" t="s">
        <v>66</v>
      </c>
      <c r="C1762" s="18" t="s">
        <v>154</v>
      </c>
      <c r="D1762" s="6" t="s">
        <v>259</v>
      </c>
      <c r="E1762" s="6" t="s">
        <v>13</v>
      </c>
      <c r="F1762" s="6" t="s">
        <v>659</v>
      </c>
      <c r="G1762" s="7">
        <v>49.08</v>
      </c>
    </row>
    <row r="1763" spans="1:7" x14ac:dyDescent="0.3">
      <c r="A1763" s="18">
        <v>46113</v>
      </c>
      <c r="B1763" s="18" t="s">
        <v>66</v>
      </c>
      <c r="C1763" s="18" t="s">
        <v>154</v>
      </c>
      <c r="D1763" s="6" t="s">
        <v>259</v>
      </c>
      <c r="E1763" s="6" t="s">
        <v>13</v>
      </c>
      <c r="F1763" s="6" t="s">
        <v>659</v>
      </c>
      <c r="G1763" s="7">
        <v>49.08</v>
      </c>
    </row>
    <row r="1764" spans="1:7" x14ac:dyDescent="0.3">
      <c r="A1764" s="18">
        <v>46143</v>
      </c>
      <c r="B1764" s="18" t="s">
        <v>66</v>
      </c>
      <c r="C1764" s="18" t="s">
        <v>154</v>
      </c>
      <c r="D1764" s="6" t="s">
        <v>259</v>
      </c>
      <c r="E1764" s="6" t="s">
        <v>13</v>
      </c>
      <c r="F1764" s="6" t="s">
        <v>659</v>
      </c>
      <c r="G1764" s="7">
        <v>49.08</v>
      </c>
    </row>
    <row r="1765" spans="1:7" x14ac:dyDescent="0.3">
      <c r="A1765" s="18">
        <v>46052</v>
      </c>
      <c r="B1765" s="18" t="s">
        <v>66</v>
      </c>
      <c r="C1765" s="18" t="s">
        <v>154</v>
      </c>
      <c r="D1765" s="6" t="s">
        <v>263</v>
      </c>
      <c r="E1765" s="6" t="s">
        <v>57</v>
      </c>
      <c r="F1765" s="6" t="s">
        <v>659</v>
      </c>
      <c r="G1765" s="7">
        <v>57.77</v>
      </c>
    </row>
    <row r="1766" spans="1:7" x14ac:dyDescent="0.3">
      <c r="A1766" s="18">
        <v>46079</v>
      </c>
      <c r="B1766" s="18" t="s">
        <v>66</v>
      </c>
      <c r="C1766" s="18" t="s">
        <v>154</v>
      </c>
      <c r="D1766" s="6" t="s">
        <v>263</v>
      </c>
      <c r="E1766" s="6" t="s">
        <v>57</v>
      </c>
      <c r="F1766" s="6" t="s">
        <v>659</v>
      </c>
      <c r="G1766" s="7">
        <v>57.77</v>
      </c>
    </row>
    <row r="1767" spans="1:7" x14ac:dyDescent="0.3">
      <c r="A1767" s="18">
        <v>46110</v>
      </c>
      <c r="B1767" s="18" t="s">
        <v>66</v>
      </c>
      <c r="C1767" s="18" t="s">
        <v>154</v>
      </c>
      <c r="D1767" s="6" t="s">
        <v>263</v>
      </c>
      <c r="E1767" s="6" t="s">
        <v>57</v>
      </c>
      <c r="F1767" s="6" t="s">
        <v>659</v>
      </c>
      <c r="G1767" s="7">
        <v>57.77</v>
      </c>
    </row>
    <row r="1768" spans="1:7" x14ac:dyDescent="0.3">
      <c r="A1768" s="18">
        <v>46113</v>
      </c>
      <c r="B1768" s="18" t="s">
        <v>66</v>
      </c>
      <c r="C1768" s="18" t="s">
        <v>154</v>
      </c>
      <c r="D1768" s="6" t="s">
        <v>263</v>
      </c>
      <c r="E1768" s="6" t="s">
        <v>57</v>
      </c>
      <c r="F1768" s="6" t="s">
        <v>659</v>
      </c>
      <c r="G1768" s="7">
        <v>57.77</v>
      </c>
    </row>
    <row r="1769" spans="1:7" x14ac:dyDescent="0.3">
      <c r="A1769" s="18">
        <v>46143</v>
      </c>
      <c r="B1769" s="18" t="s">
        <v>66</v>
      </c>
      <c r="C1769" s="18" t="s">
        <v>154</v>
      </c>
      <c r="D1769" s="6" t="s">
        <v>263</v>
      </c>
      <c r="E1769" s="6" t="s">
        <v>57</v>
      </c>
      <c r="F1769" s="6" t="s">
        <v>659</v>
      </c>
      <c r="G1769" s="7">
        <v>57.77</v>
      </c>
    </row>
    <row r="1770" spans="1:7" x14ac:dyDescent="0.3">
      <c r="A1770" s="18">
        <v>46174</v>
      </c>
      <c r="B1770" s="18" t="s">
        <v>66</v>
      </c>
      <c r="C1770" s="18" t="s">
        <v>154</v>
      </c>
      <c r="D1770" s="6" t="s">
        <v>263</v>
      </c>
      <c r="E1770" s="6" t="s">
        <v>57</v>
      </c>
      <c r="F1770" s="6" t="s">
        <v>659</v>
      </c>
      <c r="G1770" s="7">
        <v>57.77</v>
      </c>
    </row>
    <row r="1771" spans="1:7" x14ac:dyDescent="0.3">
      <c r="A1771" s="18">
        <v>46051</v>
      </c>
      <c r="B1771" s="18" t="s">
        <v>66</v>
      </c>
      <c r="C1771" s="18" t="s">
        <v>154</v>
      </c>
      <c r="D1771" s="6" t="s">
        <v>260</v>
      </c>
      <c r="E1771" s="6" t="s">
        <v>50</v>
      </c>
      <c r="F1771" s="6" t="s">
        <v>659</v>
      </c>
      <c r="G1771" s="7">
        <v>49.08</v>
      </c>
    </row>
    <row r="1772" spans="1:7" x14ac:dyDescent="0.3">
      <c r="A1772" s="18">
        <v>46079</v>
      </c>
      <c r="B1772" s="18" t="s">
        <v>66</v>
      </c>
      <c r="C1772" s="18" t="s">
        <v>154</v>
      </c>
      <c r="D1772" s="6" t="s">
        <v>260</v>
      </c>
      <c r="E1772" s="6" t="s">
        <v>50</v>
      </c>
      <c r="F1772" s="6" t="s">
        <v>659</v>
      </c>
      <c r="G1772" s="7">
        <v>49.08</v>
      </c>
    </row>
    <row r="1773" spans="1:7" x14ac:dyDescent="0.3">
      <c r="A1773" s="18">
        <v>46110</v>
      </c>
      <c r="B1773" s="18" t="s">
        <v>66</v>
      </c>
      <c r="C1773" s="18" t="s">
        <v>154</v>
      </c>
      <c r="D1773" s="6" t="s">
        <v>260</v>
      </c>
      <c r="E1773" s="6" t="s">
        <v>50</v>
      </c>
      <c r="F1773" s="6" t="s">
        <v>659</v>
      </c>
      <c r="G1773" s="7">
        <v>49.08</v>
      </c>
    </row>
    <row r="1774" spans="1:7" x14ac:dyDescent="0.3">
      <c r="A1774" s="18">
        <v>46113</v>
      </c>
      <c r="B1774" s="18" t="s">
        <v>66</v>
      </c>
      <c r="C1774" s="18" t="s">
        <v>154</v>
      </c>
      <c r="D1774" s="6" t="s">
        <v>260</v>
      </c>
      <c r="E1774" s="6" t="s">
        <v>50</v>
      </c>
      <c r="F1774" s="6" t="s">
        <v>659</v>
      </c>
      <c r="G1774" s="7">
        <v>49.08</v>
      </c>
    </row>
    <row r="1775" spans="1:7" x14ac:dyDescent="0.3">
      <c r="A1775" s="18">
        <v>46143</v>
      </c>
      <c r="B1775" s="18" t="s">
        <v>66</v>
      </c>
      <c r="C1775" s="18" t="s">
        <v>154</v>
      </c>
      <c r="D1775" s="6" t="s">
        <v>260</v>
      </c>
      <c r="E1775" s="6" t="s">
        <v>50</v>
      </c>
      <c r="F1775" s="6" t="s">
        <v>659</v>
      </c>
      <c r="G1775" s="7">
        <v>49.08</v>
      </c>
    </row>
    <row r="1776" spans="1:7" x14ac:dyDescent="0.3">
      <c r="A1776" s="18">
        <v>46174</v>
      </c>
      <c r="B1776" s="18" t="s">
        <v>66</v>
      </c>
      <c r="C1776" s="18" t="s">
        <v>154</v>
      </c>
      <c r="D1776" s="6" t="s">
        <v>260</v>
      </c>
      <c r="E1776" s="6" t="s">
        <v>50</v>
      </c>
      <c r="F1776" s="6" t="s">
        <v>659</v>
      </c>
      <c r="G1776" s="7">
        <v>49.08</v>
      </c>
    </row>
    <row r="1777" spans="1:7" x14ac:dyDescent="0.3">
      <c r="A1777" s="18">
        <v>46079</v>
      </c>
      <c r="B1777" s="18" t="s">
        <v>66</v>
      </c>
      <c r="C1777" s="18" t="s">
        <v>154</v>
      </c>
      <c r="D1777" s="6" t="s">
        <v>268</v>
      </c>
      <c r="E1777" s="6" t="s">
        <v>57</v>
      </c>
      <c r="F1777" s="6" t="s">
        <v>659</v>
      </c>
      <c r="G1777" s="7">
        <v>25.9</v>
      </c>
    </row>
    <row r="1778" spans="1:7" x14ac:dyDescent="0.3">
      <c r="A1778" s="18">
        <v>46110</v>
      </c>
      <c r="B1778" s="18" t="s">
        <v>66</v>
      </c>
      <c r="C1778" s="18" t="s">
        <v>154</v>
      </c>
      <c r="D1778" s="6" t="s">
        <v>268</v>
      </c>
      <c r="E1778" s="6" t="s">
        <v>57</v>
      </c>
      <c r="F1778" s="6" t="s">
        <v>659</v>
      </c>
      <c r="G1778" s="7">
        <v>25.9</v>
      </c>
    </row>
    <row r="1779" spans="1:7" x14ac:dyDescent="0.3">
      <c r="A1779" s="18">
        <v>46113</v>
      </c>
      <c r="B1779" s="18" t="s">
        <v>66</v>
      </c>
      <c r="C1779" s="18" t="s">
        <v>154</v>
      </c>
      <c r="D1779" s="6" t="s">
        <v>268</v>
      </c>
      <c r="E1779" s="6" t="s">
        <v>57</v>
      </c>
      <c r="F1779" s="6" t="s">
        <v>659</v>
      </c>
      <c r="G1779" s="7">
        <v>25.9</v>
      </c>
    </row>
    <row r="1780" spans="1:7" x14ac:dyDescent="0.3">
      <c r="A1780" s="18">
        <v>46143</v>
      </c>
      <c r="B1780" s="18" t="s">
        <v>66</v>
      </c>
      <c r="C1780" s="18" t="s">
        <v>154</v>
      </c>
      <c r="D1780" s="6" t="s">
        <v>268</v>
      </c>
      <c r="E1780" s="6" t="s">
        <v>57</v>
      </c>
      <c r="F1780" s="6" t="s">
        <v>659</v>
      </c>
      <c r="G1780" s="7">
        <v>25.9</v>
      </c>
    </row>
    <row r="1781" spans="1:7" x14ac:dyDescent="0.3">
      <c r="A1781" s="18">
        <v>46174</v>
      </c>
      <c r="B1781" s="18" t="s">
        <v>66</v>
      </c>
      <c r="C1781" s="18" t="s">
        <v>154</v>
      </c>
      <c r="D1781" s="6" t="s">
        <v>268</v>
      </c>
      <c r="E1781" s="6" t="s">
        <v>57</v>
      </c>
      <c r="F1781" s="6" t="s">
        <v>659</v>
      </c>
      <c r="G1781" s="7">
        <v>25.9</v>
      </c>
    </row>
    <row r="1782" spans="1:7" x14ac:dyDescent="0.3">
      <c r="A1782" s="18">
        <v>46051</v>
      </c>
      <c r="B1782" s="18" t="s">
        <v>66</v>
      </c>
      <c r="C1782" s="18" t="s">
        <v>154</v>
      </c>
      <c r="D1782" s="6" t="s">
        <v>261</v>
      </c>
      <c r="E1782" s="6" t="s">
        <v>57</v>
      </c>
      <c r="F1782" s="6" t="s">
        <v>659</v>
      </c>
      <c r="G1782" s="7">
        <v>27.25</v>
      </c>
    </row>
    <row r="1783" spans="1:7" x14ac:dyDescent="0.3">
      <c r="A1783" s="18">
        <v>46079</v>
      </c>
      <c r="B1783" s="18" t="s">
        <v>66</v>
      </c>
      <c r="C1783" s="18" t="s">
        <v>154</v>
      </c>
      <c r="D1783" s="6" t="s">
        <v>261</v>
      </c>
      <c r="E1783" s="6" t="s">
        <v>57</v>
      </c>
      <c r="F1783" s="6" t="s">
        <v>659</v>
      </c>
      <c r="G1783" s="7">
        <v>27.25</v>
      </c>
    </row>
    <row r="1784" spans="1:7" x14ac:dyDescent="0.3">
      <c r="A1784" s="18">
        <v>46110</v>
      </c>
      <c r="B1784" s="18" t="s">
        <v>66</v>
      </c>
      <c r="C1784" s="18" t="s">
        <v>154</v>
      </c>
      <c r="D1784" s="6" t="s">
        <v>261</v>
      </c>
      <c r="E1784" s="6" t="s">
        <v>57</v>
      </c>
      <c r="F1784" s="6" t="s">
        <v>659</v>
      </c>
      <c r="G1784" s="7">
        <v>27.25</v>
      </c>
    </row>
    <row r="1785" spans="1:7" x14ac:dyDescent="0.3">
      <c r="A1785" s="18">
        <v>46113</v>
      </c>
      <c r="B1785" s="18" t="s">
        <v>66</v>
      </c>
      <c r="C1785" s="18" t="s">
        <v>154</v>
      </c>
      <c r="D1785" s="6" t="s">
        <v>261</v>
      </c>
      <c r="E1785" s="6" t="s">
        <v>57</v>
      </c>
      <c r="F1785" s="6" t="s">
        <v>659</v>
      </c>
      <c r="G1785" s="7">
        <v>27.25</v>
      </c>
    </row>
    <row r="1786" spans="1:7" x14ac:dyDescent="0.3">
      <c r="A1786" s="18">
        <v>46143</v>
      </c>
      <c r="B1786" s="18" t="s">
        <v>66</v>
      </c>
      <c r="C1786" s="18" t="s">
        <v>154</v>
      </c>
      <c r="D1786" s="6" t="s">
        <v>261</v>
      </c>
      <c r="E1786" s="6" t="s">
        <v>57</v>
      </c>
      <c r="F1786" s="6" t="s">
        <v>659</v>
      </c>
      <c r="G1786" s="7">
        <v>27.25</v>
      </c>
    </row>
    <row r="1787" spans="1:7" x14ac:dyDescent="0.3">
      <c r="A1787" s="18">
        <v>46174</v>
      </c>
      <c r="B1787" s="18" t="s">
        <v>66</v>
      </c>
      <c r="C1787" s="18" t="s">
        <v>154</v>
      </c>
      <c r="D1787" s="6" t="s">
        <v>261</v>
      </c>
      <c r="E1787" s="6" t="s">
        <v>57</v>
      </c>
      <c r="F1787" s="6" t="s">
        <v>659</v>
      </c>
      <c r="G1787" s="7">
        <v>27.25</v>
      </c>
    </row>
    <row r="1788" spans="1:7" x14ac:dyDescent="0.3">
      <c r="A1788" s="18">
        <v>46051</v>
      </c>
      <c r="B1788" s="18" t="s">
        <v>66</v>
      </c>
      <c r="C1788" s="18" t="s">
        <v>154</v>
      </c>
      <c r="D1788" s="6" t="s">
        <v>262</v>
      </c>
      <c r="E1788" s="6" t="s">
        <v>57</v>
      </c>
      <c r="F1788" s="6" t="s">
        <v>659</v>
      </c>
      <c r="G1788" s="7">
        <v>27.25</v>
      </c>
    </row>
    <row r="1789" spans="1:7" x14ac:dyDescent="0.3">
      <c r="A1789" s="18">
        <v>46192</v>
      </c>
      <c r="B1789" s="18" t="s">
        <v>66</v>
      </c>
      <c r="C1789" s="18" t="s">
        <v>154</v>
      </c>
      <c r="D1789" s="6" t="s">
        <v>1152</v>
      </c>
      <c r="E1789" s="6" t="s">
        <v>42</v>
      </c>
      <c r="F1789" s="6" t="s">
        <v>659</v>
      </c>
      <c r="G1789" s="7">
        <v>13.7</v>
      </c>
    </row>
    <row r="1790" spans="1:7" x14ac:dyDescent="0.3">
      <c r="A1790" s="18">
        <v>46192</v>
      </c>
      <c r="B1790" s="18" t="s">
        <v>66</v>
      </c>
      <c r="C1790" s="18" t="s">
        <v>154</v>
      </c>
      <c r="D1790" s="6" t="s">
        <v>1152</v>
      </c>
      <c r="E1790" s="6" t="s">
        <v>42</v>
      </c>
      <c r="F1790" s="6" t="s">
        <v>659</v>
      </c>
      <c r="G1790" s="7">
        <v>6.1</v>
      </c>
    </row>
    <row r="1791" spans="1:7" x14ac:dyDescent="0.3">
      <c r="A1791" s="18">
        <v>46194</v>
      </c>
      <c r="B1791" s="18" t="s">
        <v>66</v>
      </c>
      <c r="C1791" s="18" t="s">
        <v>154</v>
      </c>
      <c r="D1791" s="6" t="s">
        <v>1152</v>
      </c>
      <c r="E1791" s="6" t="s">
        <v>42</v>
      </c>
      <c r="F1791" s="6" t="s">
        <v>659</v>
      </c>
      <c r="G1791" s="7">
        <v>6.1</v>
      </c>
    </row>
    <row r="1792" spans="1:7" x14ac:dyDescent="0.3">
      <c r="A1792" s="18">
        <v>46194</v>
      </c>
      <c r="B1792" s="18" t="s">
        <v>66</v>
      </c>
      <c r="C1792" s="18" t="s">
        <v>154</v>
      </c>
      <c r="D1792" s="6" t="s">
        <v>1152</v>
      </c>
      <c r="E1792" s="6" t="s">
        <v>42</v>
      </c>
      <c r="F1792" s="6" t="s">
        <v>659</v>
      </c>
      <c r="G1792" s="7">
        <v>13.7</v>
      </c>
    </row>
    <row r="1793" spans="1:7" x14ac:dyDescent="0.3">
      <c r="A1793" s="18">
        <v>46113</v>
      </c>
      <c r="B1793" s="18" t="s">
        <v>66</v>
      </c>
      <c r="C1793" s="18" t="s">
        <v>154</v>
      </c>
      <c r="D1793" s="6" t="s">
        <v>275</v>
      </c>
      <c r="E1793" s="6" t="s">
        <v>42</v>
      </c>
      <c r="F1793" s="6" t="s">
        <v>659</v>
      </c>
      <c r="G1793" s="7">
        <v>13.7</v>
      </c>
    </row>
    <row r="1794" spans="1:7" x14ac:dyDescent="0.3">
      <c r="A1794" s="18">
        <v>46113</v>
      </c>
      <c r="B1794" s="18" t="s">
        <v>66</v>
      </c>
      <c r="C1794" s="18" t="s">
        <v>154</v>
      </c>
      <c r="D1794" s="6" t="s">
        <v>275</v>
      </c>
      <c r="E1794" s="6" t="s">
        <v>42</v>
      </c>
      <c r="F1794" s="6" t="s">
        <v>659</v>
      </c>
      <c r="G1794" s="7">
        <v>6.1</v>
      </c>
    </row>
    <row r="1795" spans="1:7" x14ac:dyDescent="0.3">
      <c r="A1795" s="18">
        <v>46113</v>
      </c>
      <c r="B1795" s="18" t="s">
        <v>66</v>
      </c>
      <c r="C1795" s="18" t="s">
        <v>154</v>
      </c>
      <c r="D1795" s="6" t="s">
        <v>275</v>
      </c>
      <c r="E1795" s="6" t="s">
        <v>42</v>
      </c>
      <c r="F1795" s="6" t="s">
        <v>659</v>
      </c>
      <c r="G1795" s="7">
        <v>13.7</v>
      </c>
    </row>
    <row r="1796" spans="1:7" x14ac:dyDescent="0.3">
      <c r="A1796" s="18">
        <v>46113</v>
      </c>
      <c r="B1796" s="18" t="s">
        <v>66</v>
      </c>
      <c r="C1796" s="18" t="s">
        <v>154</v>
      </c>
      <c r="D1796" s="6" t="s">
        <v>275</v>
      </c>
      <c r="E1796" s="6" t="s">
        <v>42</v>
      </c>
      <c r="F1796" s="6" t="s">
        <v>659</v>
      </c>
      <c r="G1796" s="7">
        <v>6.1</v>
      </c>
    </row>
    <row r="1797" spans="1:7" x14ac:dyDescent="0.3">
      <c r="A1797" s="18">
        <v>46113</v>
      </c>
      <c r="B1797" s="18" t="s">
        <v>66</v>
      </c>
      <c r="C1797" s="18" t="s">
        <v>154</v>
      </c>
      <c r="D1797" s="6" t="s">
        <v>275</v>
      </c>
      <c r="E1797" s="6" t="s">
        <v>42</v>
      </c>
      <c r="F1797" s="6" t="s">
        <v>659</v>
      </c>
      <c r="G1797" s="7">
        <v>3.5</v>
      </c>
    </row>
    <row r="1798" spans="1:7" x14ac:dyDescent="0.3">
      <c r="A1798" s="18">
        <v>46113</v>
      </c>
      <c r="B1798" s="18" t="s">
        <v>66</v>
      </c>
      <c r="C1798" s="18" t="s">
        <v>154</v>
      </c>
      <c r="D1798" s="6" t="s">
        <v>275</v>
      </c>
      <c r="E1798" s="6" t="s">
        <v>42</v>
      </c>
      <c r="F1798" s="6" t="s">
        <v>659</v>
      </c>
      <c r="G1798" s="7">
        <v>13.7</v>
      </c>
    </row>
    <row r="1799" spans="1:7" x14ac:dyDescent="0.3">
      <c r="A1799" s="18">
        <v>46113</v>
      </c>
      <c r="B1799" s="18" t="s">
        <v>66</v>
      </c>
      <c r="C1799" s="18" t="s">
        <v>154</v>
      </c>
      <c r="D1799" s="6" t="s">
        <v>275</v>
      </c>
      <c r="E1799" s="6" t="s">
        <v>42</v>
      </c>
      <c r="F1799" s="6" t="s">
        <v>659</v>
      </c>
      <c r="G1799" s="7">
        <v>6.1</v>
      </c>
    </row>
    <row r="1800" spans="1:7" x14ac:dyDescent="0.3">
      <c r="A1800" s="18">
        <v>46113</v>
      </c>
      <c r="B1800" s="18" t="s">
        <v>66</v>
      </c>
      <c r="C1800" s="18" t="s">
        <v>154</v>
      </c>
      <c r="D1800" s="6" t="s">
        <v>275</v>
      </c>
      <c r="E1800" s="6" t="s">
        <v>42</v>
      </c>
      <c r="F1800" s="6" t="s">
        <v>659</v>
      </c>
      <c r="G1800" s="7">
        <v>6.1</v>
      </c>
    </row>
    <row r="1801" spans="1:7" x14ac:dyDescent="0.3">
      <c r="A1801" s="18">
        <v>46113</v>
      </c>
      <c r="B1801" s="18" t="s">
        <v>66</v>
      </c>
      <c r="C1801" s="18" t="s">
        <v>154</v>
      </c>
      <c r="D1801" s="6" t="s">
        <v>275</v>
      </c>
      <c r="E1801" s="6" t="s">
        <v>42</v>
      </c>
      <c r="F1801" s="6" t="s">
        <v>659</v>
      </c>
      <c r="G1801" s="7">
        <v>13.7</v>
      </c>
    </row>
    <row r="1802" spans="1:7" x14ac:dyDescent="0.3">
      <c r="A1802" s="18">
        <v>46113</v>
      </c>
      <c r="B1802" s="18" t="s">
        <v>66</v>
      </c>
      <c r="C1802" s="18" t="s">
        <v>154</v>
      </c>
      <c r="D1802" s="6" t="s">
        <v>275</v>
      </c>
      <c r="E1802" s="6" t="s">
        <v>42</v>
      </c>
      <c r="F1802" s="6" t="s">
        <v>659</v>
      </c>
      <c r="G1802" s="7">
        <v>13.7</v>
      </c>
    </row>
    <row r="1803" spans="1:7" x14ac:dyDescent="0.3">
      <c r="A1803" s="18">
        <v>46113</v>
      </c>
      <c r="B1803" s="18" t="s">
        <v>66</v>
      </c>
      <c r="C1803" s="18" t="s">
        <v>154</v>
      </c>
      <c r="D1803" s="6" t="s">
        <v>275</v>
      </c>
      <c r="E1803" s="6" t="s">
        <v>42</v>
      </c>
      <c r="F1803" s="6" t="s">
        <v>659</v>
      </c>
      <c r="G1803" s="7">
        <v>6.1</v>
      </c>
    </row>
    <row r="1804" spans="1:7" x14ac:dyDescent="0.3">
      <c r="A1804" s="18">
        <v>46113</v>
      </c>
      <c r="B1804" s="18" t="s">
        <v>66</v>
      </c>
      <c r="C1804" s="18" t="s">
        <v>154</v>
      </c>
      <c r="D1804" s="6" t="s">
        <v>275</v>
      </c>
      <c r="E1804" s="6" t="s">
        <v>42</v>
      </c>
      <c r="F1804" s="6" t="s">
        <v>659</v>
      </c>
      <c r="G1804" s="7">
        <v>6.1</v>
      </c>
    </row>
    <row r="1805" spans="1:7" x14ac:dyDescent="0.3">
      <c r="A1805" s="18">
        <v>46113</v>
      </c>
      <c r="B1805" s="18" t="s">
        <v>66</v>
      </c>
      <c r="C1805" s="18" t="s">
        <v>154</v>
      </c>
      <c r="D1805" s="6" t="s">
        <v>275</v>
      </c>
      <c r="E1805" s="6" t="s">
        <v>42</v>
      </c>
      <c r="F1805" s="6" t="s">
        <v>659</v>
      </c>
      <c r="G1805" s="7">
        <v>13.7</v>
      </c>
    </row>
    <row r="1806" spans="1:7" x14ac:dyDescent="0.3">
      <c r="A1806" s="18">
        <v>46150</v>
      </c>
      <c r="B1806" s="18" t="s">
        <v>66</v>
      </c>
      <c r="C1806" s="18" t="s">
        <v>154</v>
      </c>
      <c r="D1806" s="6" t="s">
        <v>275</v>
      </c>
      <c r="E1806" s="6" t="s">
        <v>42</v>
      </c>
      <c r="F1806" s="6" t="s">
        <v>659</v>
      </c>
      <c r="G1806" s="7">
        <v>13.7</v>
      </c>
    </row>
    <row r="1807" spans="1:7" x14ac:dyDescent="0.3">
      <c r="A1807" s="18">
        <v>46150</v>
      </c>
      <c r="B1807" s="18" t="s">
        <v>66</v>
      </c>
      <c r="C1807" s="18" t="s">
        <v>154</v>
      </c>
      <c r="D1807" s="6" t="s">
        <v>275</v>
      </c>
      <c r="E1807" s="6" t="s">
        <v>42</v>
      </c>
      <c r="F1807" s="6" t="s">
        <v>659</v>
      </c>
      <c r="G1807" s="7">
        <v>6.1</v>
      </c>
    </row>
    <row r="1808" spans="1:7" x14ac:dyDescent="0.3">
      <c r="A1808" s="18">
        <v>46151</v>
      </c>
      <c r="B1808" s="18" t="s">
        <v>66</v>
      </c>
      <c r="C1808" s="18" t="s">
        <v>154</v>
      </c>
      <c r="D1808" s="6" t="s">
        <v>275</v>
      </c>
      <c r="E1808" s="6" t="s">
        <v>42</v>
      </c>
      <c r="F1808" s="6" t="s">
        <v>659</v>
      </c>
      <c r="G1808" s="7">
        <v>6.1</v>
      </c>
    </row>
    <row r="1809" spans="1:7" x14ac:dyDescent="0.3">
      <c r="A1809" s="18">
        <v>46151</v>
      </c>
      <c r="B1809" s="18" t="s">
        <v>66</v>
      </c>
      <c r="C1809" s="18" t="s">
        <v>154</v>
      </c>
      <c r="D1809" s="6" t="s">
        <v>275</v>
      </c>
      <c r="E1809" s="6" t="s">
        <v>42</v>
      </c>
      <c r="F1809" s="6" t="s">
        <v>659</v>
      </c>
      <c r="G1809" s="7">
        <v>13.7</v>
      </c>
    </row>
    <row r="1810" spans="1:7" x14ac:dyDescent="0.3">
      <c r="A1810" s="18">
        <v>46162</v>
      </c>
      <c r="B1810" s="18" t="s">
        <v>66</v>
      </c>
      <c r="C1810" s="18" t="s">
        <v>154</v>
      </c>
      <c r="D1810" s="6" t="s">
        <v>275</v>
      </c>
      <c r="E1810" s="6" t="s">
        <v>42</v>
      </c>
      <c r="F1810" s="6" t="s">
        <v>659</v>
      </c>
      <c r="G1810" s="7">
        <v>3.99</v>
      </c>
    </row>
    <row r="1811" spans="1:7" x14ac:dyDescent="0.3">
      <c r="A1811" s="18">
        <v>46162</v>
      </c>
      <c r="B1811" s="18" t="s">
        <v>66</v>
      </c>
      <c r="C1811" s="18" t="s">
        <v>154</v>
      </c>
      <c r="D1811" s="6" t="s">
        <v>275</v>
      </c>
      <c r="E1811" s="6" t="s">
        <v>42</v>
      </c>
      <c r="F1811" s="6" t="s">
        <v>659</v>
      </c>
      <c r="G1811" s="7">
        <v>9.31</v>
      </c>
    </row>
    <row r="1812" spans="1:7" x14ac:dyDescent="0.3">
      <c r="A1812" s="18">
        <v>46162</v>
      </c>
      <c r="B1812" s="18" t="s">
        <v>66</v>
      </c>
      <c r="C1812" s="18" t="s">
        <v>154</v>
      </c>
      <c r="D1812" s="6" t="s">
        <v>275</v>
      </c>
      <c r="E1812" s="6" t="s">
        <v>42</v>
      </c>
      <c r="F1812" s="6" t="s">
        <v>659</v>
      </c>
      <c r="G1812" s="7">
        <v>10.6</v>
      </c>
    </row>
    <row r="1813" spans="1:7" x14ac:dyDescent="0.3">
      <c r="A1813" s="18">
        <v>46162</v>
      </c>
      <c r="B1813" s="18" t="s">
        <v>66</v>
      </c>
      <c r="C1813" s="18" t="s">
        <v>154</v>
      </c>
      <c r="D1813" s="6" t="s">
        <v>275</v>
      </c>
      <c r="E1813" s="6" t="s">
        <v>42</v>
      </c>
      <c r="F1813" s="6" t="s">
        <v>659</v>
      </c>
      <c r="G1813" s="7">
        <v>6.1</v>
      </c>
    </row>
    <row r="1814" spans="1:7" x14ac:dyDescent="0.3">
      <c r="A1814" s="18">
        <v>46162</v>
      </c>
      <c r="B1814" s="18" t="s">
        <v>66</v>
      </c>
      <c r="C1814" s="18" t="s">
        <v>154</v>
      </c>
      <c r="D1814" s="6" t="s">
        <v>275</v>
      </c>
      <c r="E1814" s="6" t="s">
        <v>42</v>
      </c>
      <c r="F1814" s="6" t="s">
        <v>659</v>
      </c>
      <c r="G1814" s="7">
        <v>6.1</v>
      </c>
    </row>
    <row r="1815" spans="1:7" x14ac:dyDescent="0.3">
      <c r="A1815" s="18">
        <v>46162</v>
      </c>
      <c r="B1815" s="18" t="s">
        <v>66</v>
      </c>
      <c r="C1815" s="18" t="s">
        <v>154</v>
      </c>
      <c r="D1815" s="6" t="s">
        <v>275</v>
      </c>
      <c r="E1815" s="6" t="s">
        <v>42</v>
      </c>
      <c r="F1815" s="6" t="s">
        <v>659</v>
      </c>
      <c r="G1815" s="7">
        <v>13.7</v>
      </c>
    </row>
    <row r="1816" spans="1:7" x14ac:dyDescent="0.3">
      <c r="A1816" s="18">
        <v>46164</v>
      </c>
      <c r="B1816" s="18" t="s">
        <v>66</v>
      </c>
      <c r="C1816" s="18" t="s">
        <v>154</v>
      </c>
      <c r="D1816" s="6" t="s">
        <v>275</v>
      </c>
      <c r="E1816" s="6" t="s">
        <v>42</v>
      </c>
      <c r="F1816" s="6" t="s">
        <v>659</v>
      </c>
      <c r="G1816" s="7">
        <v>13.7</v>
      </c>
    </row>
    <row r="1817" spans="1:7" x14ac:dyDescent="0.3">
      <c r="A1817" s="18">
        <v>46164</v>
      </c>
      <c r="B1817" s="18" t="s">
        <v>66</v>
      </c>
      <c r="C1817" s="18" t="s">
        <v>154</v>
      </c>
      <c r="D1817" s="6" t="s">
        <v>275</v>
      </c>
      <c r="E1817" s="6" t="s">
        <v>42</v>
      </c>
      <c r="F1817" s="6" t="s">
        <v>659</v>
      </c>
      <c r="G1817" s="7">
        <v>6.1</v>
      </c>
    </row>
    <row r="1818" spans="1:7" x14ac:dyDescent="0.3">
      <c r="A1818" s="18">
        <v>46166</v>
      </c>
      <c r="B1818" s="18" t="s">
        <v>66</v>
      </c>
      <c r="C1818" s="18" t="s">
        <v>154</v>
      </c>
      <c r="D1818" s="6" t="s">
        <v>275</v>
      </c>
      <c r="E1818" s="6" t="s">
        <v>42</v>
      </c>
      <c r="F1818" s="6" t="s">
        <v>659</v>
      </c>
      <c r="G1818" s="7">
        <v>6.1</v>
      </c>
    </row>
    <row r="1819" spans="1:7" x14ac:dyDescent="0.3">
      <c r="A1819" s="18">
        <v>46166</v>
      </c>
      <c r="B1819" s="18" t="s">
        <v>66</v>
      </c>
      <c r="C1819" s="18" t="s">
        <v>154</v>
      </c>
      <c r="D1819" s="6" t="s">
        <v>275</v>
      </c>
      <c r="E1819" s="6" t="s">
        <v>42</v>
      </c>
      <c r="F1819" s="6" t="s">
        <v>659</v>
      </c>
      <c r="G1819" s="7">
        <v>13.7</v>
      </c>
    </row>
    <row r="1820" spans="1:7" x14ac:dyDescent="0.3">
      <c r="A1820" s="18">
        <v>46028</v>
      </c>
      <c r="B1820" s="18" t="s">
        <v>66</v>
      </c>
      <c r="C1820" s="18" t="s">
        <v>154</v>
      </c>
      <c r="D1820" s="6" t="s">
        <v>275</v>
      </c>
      <c r="E1820" s="6" t="s">
        <v>42</v>
      </c>
      <c r="F1820" s="6" t="s">
        <v>659</v>
      </c>
      <c r="G1820" s="7">
        <v>107.7</v>
      </c>
    </row>
    <row r="1821" spans="1:7" x14ac:dyDescent="0.3">
      <c r="A1821" s="18">
        <v>46059</v>
      </c>
      <c r="B1821" s="18" t="s">
        <v>66</v>
      </c>
      <c r="C1821" s="18" t="s">
        <v>154</v>
      </c>
      <c r="D1821" s="6" t="s">
        <v>275</v>
      </c>
      <c r="E1821" s="6" t="s">
        <v>42</v>
      </c>
      <c r="F1821" s="6" t="s">
        <v>659</v>
      </c>
      <c r="G1821" s="7">
        <v>3.2</v>
      </c>
    </row>
    <row r="1822" spans="1:7" x14ac:dyDescent="0.3">
      <c r="A1822" s="18">
        <v>46059</v>
      </c>
      <c r="B1822" s="18" t="s">
        <v>66</v>
      </c>
      <c r="C1822" s="18" t="s">
        <v>154</v>
      </c>
      <c r="D1822" s="6" t="s">
        <v>275</v>
      </c>
      <c r="E1822" s="6" t="s">
        <v>42</v>
      </c>
      <c r="F1822" s="6" t="s">
        <v>659</v>
      </c>
      <c r="G1822" s="7">
        <v>53.400000000000006</v>
      </c>
    </row>
    <row r="1823" spans="1:7" x14ac:dyDescent="0.3">
      <c r="A1823" s="18">
        <v>46082</v>
      </c>
      <c r="B1823" s="18" t="s">
        <v>66</v>
      </c>
      <c r="C1823" s="18" t="s">
        <v>154</v>
      </c>
      <c r="D1823" s="6" t="s">
        <v>275</v>
      </c>
      <c r="E1823" s="6" t="s">
        <v>42</v>
      </c>
      <c r="F1823" s="6" t="s">
        <v>659</v>
      </c>
      <c r="G1823" s="7">
        <v>249.49999999999997</v>
      </c>
    </row>
    <row r="1824" spans="1:7" x14ac:dyDescent="0.3">
      <c r="A1824" s="18">
        <v>46158</v>
      </c>
      <c r="B1824" s="18" t="s">
        <v>66</v>
      </c>
      <c r="C1824" s="18" t="s">
        <v>154</v>
      </c>
      <c r="D1824" s="6" t="s">
        <v>276</v>
      </c>
      <c r="E1824" s="6" t="s">
        <v>13</v>
      </c>
      <c r="F1824" s="6" t="s">
        <v>659</v>
      </c>
      <c r="G1824" s="7">
        <v>13.7</v>
      </c>
    </row>
    <row r="1825" spans="1:7" x14ac:dyDescent="0.3">
      <c r="A1825" s="18">
        <v>46158</v>
      </c>
      <c r="B1825" s="18" t="s">
        <v>66</v>
      </c>
      <c r="C1825" s="18" t="s">
        <v>154</v>
      </c>
      <c r="D1825" s="6" t="s">
        <v>276</v>
      </c>
      <c r="E1825" s="6" t="s">
        <v>13</v>
      </c>
      <c r="F1825" s="6" t="s">
        <v>659</v>
      </c>
      <c r="G1825" s="7">
        <v>6.1</v>
      </c>
    </row>
    <row r="1826" spans="1:7" x14ac:dyDescent="0.3">
      <c r="A1826" s="18">
        <v>46159</v>
      </c>
      <c r="B1826" s="18" t="s">
        <v>66</v>
      </c>
      <c r="C1826" s="18" t="s">
        <v>154</v>
      </c>
      <c r="D1826" s="6" t="s">
        <v>276</v>
      </c>
      <c r="E1826" s="6" t="s">
        <v>13</v>
      </c>
      <c r="F1826" s="6" t="s">
        <v>659</v>
      </c>
      <c r="G1826" s="7">
        <v>6.1</v>
      </c>
    </row>
    <row r="1827" spans="1:7" x14ac:dyDescent="0.3">
      <c r="A1827" s="18">
        <v>46159</v>
      </c>
      <c r="B1827" s="18" t="s">
        <v>66</v>
      </c>
      <c r="C1827" s="18" t="s">
        <v>154</v>
      </c>
      <c r="D1827" s="6" t="s">
        <v>276</v>
      </c>
      <c r="E1827" s="6" t="s">
        <v>13</v>
      </c>
      <c r="F1827" s="6" t="s">
        <v>659</v>
      </c>
      <c r="G1827" s="7">
        <v>13.7</v>
      </c>
    </row>
    <row r="1828" spans="1:7" x14ac:dyDescent="0.3">
      <c r="A1828" s="18">
        <v>46165</v>
      </c>
      <c r="B1828" s="18" t="s">
        <v>66</v>
      </c>
      <c r="C1828" s="18" t="s">
        <v>154</v>
      </c>
      <c r="D1828" s="6" t="s">
        <v>276</v>
      </c>
      <c r="E1828" s="6" t="s">
        <v>13</v>
      </c>
      <c r="F1828" s="6" t="s">
        <v>659</v>
      </c>
      <c r="G1828" s="7">
        <v>13.7</v>
      </c>
    </row>
    <row r="1829" spans="1:7" x14ac:dyDescent="0.3">
      <c r="A1829" s="18">
        <v>46165</v>
      </c>
      <c r="B1829" s="18" t="s">
        <v>66</v>
      </c>
      <c r="C1829" s="18" t="s">
        <v>154</v>
      </c>
      <c r="D1829" s="6" t="s">
        <v>276</v>
      </c>
      <c r="E1829" s="6" t="s">
        <v>13</v>
      </c>
      <c r="F1829" s="6" t="s">
        <v>659</v>
      </c>
      <c r="G1829" s="7">
        <v>6.1</v>
      </c>
    </row>
    <row r="1830" spans="1:7" x14ac:dyDescent="0.3">
      <c r="A1830" s="18">
        <v>46166</v>
      </c>
      <c r="B1830" s="18" t="s">
        <v>66</v>
      </c>
      <c r="C1830" s="18" t="s">
        <v>154</v>
      </c>
      <c r="D1830" s="6" t="s">
        <v>276</v>
      </c>
      <c r="E1830" s="6" t="s">
        <v>13</v>
      </c>
      <c r="F1830" s="6" t="s">
        <v>659</v>
      </c>
      <c r="G1830" s="7">
        <v>6.1</v>
      </c>
    </row>
    <row r="1831" spans="1:7" x14ac:dyDescent="0.3">
      <c r="A1831" s="18">
        <v>46166</v>
      </c>
      <c r="B1831" s="18" t="s">
        <v>66</v>
      </c>
      <c r="C1831" s="18" t="s">
        <v>154</v>
      </c>
      <c r="D1831" s="6" t="s">
        <v>276</v>
      </c>
      <c r="E1831" s="6" t="s">
        <v>13</v>
      </c>
      <c r="F1831" s="6" t="s">
        <v>659</v>
      </c>
      <c r="G1831" s="7">
        <v>13.7</v>
      </c>
    </row>
    <row r="1832" spans="1:7" x14ac:dyDescent="0.3">
      <c r="A1832" s="18">
        <v>46082</v>
      </c>
      <c r="B1832" s="18" t="s">
        <v>66</v>
      </c>
      <c r="C1832" s="18" t="s">
        <v>154</v>
      </c>
      <c r="D1832" s="6" t="s">
        <v>276</v>
      </c>
      <c r="E1832" s="6" t="s">
        <v>13</v>
      </c>
      <c r="F1832" s="6" t="s">
        <v>659</v>
      </c>
      <c r="G1832" s="7">
        <v>79.2</v>
      </c>
    </row>
    <row r="1833" spans="1:7" x14ac:dyDescent="0.3">
      <c r="A1833" s="18">
        <v>46176</v>
      </c>
      <c r="B1833" s="18" t="s">
        <v>66</v>
      </c>
      <c r="C1833" s="18" t="s">
        <v>154</v>
      </c>
      <c r="D1833" s="6" t="s">
        <v>276</v>
      </c>
      <c r="E1833" s="6" t="s">
        <v>13</v>
      </c>
      <c r="F1833" s="6" t="s">
        <v>659</v>
      </c>
      <c r="G1833" s="7">
        <v>13.7</v>
      </c>
    </row>
    <row r="1834" spans="1:7" x14ac:dyDescent="0.3">
      <c r="A1834" s="18">
        <v>46176</v>
      </c>
      <c r="B1834" s="18" t="s">
        <v>66</v>
      </c>
      <c r="C1834" s="18" t="s">
        <v>154</v>
      </c>
      <c r="D1834" s="6" t="s">
        <v>276</v>
      </c>
      <c r="E1834" s="6" t="s">
        <v>13</v>
      </c>
      <c r="F1834" s="6" t="s">
        <v>659</v>
      </c>
      <c r="G1834" s="7">
        <v>6.1</v>
      </c>
    </row>
    <row r="1835" spans="1:7" x14ac:dyDescent="0.3">
      <c r="A1835" s="18">
        <v>46180</v>
      </c>
      <c r="B1835" s="18" t="s">
        <v>66</v>
      </c>
      <c r="C1835" s="18" t="s">
        <v>154</v>
      </c>
      <c r="D1835" s="6" t="s">
        <v>276</v>
      </c>
      <c r="E1835" s="6" t="s">
        <v>13</v>
      </c>
      <c r="F1835" s="6" t="s">
        <v>659</v>
      </c>
      <c r="G1835" s="7">
        <v>13.7</v>
      </c>
    </row>
    <row r="1836" spans="1:7" x14ac:dyDescent="0.3">
      <c r="A1836" s="18">
        <v>46180</v>
      </c>
      <c r="B1836" s="18" t="s">
        <v>66</v>
      </c>
      <c r="C1836" s="18" t="s">
        <v>154</v>
      </c>
      <c r="D1836" s="6" t="s">
        <v>276</v>
      </c>
      <c r="E1836" s="6" t="s">
        <v>13</v>
      </c>
      <c r="F1836" s="6" t="s">
        <v>659</v>
      </c>
      <c r="G1836" s="7">
        <v>13.7</v>
      </c>
    </row>
    <row r="1837" spans="1:7" x14ac:dyDescent="0.3">
      <c r="A1837" s="18">
        <v>46185</v>
      </c>
      <c r="B1837" s="18" t="s">
        <v>66</v>
      </c>
      <c r="C1837" s="18" t="s">
        <v>154</v>
      </c>
      <c r="D1837" s="6" t="s">
        <v>276</v>
      </c>
      <c r="E1837" s="6" t="s">
        <v>13</v>
      </c>
      <c r="F1837" s="6" t="s">
        <v>659</v>
      </c>
      <c r="G1837" s="7">
        <v>13.6</v>
      </c>
    </row>
    <row r="1838" spans="1:7" x14ac:dyDescent="0.3">
      <c r="A1838" s="18">
        <v>46185</v>
      </c>
      <c r="B1838" s="18" t="s">
        <v>66</v>
      </c>
      <c r="C1838" s="18" t="s">
        <v>154</v>
      </c>
      <c r="D1838" s="6" t="s">
        <v>276</v>
      </c>
      <c r="E1838" s="6" t="s">
        <v>13</v>
      </c>
      <c r="F1838" s="6" t="s">
        <v>659</v>
      </c>
      <c r="G1838" s="7">
        <v>17.600000000000001</v>
      </c>
    </row>
    <row r="1839" spans="1:7" x14ac:dyDescent="0.3">
      <c r="A1839" s="18">
        <v>46185</v>
      </c>
      <c r="B1839" s="18" t="s">
        <v>66</v>
      </c>
      <c r="C1839" s="18" t="s">
        <v>154</v>
      </c>
      <c r="D1839" s="6" t="s">
        <v>276</v>
      </c>
      <c r="E1839" s="6" t="s">
        <v>13</v>
      </c>
      <c r="F1839" s="6" t="s">
        <v>659</v>
      </c>
      <c r="G1839" s="7">
        <v>10.5</v>
      </c>
    </row>
    <row r="1840" spans="1:7" x14ac:dyDescent="0.3">
      <c r="A1840" s="18">
        <v>46185</v>
      </c>
      <c r="B1840" s="18" t="s">
        <v>66</v>
      </c>
      <c r="C1840" s="18" t="s">
        <v>154</v>
      </c>
      <c r="D1840" s="6" t="s">
        <v>276</v>
      </c>
      <c r="E1840" s="6" t="s">
        <v>13</v>
      </c>
      <c r="F1840" s="6" t="s">
        <v>659</v>
      </c>
      <c r="G1840" s="7">
        <v>6.6</v>
      </c>
    </row>
    <row r="1841" spans="1:7" x14ac:dyDescent="0.3">
      <c r="A1841" s="18">
        <v>46187</v>
      </c>
      <c r="B1841" s="18" t="s">
        <v>66</v>
      </c>
      <c r="C1841" s="18" t="s">
        <v>154</v>
      </c>
      <c r="D1841" s="6" t="s">
        <v>276</v>
      </c>
      <c r="E1841" s="6" t="s">
        <v>13</v>
      </c>
      <c r="F1841" s="6" t="s">
        <v>659</v>
      </c>
      <c r="G1841" s="7">
        <v>6.6</v>
      </c>
    </row>
    <row r="1842" spans="1:7" x14ac:dyDescent="0.3">
      <c r="A1842" s="18">
        <v>46187</v>
      </c>
      <c r="B1842" s="18" t="s">
        <v>66</v>
      </c>
      <c r="C1842" s="18" t="s">
        <v>154</v>
      </c>
      <c r="D1842" s="6" t="s">
        <v>276</v>
      </c>
      <c r="E1842" s="6" t="s">
        <v>13</v>
      </c>
      <c r="F1842" s="6" t="s">
        <v>659</v>
      </c>
      <c r="G1842" s="7">
        <v>10.5</v>
      </c>
    </row>
    <row r="1843" spans="1:7" x14ac:dyDescent="0.3">
      <c r="A1843" s="18">
        <v>46187</v>
      </c>
      <c r="B1843" s="18" t="s">
        <v>66</v>
      </c>
      <c r="C1843" s="18" t="s">
        <v>154</v>
      </c>
      <c r="D1843" s="6" t="s">
        <v>276</v>
      </c>
      <c r="E1843" s="6" t="s">
        <v>13</v>
      </c>
      <c r="F1843" s="6" t="s">
        <v>659</v>
      </c>
      <c r="G1843" s="7">
        <v>17.600000000000001</v>
      </c>
    </row>
    <row r="1844" spans="1:7" x14ac:dyDescent="0.3">
      <c r="A1844" s="18">
        <v>46187</v>
      </c>
      <c r="B1844" s="18" t="s">
        <v>66</v>
      </c>
      <c r="C1844" s="18" t="s">
        <v>154</v>
      </c>
      <c r="D1844" s="6" t="s">
        <v>276</v>
      </c>
      <c r="E1844" s="6" t="s">
        <v>13</v>
      </c>
      <c r="F1844" s="6" t="s">
        <v>659</v>
      </c>
      <c r="G1844" s="7">
        <v>13.6</v>
      </c>
    </row>
    <row r="1845" spans="1:7" x14ac:dyDescent="0.3">
      <c r="A1845" s="18">
        <v>46187</v>
      </c>
      <c r="B1845" s="18" t="s">
        <v>66</v>
      </c>
      <c r="C1845" s="18" t="s">
        <v>154</v>
      </c>
      <c r="D1845" s="6" t="s">
        <v>276</v>
      </c>
      <c r="E1845" s="6" t="s">
        <v>13</v>
      </c>
      <c r="F1845" s="6" t="s">
        <v>659</v>
      </c>
      <c r="G1845" s="7">
        <v>13.7</v>
      </c>
    </row>
    <row r="1846" spans="1:7" x14ac:dyDescent="0.3">
      <c r="A1846" s="18">
        <v>46193</v>
      </c>
      <c r="B1846" s="18" t="s">
        <v>66</v>
      </c>
      <c r="C1846" s="18" t="s">
        <v>154</v>
      </c>
      <c r="D1846" s="6" t="s">
        <v>276</v>
      </c>
      <c r="E1846" s="6" t="s">
        <v>13</v>
      </c>
      <c r="F1846" s="6" t="s">
        <v>659</v>
      </c>
      <c r="G1846" s="7">
        <v>13.7</v>
      </c>
    </row>
    <row r="1847" spans="1:7" x14ac:dyDescent="0.3">
      <c r="A1847" s="18">
        <v>46193</v>
      </c>
      <c r="B1847" s="18" t="s">
        <v>66</v>
      </c>
      <c r="C1847" s="18" t="s">
        <v>154</v>
      </c>
      <c r="D1847" s="6" t="s">
        <v>276</v>
      </c>
      <c r="E1847" s="6" t="s">
        <v>13</v>
      </c>
      <c r="F1847" s="6" t="s">
        <v>659</v>
      </c>
      <c r="G1847" s="7">
        <v>6.1</v>
      </c>
    </row>
    <row r="1848" spans="1:7" x14ac:dyDescent="0.3">
      <c r="A1848" s="18">
        <v>46194</v>
      </c>
      <c r="B1848" s="18" t="s">
        <v>66</v>
      </c>
      <c r="C1848" s="18" t="s">
        <v>154</v>
      </c>
      <c r="D1848" s="6" t="s">
        <v>276</v>
      </c>
      <c r="E1848" s="6" t="s">
        <v>13</v>
      </c>
      <c r="F1848" s="6" t="s">
        <v>659</v>
      </c>
      <c r="G1848" s="7">
        <v>6.1</v>
      </c>
    </row>
    <row r="1849" spans="1:7" x14ac:dyDescent="0.3">
      <c r="A1849" s="18">
        <v>46194</v>
      </c>
      <c r="B1849" s="18" t="s">
        <v>66</v>
      </c>
      <c r="C1849" s="18" t="s">
        <v>154</v>
      </c>
      <c r="D1849" s="6" t="s">
        <v>276</v>
      </c>
      <c r="E1849" s="6" t="s">
        <v>13</v>
      </c>
      <c r="F1849" s="6" t="s">
        <v>659</v>
      </c>
      <c r="G1849" s="7">
        <v>13.7</v>
      </c>
    </row>
    <row r="1850" spans="1:7" x14ac:dyDescent="0.3">
      <c r="A1850" s="18">
        <v>46113</v>
      </c>
      <c r="B1850" s="18" t="s">
        <v>66</v>
      </c>
      <c r="C1850" s="18" t="s">
        <v>154</v>
      </c>
      <c r="D1850" s="6" t="s">
        <v>267</v>
      </c>
      <c r="E1850" s="6" t="s">
        <v>57</v>
      </c>
      <c r="F1850" s="6" t="s">
        <v>659</v>
      </c>
      <c r="G1850" s="7">
        <v>13.7</v>
      </c>
    </row>
    <row r="1851" spans="1:7" x14ac:dyDescent="0.3">
      <c r="A1851" s="18">
        <v>46113</v>
      </c>
      <c r="B1851" s="18" t="s">
        <v>66</v>
      </c>
      <c r="C1851" s="18" t="s">
        <v>154</v>
      </c>
      <c r="D1851" s="6" t="s">
        <v>267</v>
      </c>
      <c r="E1851" s="6" t="s">
        <v>57</v>
      </c>
      <c r="F1851" s="6" t="s">
        <v>659</v>
      </c>
      <c r="G1851" s="7">
        <v>6.1</v>
      </c>
    </row>
    <row r="1852" spans="1:7" x14ac:dyDescent="0.3">
      <c r="A1852" s="18">
        <v>46113</v>
      </c>
      <c r="B1852" s="18" t="s">
        <v>66</v>
      </c>
      <c r="C1852" s="18" t="s">
        <v>154</v>
      </c>
      <c r="D1852" s="6" t="s">
        <v>267</v>
      </c>
      <c r="E1852" s="6" t="s">
        <v>57</v>
      </c>
      <c r="F1852" s="6" t="s">
        <v>659</v>
      </c>
      <c r="G1852" s="7">
        <v>107.8</v>
      </c>
    </row>
    <row r="1853" spans="1:7" x14ac:dyDescent="0.3">
      <c r="A1853" s="18">
        <v>46113</v>
      </c>
      <c r="B1853" s="18" t="s">
        <v>66</v>
      </c>
      <c r="C1853" s="18" t="s">
        <v>154</v>
      </c>
      <c r="D1853" s="6" t="s">
        <v>267</v>
      </c>
      <c r="E1853" s="6" t="s">
        <v>57</v>
      </c>
      <c r="F1853" s="6" t="s">
        <v>659</v>
      </c>
      <c r="G1853" s="7">
        <v>6.1</v>
      </c>
    </row>
    <row r="1854" spans="1:7" x14ac:dyDescent="0.3">
      <c r="A1854" s="18">
        <v>46113</v>
      </c>
      <c r="B1854" s="18" t="s">
        <v>66</v>
      </c>
      <c r="C1854" s="18" t="s">
        <v>154</v>
      </c>
      <c r="D1854" s="6" t="s">
        <v>267</v>
      </c>
      <c r="E1854" s="6" t="s">
        <v>57</v>
      </c>
      <c r="F1854" s="6" t="s">
        <v>659</v>
      </c>
      <c r="G1854" s="7">
        <v>13.7</v>
      </c>
    </row>
    <row r="1855" spans="1:7" x14ac:dyDescent="0.3">
      <c r="A1855" s="18">
        <v>46142</v>
      </c>
      <c r="B1855" s="18" t="s">
        <v>66</v>
      </c>
      <c r="C1855" s="18" t="s">
        <v>154</v>
      </c>
      <c r="D1855" s="6" t="s">
        <v>267</v>
      </c>
      <c r="E1855" s="6" t="s">
        <v>57</v>
      </c>
      <c r="F1855" s="6" t="s">
        <v>659</v>
      </c>
      <c r="G1855" s="7">
        <v>13.7</v>
      </c>
    </row>
    <row r="1856" spans="1:7" x14ac:dyDescent="0.3">
      <c r="A1856" s="18">
        <v>46142</v>
      </c>
      <c r="B1856" s="18" t="s">
        <v>66</v>
      </c>
      <c r="C1856" s="18" t="s">
        <v>154</v>
      </c>
      <c r="D1856" s="6" t="s">
        <v>267</v>
      </c>
      <c r="E1856" s="6" t="s">
        <v>57</v>
      </c>
      <c r="F1856" s="6" t="s">
        <v>659</v>
      </c>
      <c r="G1856" s="7">
        <v>6.1</v>
      </c>
    </row>
    <row r="1857" spans="1:7" x14ac:dyDescent="0.3">
      <c r="A1857" s="18">
        <v>46145</v>
      </c>
      <c r="B1857" s="18" t="s">
        <v>66</v>
      </c>
      <c r="C1857" s="18" t="s">
        <v>154</v>
      </c>
      <c r="D1857" s="6" t="s">
        <v>267</v>
      </c>
      <c r="E1857" s="6" t="s">
        <v>57</v>
      </c>
      <c r="F1857" s="6" t="s">
        <v>659</v>
      </c>
      <c r="G1857" s="7">
        <v>6.1</v>
      </c>
    </row>
    <row r="1858" spans="1:7" x14ac:dyDescent="0.3">
      <c r="A1858" s="18">
        <v>46145</v>
      </c>
      <c r="B1858" s="18" t="s">
        <v>66</v>
      </c>
      <c r="C1858" s="18" t="s">
        <v>154</v>
      </c>
      <c r="D1858" s="6" t="s">
        <v>267</v>
      </c>
      <c r="E1858" s="6" t="s">
        <v>57</v>
      </c>
      <c r="F1858" s="6" t="s">
        <v>659</v>
      </c>
      <c r="G1858" s="7">
        <v>13.7</v>
      </c>
    </row>
    <row r="1859" spans="1:7" x14ac:dyDescent="0.3">
      <c r="A1859" s="18">
        <v>46157</v>
      </c>
      <c r="B1859" s="18" t="s">
        <v>66</v>
      </c>
      <c r="C1859" s="18" t="s">
        <v>154</v>
      </c>
      <c r="D1859" s="6" t="s">
        <v>267</v>
      </c>
      <c r="E1859" s="6" t="s">
        <v>57</v>
      </c>
      <c r="F1859" s="6" t="s">
        <v>659</v>
      </c>
      <c r="G1859" s="7">
        <v>13.7</v>
      </c>
    </row>
    <row r="1860" spans="1:7" x14ac:dyDescent="0.3">
      <c r="A1860" s="18">
        <v>46157</v>
      </c>
      <c r="B1860" s="18" t="s">
        <v>66</v>
      </c>
      <c r="C1860" s="18" t="s">
        <v>154</v>
      </c>
      <c r="D1860" s="6" t="s">
        <v>267</v>
      </c>
      <c r="E1860" s="6" t="s">
        <v>57</v>
      </c>
      <c r="F1860" s="6" t="s">
        <v>659</v>
      </c>
      <c r="G1860" s="7">
        <v>6.1</v>
      </c>
    </row>
    <row r="1861" spans="1:7" x14ac:dyDescent="0.3">
      <c r="A1861" s="18">
        <v>46159</v>
      </c>
      <c r="B1861" s="18" t="s">
        <v>66</v>
      </c>
      <c r="C1861" s="18" t="s">
        <v>154</v>
      </c>
      <c r="D1861" s="6" t="s">
        <v>267</v>
      </c>
      <c r="E1861" s="6" t="s">
        <v>57</v>
      </c>
      <c r="F1861" s="6" t="s">
        <v>659</v>
      </c>
      <c r="G1861" s="7">
        <v>6.1</v>
      </c>
    </row>
    <row r="1862" spans="1:7" x14ac:dyDescent="0.3">
      <c r="A1862" s="18">
        <v>46159</v>
      </c>
      <c r="B1862" s="18" t="s">
        <v>66</v>
      </c>
      <c r="C1862" s="18" t="s">
        <v>154</v>
      </c>
      <c r="D1862" s="6" t="s">
        <v>267</v>
      </c>
      <c r="E1862" s="6" t="s">
        <v>57</v>
      </c>
      <c r="F1862" s="6" t="s">
        <v>659</v>
      </c>
      <c r="G1862" s="7">
        <v>13.7</v>
      </c>
    </row>
    <row r="1863" spans="1:7" x14ac:dyDescent="0.3">
      <c r="A1863" s="18">
        <v>46031</v>
      </c>
      <c r="B1863" s="18" t="s">
        <v>66</v>
      </c>
      <c r="C1863" s="18" t="s">
        <v>154</v>
      </c>
      <c r="D1863" s="6" t="s">
        <v>267</v>
      </c>
      <c r="E1863" s="6" t="s">
        <v>57</v>
      </c>
      <c r="F1863" s="6" t="s">
        <v>659</v>
      </c>
      <c r="G1863" s="7">
        <v>106.52</v>
      </c>
    </row>
    <row r="1864" spans="1:7" x14ac:dyDescent="0.3">
      <c r="A1864" s="18">
        <v>46054</v>
      </c>
      <c r="B1864" s="18" t="s">
        <v>66</v>
      </c>
      <c r="C1864" s="18" t="s">
        <v>154</v>
      </c>
      <c r="D1864" s="6" t="s">
        <v>267</v>
      </c>
      <c r="E1864" s="6" t="s">
        <v>57</v>
      </c>
      <c r="F1864" s="6" t="s">
        <v>659</v>
      </c>
      <c r="G1864" s="7">
        <v>39.599999999999994</v>
      </c>
    </row>
    <row r="1865" spans="1:7" x14ac:dyDescent="0.3">
      <c r="A1865" s="18">
        <v>46082</v>
      </c>
      <c r="B1865" s="18" t="s">
        <v>66</v>
      </c>
      <c r="C1865" s="18" t="s">
        <v>154</v>
      </c>
      <c r="D1865" s="6" t="s">
        <v>267</v>
      </c>
      <c r="E1865" s="6" t="s">
        <v>57</v>
      </c>
      <c r="F1865" s="6" t="s">
        <v>659</v>
      </c>
      <c r="G1865" s="7">
        <v>39.599999999999994</v>
      </c>
    </row>
    <row r="1866" spans="1:7" x14ac:dyDescent="0.3">
      <c r="A1866" s="18">
        <v>46186</v>
      </c>
      <c r="B1866" s="18" t="s">
        <v>66</v>
      </c>
      <c r="C1866" s="18" t="s">
        <v>154</v>
      </c>
      <c r="D1866" s="6" t="s">
        <v>267</v>
      </c>
      <c r="E1866" s="6" t="s">
        <v>57</v>
      </c>
      <c r="F1866" s="6" t="s">
        <v>659</v>
      </c>
      <c r="G1866" s="7">
        <v>13.7</v>
      </c>
    </row>
    <row r="1867" spans="1:7" x14ac:dyDescent="0.3">
      <c r="A1867" s="18">
        <v>46186</v>
      </c>
      <c r="B1867" s="18" t="s">
        <v>66</v>
      </c>
      <c r="C1867" s="18" t="s">
        <v>154</v>
      </c>
      <c r="D1867" s="6" t="s">
        <v>267</v>
      </c>
      <c r="E1867" s="6" t="s">
        <v>57</v>
      </c>
      <c r="F1867" s="6" t="s">
        <v>659</v>
      </c>
      <c r="G1867" s="7">
        <v>6.1</v>
      </c>
    </row>
    <row r="1868" spans="1:7" x14ac:dyDescent="0.3">
      <c r="A1868" s="18">
        <v>46187</v>
      </c>
      <c r="B1868" s="18" t="s">
        <v>66</v>
      </c>
      <c r="C1868" s="18" t="s">
        <v>154</v>
      </c>
      <c r="D1868" s="6" t="s">
        <v>267</v>
      </c>
      <c r="E1868" s="6" t="s">
        <v>57</v>
      </c>
      <c r="F1868" s="6" t="s">
        <v>659</v>
      </c>
      <c r="G1868" s="7">
        <v>6.1</v>
      </c>
    </row>
    <row r="1869" spans="1:7" x14ac:dyDescent="0.3">
      <c r="A1869" s="18">
        <v>46187</v>
      </c>
      <c r="B1869" s="18" t="s">
        <v>66</v>
      </c>
      <c r="C1869" s="18" t="s">
        <v>154</v>
      </c>
      <c r="D1869" s="6" t="s">
        <v>267</v>
      </c>
      <c r="E1869" s="6" t="s">
        <v>57</v>
      </c>
      <c r="F1869" s="6" t="s">
        <v>659</v>
      </c>
      <c r="G1869" s="7">
        <v>13.7</v>
      </c>
    </row>
    <row r="1870" spans="1:7" x14ac:dyDescent="0.3">
      <c r="A1870" s="18">
        <v>46113</v>
      </c>
      <c r="B1870" s="18" t="s">
        <v>66</v>
      </c>
      <c r="C1870" s="18" t="s">
        <v>154</v>
      </c>
      <c r="D1870" s="6" t="s">
        <v>273</v>
      </c>
      <c r="E1870" s="6" t="s">
        <v>50</v>
      </c>
      <c r="F1870" s="6" t="s">
        <v>659</v>
      </c>
      <c r="G1870" s="7">
        <v>13.7</v>
      </c>
    </row>
    <row r="1871" spans="1:7" x14ac:dyDescent="0.3">
      <c r="A1871" s="18">
        <v>46113</v>
      </c>
      <c r="B1871" s="18" t="s">
        <v>66</v>
      </c>
      <c r="C1871" s="18" t="s">
        <v>154</v>
      </c>
      <c r="D1871" s="6" t="s">
        <v>273</v>
      </c>
      <c r="E1871" s="6" t="s">
        <v>50</v>
      </c>
      <c r="F1871" s="6" t="s">
        <v>659</v>
      </c>
      <c r="G1871" s="7">
        <v>6.1</v>
      </c>
    </row>
    <row r="1872" spans="1:7" x14ac:dyDescent="0.3">
      <c r="A1872" s="18">
        <v>46113</v>
      </c>
      <c r="B1872" s="18" t="s">
        <v>66</v>
      </c>
      <c r="C1872" s="18" t="s">
        <v>154</v>
      </c>
      <c r="D1872" s="6" t="s">
        <v>273</v>
      </c>
      <c r="E1872" s="6" t="s">
        <v>50</v>
      </c>
      <c r="F1872" s="6" t="s">
        <v>659</v>
      </c>
      <c r="G1872" s="7">
        <v>6.1</v>
      </c>
    </row>
    <row r="1873" spans="1:7" x14ac:dyDescent="0.3">
      <c r="A1873" s="18">
        <v>46113</v>
      </c>
      <c r="B1873" s="18" t="s">
        <v>66</v>
      </c>
      <c r="C1873" s="18" t="s">
        <v>154</v>
      </c>
      <c r="D1873" s="6" t="s">
        <v>273</v>
      </c>
      <c r="E1873" s="6" t="s">
        <v>50</v>
      </c>
      <c r="F1873" s="6" t="s">
        <v>659</v>
      </c>
      <c r="G1873" s="7">
        <v>13.7</v>
      </c>
    </row>
    <row r="1874" spans="1:7" x14ac:dyDescent="0.3">
      <c r="A1874" s="18">
        <v>46142</v>
      </c>
      <c r="B1874" s="18" t="s">
        <v>66</v>
      </c>
      <c r="C1874" s="18" t="s">
        <v>154</v>
      </c>
      <c r="D1874" s="6" t="s">
        <v>273</v>
      </c>
      <c r="E1874" s="6" t="s">
        <v>50</v>
      </c>
      <c r="F1874" s="6" t="s">
        <v>659</v>
      </c>
      <c r="G1874" s="7">
        <v>13.7</v>
      </c>
    </row>
    <row r="1875" spans="1:7" x14ac:dyDescent="0.3">
      <c r="A1875" s="18">
        <v>46142</v>
      </c>
      <c r="B1875" s="18" t="s">
        <v>66</v>
      </c>
      <c r="C1875" s="18" t="s">
        <v>154</v>
      </c>
      <c r="D1875" s="6" t="s">
        <v>273</v>
      </c>
      <c r="E1875" s="6" t="s">
        <v>50</v>
      </c>
      <c r="F1875" s="6" t="s">
        <v>659</v>
      </c>
      <c r="G1875" s="7">
        <v>6.1</v>
      </c>
    </row>
    <row r="1876" spans="1:7" x14ac:dyDescent="0.3">
      <c r="A1876" s="18">
        <v>46145</v>
      </c>
      <c r="B1876" s="18" t="s">
        <v>66</v>
      </c>
      <c r="C1876" s="18" t="s">
        <v>154</v>
      </c>
      <c r="D1876" s="6" t="s">
        <v>273</v>
      </c>
      <c r="E1876" s="6" t="s">
        <v>50</v>
      </c>
      <c r="F1876" s="6" t="s">
        <v>659</v>
      </c>
      <c r="G1876" s="7">
        <v>6.1</v>
      </c>
    </row>
    <row r="1877" spans="1:7" x14ac:dyDescent="0.3">
      <c r="A1877" s="18">
        <v>46145</v>
      </c>
      <c r="B1877" s="18" t="s">
        <v>66</v>
      </c>
      <c r="C1877" s="18" t="s">
        <v>154</v>
      </c>
      <c r="D1877" s="6" t="s">
        <v>273</v>
      </c>
      <c r="E1877" s="6" t="s">
        <v>50</v>
      </c>
      <c r="F1877" s="6" t="s">
        <v>659</v>
      </c>
      <c r="G1877" s="7">
        <v>13.7</v>
      </c>
    </row>
    <row r="1878" spans="1:7" x14ac:dyDescent="0.3">
      <c r="A1878" s="18">
        <v>46164</v>
      </c>
      <c r="B1878" s="18" t="s">
        <v>66</v>
      </c>
      <c r="C1878" s="18" t="s">
        <v>154</v>
      </c>
      <c r="D1878" s="6" t="s">
        <v>273</v>
      </c>
      <c r="E1878" s="6" t="s">
        <v>50</v>
      </c>
      <c r="F1878" s="6" t="s">
        <v>659</v>
      </c>
      <c r="G1878" s="7">
        <v>13.7</v>
      </c>
    </row>
    <row r="1879" spans="1:7" x14ac:dyDescent="0.3">
      <c r="A1879" s="18">
        <v>46164</v>
      </c>
      <c r="B1879" s="18" t="s">
        <v>66</v>
      </c>
      <c r="C1879" s="18" t="s">
        <v>154</v>
      </c>
      <c r="D1879" s="6" t="s">
        <v>273</v>
      </c>
      <c r="E1879" s="6" t="s">
        <v>50</v>
      </c>
      <c r="F1879" s="6" t="s">
        <v>659</v>
      </c>
      <c r="G1879" s="7">
        <v>6.1</v>
      </c>
    </row>
    <row r="1880" spans="1:7" x14ac:dyDescent="0.3">
      <c r="A1880" s="18">
        <v>46166</v>
      </c>
      <c r="B1880" s="18" t="s">
        <v>66</v>
      </c>
      <c r="C1880" s="18" t="s">
        <v>154</v>
      </c>
      <c r="D1880" s="6" t="s">
        <v>273</v>
      </c>
      <c r="E1880" s="6" t="s">
        <v>50</v>
      </c>
      <c r="F1880" s="6" t="s">
        <v>659</v>
      </c>
      <c r="G1880" s="7">
        <v>6.1</v>
      </c>
    </row>
    <row r="1881" spans="1:7" x14ac:dyDescent="0.3">
      <c r="A1881" s="18">
        <v>46166</v>
      </c>
      <c r="B1881" s="18" t="s">
        <v>66</v>
      </c>
      <c r="C1881" s="18" t="s">
        <v>154</v>
      </c>
      <c r="D1881" s="6" t="s">
        <v>273</v>
      </c>
      <c r="E1881" s="6" t="s">
        <v>50</v>
      </c>
      <c r="F1881" s="6" t="s">
        <v>659</v>
      </c>
      <c r="G1881" s="7">
        <v>13.7</v>
      </c>
    </row>
    <row r="1882" spans="1:7" x14ac:dyDescent="0.3">
      <c r="A1882" s="18">
        <v>46061</v>
      </c>
      <c r="B1882" s="18" t="s">
        <v>66</v>
      </c>
      <c r="C1882" s="18" t="s">
        <v>154</v>
      </c>
      <c r="D1882" s="6" t="s">
        <v>273</v>
      </c>
      <c r="E1882" s="6" t="s">
        <v>50</v>
      </c>
      <c r="F1882" s="6" t="s">
        <v>659</v>
      </c>
      <c r="G1882" s="7">
        <v>39.599999999999994</v>
      </c>
    </row>
    <row r="1883" spans="1:7" x14ac:dyDescent="0.3">
      <c r="A1883" s="18">
        <v>46082</v>
      </c>
      <c r="B1883" s="18" t="s">
        <v>66</v>
      </c>
      <c r="C1883" s="18" t="s">
        <v>154</v>
      </c>
      <c r="D1883" s="6" t="s">
        <v>273</v>
      </c>
      <c r="E1883" s="6" t="s">
        <v>50</v>
      </c>
      <c r="F1883" s="6" t="s">
        <v>659</v>
      </c>
      <c r="G1883" s="7">
        <v>143.32999999999998</v>
      </c>
    </row>
    <row r="1884" spans="1:7" x14ac:dyDescent="0.3">
      <c r="A1884" s="18">
        <v>46194</v>
      </c>
      <c r="B1884" s="18" t="s">
        <v>66</v>
      </c>
      <c r="C1884" s="18" t="s">
        <v>154</v>
      </c>
      <c r="D1884" s="6" t="s">
        <v>273</v>
      </c>
      <c r="E1884" s="6" t="s">
        <v>50</v>
      </c>
      <c r="F1884" s="6" t="s">
        <v>659</v>
      </c>
      <c r="G1884" s="7">
        <v>13.7</v>
      </c>
    </row>
    <row r="1885" spans="1:7" x14ac:dyDescent="0.3">
      <c r="A1885" s="18">
        <v>46194</v>
      </c>
      <c r="B1885" s="18" t="s">
        <v>66</v>
      </c>
      <c r="C1885" s="18" t="s">
        <v>154</v>
      </c>
      <c r="D1885" s="6" t="s">
        <v>273</v>
      </c>
      <c r="E1885" s="6" t="s">
        <v>50</v>
      </c>
      <c r="F1885" s="6" t="s">
        <v>659</v>
      </c>
      <c r="G1885" s="7">
        <v>6.1</v>
      </c>
    </row>
    <row r="1886" spans="1:7" x14ac:dyDescent="0.3">
      <c r="A1886" s="18">
        <v>46194</v>
      </c>
      <c r="B1886" s="18" t="s">
        <v>66</v>
      </c>
      <c r="C1886" s="18" t="s">
        <v>154</v>
      </c>
      <c r="D1886" s="6" t="s">
        <v>273</v>
      </c>
      <c r="E1886" s="6" t="s">
        <v>50</v>
      </c>
      <c r="F1886" s="6" t="s">
        <v>659</v>
      </c>
      <c r="G1886" s="7">
        <v>6.1</v>
      </c>
    </row>
    <row r="1887" spans="1:7" x14ac:dyDescent="0.3">
      <c r="A1887" s="18">
        <v>46194</v>
      </c>
      <c r="B1887" s="18" t="s">
        <v>66</v>
      </c>
      <c r="C1887" s="18" t="s">
        <v>154</v>
      </c>
      <c r="D1887" s="6" t="s">
        <v>273</v>
      </c>
      <c r="E1887" s="6" t="s">
        <v>50</v>
      </c>
      <c r="F1887" s="6" t="s">
        <v>659</v>
      </c>
      <c r="G1887" s="7">
        <v>13.7</v>
      </c>
    </row>
    <row r="1888" spans="1:7" x14ac:dyDescent="0.3">
      <c r="A1888" s="18">
        <v>46199</v>
      </c>
      <c r="B1888" s="18" t="s">
        <v>66</v>
      </c>
      <c r="C1888" s="18" t="s">
        <v>154</v>
      </c>
      <c r="D1888" s="6" t="s">
        <v>273</v>
      </c>
      <c r="E1888" s="6" t="s">
        <v>50</v>
      </c>
      <c r="F1888" s="6" t="s">
        <v>659</v>
      </c>
      <c r="G1888" s="7">
        <v>13.7</v>
      </c>
    </row>
    <row r="1889" spans="1:7" x14ac:dyDescent="0.3">
      <c r="A1889" s="18">
        <v>46199</v>
      </c>
      <c r="B1889" s="18" t="s">
        <v>66</v>
      </c>
      <c r="C1889" s="18" t="s">
        <v>154</v>
      </c>
      <c r="D1889" s="6" t="s">
        <v>273</v>
      </c>
      <c r="E1889" s="6" t="s">
        <v>50</v>
      </c>
      <c r="F1889" s="6" t="s">
        <v>659</v>
      </c>
      <c r="G1889" s="7">
        <v>6.1</v>
      </c>
    </row>
    <row r="1890" spans="1:7" x14ac:dyDescent="0.3">
      <c r="A1890" s="18">
        <v>46058</v>
      </c>
      <c r="B1890" s="18" t="s">
        <v>66</v>
      </c>
      <c r="C1890" s="18" t="s">
        <v>154</v>
      </c>
      <c r="D1890" s="6" t="s">
        <v>271</v>
      </c>
      <c r="E1890" s="6" t="s">
        <v>57</v>
      </c>
      <c r="F1890" s="6" t="s">
        <v>659</v>
      </c>
      <c r="G1890" s="7">
        <v>13.7</v>
      </c>
    </row>
    <row r="1891" spans="1:7" x14ac:dyDescent="0.3">
      <c r="A1891" s="18">
        <v>46082</v>
      </c>
      <c r="B1891" s="18" t="s">
        <v>66</v>
      </c>
      <c r="C1891" s="18" t="s">
        <v>154</v>
      </c>
      <c r="D1891" s="6" t="s">
        <v>271</v>
      </c>
      <c r="E1891" s="6" t="s">
        <v>57</v>
      </c>
      <c r="F1891" s="6" t="s">
        <v>659</v>
      </c>
      <c r="G1891" s="7">
        <v>79.2</v>
      </c>
    </row>
    <row r="1892" spans="1:7" x14ac:dyDescent="0.3">
      <c r="A1892" s="18">
        <v>46197</v>
      </c>
      <c r="B1892" s="18" t="s">
        <v>134</v>
      </c>
      <c r="C1892" s="18" t="s">
        <v>648</v>
      </c>
      <c r="D1892" s="6" t="s">
        <v>1118</v>
      </c>
      <c r="E1892" s="6" t="s">
        <v>47</v>
      </c>
      <c r="F1892" s="6" t="s">
        <v>656</v>
      </c>
      <c r="G1892" s="7">
        <v>120.83</v>
      </c>
    </row>
    <row r="1893" spans="1:7" x14ac:dyDescent="0.3">
      <c r="A1893" s="18">
        <v>46199</v>
      </c>
      <c r="B1893" s="18" t="s">
        <v>134</v>
      </c>
      <c r="C1893" s="18" t="s">
        <v>648</v>
      </c>
      <c r="D1893" s="6" t="s">
        <v>1118</v>
      </c>
      <c r="E1893" s="6" t="s">
        <v>47</v>
      </c>
      <c r="F1893" s="6" t="s">
        <v>656</v>
      </c>
      <c r="G1893" s="7">
        <v>292.85000000000002</v>
      </c>
    </row>
    <row r="1894" spans="1:7" x14ac:dyDescent="0.3">
      <c r="A1894" s="18">
        <v>46196</v>
      </c>
      <c r="B1894" s="18" t="s">
        <v>134</v>
      </c>
      <c r="C1894" s="18" t="s">
        <v>648</v>
      </c>
      <c r="D1894" s="6" t="s">
        <v>1113</v>
      </c>
      <c r="E1894" s="6" t="s">
        <v>47</v>
      </c>
      <c r="F1894" s="6" t="s">
        <v>656</v>
      </c>
      <c r="G1894" s="7">
        <v>689.6</v>
      </c>
    </row>
    <row r="1895" spans="1:7" x14ac:dyDescent="0.3">
      <c r="A1895" s="18">
        <v>46196</v>
      </c>
      <c r="B1895" s="18" t="s">
        <v>134</v>
      </c>
      <c r="C1895" s="18" t="s">
        <v>648</v>
      </c>
      <c r="D1895" s="6" t="s">
        <v>1113</v>
      </c>
      <c r="E1895" s="6" t="s">
        <v>47</v>
      </c>
      <c r="F1895" s="6" t="s">
        <v>656</v>
      </c>
      <c r="G1895" s="7">
        <v>890.62</v>
      </c>
    </row>
    <row r="1896" spans="1:7" x14ac:dyDescent="0.3">
      <c r="A1896" s="18">
        <v>46173</v>
      </c>
      <c r="B1896" s="18" t="s">
        <v>134</v>
      </c>
      <c r="C1896" s="18" t="s">
        <v>648</v>
      </c>
      <c r="D1896" s="6" t="s">
        <v>1023</v>
      </c>
      <c r="E1896" s="6" t="s">
        <v>47</v>
      </c>
      <c r="F1896" s="6" t="s">
        <v>656</v>
      </c>
      <c r="G1896" s="7">
        <v>314.86</v>
      </c>
    </row>
    <row r="1897" spans="1:7" x14ac:dyDescent="0.3">
      <c r="A1897" s="18">
        <v>46196</v>
      </c>
      <c r="B1897" s="18" t="s">
        <v>134</v>
      </c>
      <c r="C1897" s="18" t="s">
        <v>648</v>
      </c>
      <c r="D1897" s="6" t="s">
        <v>1111</v>
      </c>
      <c r="E1897" s="6" t="s">
        <v>47</v>
      </c>
      <c r="F1897" s="6" t="s">
        <v>656</v>
      </c>
      <c r="G1897" s="7">
        <v>144.63999999999999</v>
      </c>
    </row>
    <row r="1898" spans="1:7" x14ac:dyDescent="0.3">
      <c r="A1898" s="18">
        <v>46179</v>
      </c>
      <c r="B1898" s="18" t="s">
        <v>134</v>
      </c>
      <c r="C1898" s="18" t="s">
        <v>648</v>
      </c>
      <c r="D1898" s="6" t="s">
        <v>1056</v>
      </c>
      <c r="E1898" s="6" t="s">
        <v>47</v>
      </c>
      <c r="F1898" s="6" t="s">
        <v>656</v>
      </c>
      <c r="G1898" s="7">
        <v>836.57</v>
      </c>
    </row>
    <row r="1899" spans="1:7" x14ac:dyDescent="0.3">
      <c r="A1899" s="18">
        <v>46180</v>
      </c>
      <c r="B1899" s="18" t="s">
        <v>134</v>
      </c>
      <c r="C1899" s="18" t="s">
        <v>648</v>
      </c>
      <c r="D1899" s="6" t="s">
        <v>1056</v>
      </c>
      <c r="E1899" s="6" t="s">
        <v>47</v>
      </c>
      <c r="F1899" s="6" t="s">
        <v>656</v>
      </c>
      <c r="G1899" s="7">
        <v>287.39999999999998</v>
      </c>
    </row>
    <row r="1900" spans="1:7" x14ac:dyDescent="0.3">
      <c r="A1900" s="18">
        <v>46182</v>
      </c>
      <c r="B1900" s="18" t="s">
        <v>134</v>
      </c>
      <c r="C1900" s="18" t="s">
        <v>648</v>
      </c>
      <c r="D1900" s="6" t="s">
        <v>1078</v>
      </c>
      <c r="E1900" s="6" t="s">
        <v>47</v>
      </c>
      <c r="F1900" s="6" t="s">
        <v>656</v>
      </c>
      <c r="G1900" s="7">
        <v>95.68</v>
      </c>
    </row>
    <row r="1901" spans="1:7" x14ac:dyDescent="0.3">
      <c r="A1901" s="18">
        <v>46183</v>
      </c>
      <c r="B1901" s="18" t="s">
        <v>134</v>
      </c>
      <c r="C1901" s="18" t="s">
        <v>648</v>
      </c>
      <c r="D1901" s="6" t="s">
        <v>1085</v>
      </c>
      <c r="E1901" s="6" t="s">
        <v>47</v>
      </c>
      <c r="F1901" s="6" t="s">
        <v>656</v>
      </c>
      <c r="G1901" s="7">
        <v>93.75</v>
      </c>
    </row>
    <row r="1902" spans="1:7" x14ac:dyDescent="0.3">
      <c r="A1902" s="18">
        <v>46180</v>
      </c>
      <c r="B1902" s="18" t="s">
        <v>134</v>
      </c>
      <c r="C1902" s="18" t="s">
        <v>648</v>
      </c>
      <c r="D1902" s="6" t="s">
        <v>1063</v>
      </c>
      <c r="E1902" s="6" t="s">
        <v>47</v>
      </c>
      <c r="F1902" s="6" t="s">
        <v>656</v>
      </c>
      <c r="G1902" s="7">
        <v>134.11000000000001</v>
      </c>
    </row>
    <row r="1903" spans="1:7" x14ac:dyDescent="0.3">
      <c r="A1903" s="18">
        <v>46180</v>
      </c>
      <c r="B1903" s="18" t="s">
        <v>134</v>
      </c>
      <c r="C1903" s="18" t="s">
        <v>648</v>
      </c>
      <c r="D1903" s="6" t="s">
        <v>1063</v>
      </c>
      <c r="E1903" s="6" t="s">
        <v>47</v>
      </c>
      <c r="F1903" s="6" t="s">
        <v>656</v>
      </c>
      <c r="G1903" s="7">
        <v>134.11000000000001</v>
      </c>
    </row>
    <row r="1904" spans="1:7" x14ac:dyDescent="0.3">
      <c r="A1904" s="18">
        <v>46179</v>
      </c>
      <c r="B1904" s="18" t="s">
        <v>134</v>
      </c>
      <c r="C1904" s="18" t="s">
        <v>648</v>
      </c>
      <c r="D1904" s="6" t="s">
        <v>1060</v>
      </c>
      <c r="E1904" s="6" t="s">
        <v>47</v>
      </c>
      <c r="F1904" s="6" t="s">
        <v>656</v>
      </c>
      <c r="G1904" s="7">
        <v>77.89</v>
      </c>
    </row>
    <row r="1905" spans="1:7" x14ac:dyDescent="0.3">
      <c r="A1905" s="18">
        <v>46181</v>
      </c>
      <c r="B1905" s="18" t="s">
        <v>134</v>
      </c>
      <c r="C1905" s="18" t="s">
        <v>648</v>
      </c>
      <c r="D1905" s="6" t="s">
        <v>1071</v>
      </c>
      <c r="E1905" s="6" t="s">
        <v>47</v>
      </c>
      <c r="F1905" s="6" t="s">
        <v>656</v>
      </c>
      <c r="G1905" s="7">
        <v>57.47</v>
      </c>
    </row>
    <row r="1906" spans="1:7" x14ac:dyDescent="0.3">
      <c r="A1906" s="18">
        <v>46170</v>
      </c>
      <c r="B1906" s="18" t="s">
        <v>134</v>
      </c>
      <c r="C1906" s="18" t="s">
        <v>648</v>
      </c>
      <c r="D1906" s="6" t="s">
        <v>318</v>
      </c>
      <c r="E1906" s="6" t="s">
        <v>47</v>
      </c>
      <c r="F1906" s="6" t="s">
        <v>656</v>
      </c>
      <c r="G1906" s="7">
        <v>66.900000000000006</v>
      </c>
    </row>
    <row r="1907" spans="1:7" x14ac:dyDescent="0.3">
      <c r="A1907" s="18">
        <v>46108</v>
      </c>
      <c r="B1907" s="18" t="s">
        <v>134</v>
      </c>
      <c r="C1907" s="18" t="s">
        <v>648</v>
      </c>
      <c r="D1907" s="6" t="s">
        <v>593</v>
      </c>
      <c r="E1907" s="6" t="s">
        <v>47</v>
      </c>
      <c r="F1907" s="6" t="s">
        <v>656</v>
      </c>
      <c r="G1907" s="7">
        <v>7997.31</v>
      </c>
    </row>
    <row r="1908" spans="1:7" x14ac:dyDescent="0.3">
      <c r="A1908" s="18">
        <v>46199</v>
      </c>
      <c r="B1908" s="18" t="s">
        <v>134</v>
      </c>
      <c r="C1908" s="18" t="s">
        <v>648</v>
      </c>
      <c r="D1908" s="6" t="s">
        <v>593</v>
      </c>
      <c r="E1908" s="6" t="s">
        <v>47</v>
      </c>
      <c r="F1908" s="6" t="s">
        <v>656</v>
      </c>
      <c r="G1908" s="7">
        <v>2754.48</v>
      </c>
    </row>
    <row r="1909" spans="1:7" x14ac:dyDescent="0.3">
      <c r="A1909" s="18">
        <v>46113</v>
      </c>
      <c r="B1909" s="18" t="s">
        <v>134</v>
      </c>
      <c r="C1909" s="18" t="s">
        <v>648</v>
      </c>
      <c r="D1909" s="6" t="s">
        <v>750</v>
      </c>
      <c r="E1909" s="6" t="s">
        <v>47</v>
      </c>
      <c r="F1909" s="6" t="s">
        <v>656</v>
      </c>
      <c r="G1909" s="7">
        <v>263.33</v>
      </c>
    </row>
    <row r="1910" spans="1:7" x14ac:dyDescent="0.3">
      <c r="A1910" s="18">
        <v>46172</v>
      </c>
      <c r="B1910" s="18" t="s">
        <v>134</v>
      </c>
      <c r="C1910" s="18" t="s">
        <v>648</v>
      </c>
      <c r="D1910" s="6" t="s">
        <v>938</v>
      </c>
      <c r="E1910" s="6" t="s">
        <v>47</v>
      </c>
      <c r="F1910" s="6" t="s">
        <v>656</v>
      </c>
      <c r="G1910" s="7">
        <v>43.47</v>
      </c>
    </row>
    <row r="1911" spans="1:7" x14ac:dyDescent="0.3">
      <c r="A1911" s="18">
        <v>46174</v>
      </c>
      <c r="B1911" s="18" t="s">
        <v>134</v>
      </c>
      <c r="C1911" s="18" t="s">
        <v>648</v>
      </c>
      <c r="D1911" s="6" t="s">
        <v>1025</v>
      </c>
      <c r="E1911" s="6" t="s">
        <v>47</v>
      </c>
      <c r="F1911" s="6" t="s">
        <v>656</v>
      </c>
      <c r="G1911" s="7">
        <v>31.46</v>
      </c>
    </row>
    <row r="1912" spans="1:7" x14ac:dyDescent="0.3">
      <c r="A1912" s="18">
        <v>46179</v>
      </c>
      <c r="B1912" s="18" t="s">
        <v>134</v>
      </c>
      <c r="C1912" s="18" t="s">
        <v>648</v>
      </c>
      <c r="D1912" s="6" t="s">
        <v>1058</v>
      </c>
      <c r="E1912" s="6" t="s">
        <v>47</v>
      </c>
      <c r="F1912" s="6" t="s">
        <v>656</v>
      </c>
      <c r="G1912" s="7">
        <v>79.849999999999994</v>
      </c>
    </row>
    <row r="1913" spans="1:7" x14ac:dyDescent="0.3">
      <c r="A1913" s="18">
        <v>46176</v>
      </c>
      <c r="B1913" s="18" t="s">
        <v>134</v>
      </c>
      <c r="C1913" s="18" t="s">
        <v>648</v>
      </c>
      <c r="D1913" s="6" t="s">
        <v>1038</v>
      </c>
      <c r="E1913" s="6" t="s">
        <v>47</v>
      </c>
      <c r="F1913" s="6" t="s">
        <v>656</v>
      </c>
      <c r="G1913" s="7">
        <v>90.28</v>
      </c>
    </row>
    <row r="1914" spans="1:7" x14ac:dyDescent="0.3">
      <c r="A1914" s="18">
        <v>46173</v>
      </c>
      <c r="B1914" s="18" t="s">
        <v>134</v>
      </c>
      <c r="C1914" s="18" t="s">
        <v>648</v>
      </c>
      <c r="D1914" s="6" t="s">
        <v>1022</v>
      </c>
      <c r="E1914" s="6" t="s">
        <v>47</v>
      </c>
      <c r="F1914" s="6" t="s">
        <v>656</v>
      </c>
      <c r="G1914" s="7">
        <v>264.48</v>
      </c>
    </row>
    <row r="1915" spans="1:7" x14ac:dyDescent="0.3">
      <c r="A1915" s="18">
        <v>46178</v>
      </c>
      <c r="B1915" s="18" t="s">
        <v>134</v>
      </c>
      <c r="C1915" s="18" t="s">
        <v>648</v>
      </c>
      <c r="D1915" s="6" t="s">
        <v>1050</v>
      </c>
      <c r="E1915" s="6" t="s">
        <v>47</v>
      </c>
      <c r="F1915" s="6" t="s">
        <v>656</v>
      </c>
      <c r="G1915" s="7">
        <v>162.56</v>
      </c>
    </row>
    <row r="1916" spans="1:7" x14ac:dyDescent="0.3">
      <c r="A1916" s="18">
        <v>46111</v>
      </c>
      <c r="B1916" s="18" t="s">
        <v>134</v>
      </c>
      <c r="C1916" s="18" t="s">
        <v>648</v>
      </c>
      <c r="D1916" s="6" t="s">
        <v>607</v>
      </c>
      <c r="E1916" s="6" t="s">
        <v>47</v>
      </c>
      <c r="F1916" s="6" t="s">
        <v>656</v>
      </c>
      <c r="G1916" s="7">
        <v>89.39</v>
      </c>
    </row>
    <row r="1917" spans="1:7" x14ac:dyDescent="0.3">
      <c r="A1917" s="18">
        <v>46109</v>
      </c>
      <c r="B1917" s="18" t="s">
        <v>134</v>
      </c>
      <c r="C1917" s="18" t="s">
        <v>648</v>
      </c>
      <c r="D1917" s="6" t="s">
        <v>599</v>
      </c>
      <c r="E1917" s="6" t="s">
        <v>47</v>
      </c>
      <c r="F1917" s="6" t="s">
        <v>656</v>
      </c>
      <c r="G1917" s="7">
        <v>46.69</v>
      </c>
    </row>
    <row r="1918" spans="1:7" x14ac:dyDescent="0.3">
      <c r="A1918" s="18">
        <v>46173</v>
      </c>
      <c r="B1918" s="18" t="s">
        <v>134</v>
      </c>
      <c r="C1918" s="18" t="s">
        <v>648</v>
      </c>
      <c r="D1918" s="6" t="s">
        <v>1021</v>
      </c>
      <c r="E1918" s="6" t="s">
        <v>47</v>
      </c>
      <c r="F1918" s="6" t="s">
        <v>656</v>
      </c>
      <c r="G1918" s="7">
        <v>1322.33</v>
      </c>
    </row>
    <row r="1919" spans="1:7" x14ac:dyDescent="0.3">
      <c r="A1919" s="18">
        <v>46109</v>
      </c>
      <c r="B1919" s="18" t="s">
        <v>134</v>
      </c>
      <c r="C1919" s="18" t="s">
        <v>648</v>
      </c>
      <c r="D1919" s="6" t="s">
        <v>600</v>
      </c>
      <c r="E1919" s="6" t="s">
        <v>47</v>
      </c>
      <c r="F1919" s="6" t="s">
        <v>656</v>
      </c>
      <c r="G1919" s="7">
        <v>33.31</v>
      </c>
    </row>
    <row r="1920" spans="1:7" x14ac:dyDescent="0.3">
      <c r="A1920" s="18">
        <v>46171</v>
      </c>
      <c r="B1920" s="18" t="s">
        <v>134</v>
      </c>
      <c r="C1920" s="18" t="s">
        <v>648</v>
      </c>
      <c r="D1920" s="6" t="s">
        <v>1018</v>
      </c>
      <c r="E1920" s="6" t="s">
        <v>47</v>
      </c>
      <c r="F1920" s="6" t="s">
        <v>656</v>
      </c>
      <c r="G1920" s="7">
        <v>1283.28</v>
      </c>
    </row>
    <row r="1921" spans="1:7" x14ac:dyDescent="0.3">
      <c r="A1921" s="18">
        <v>46025</v>
      </c>
      <c r="B1921" s="18" t="s">
        <v>134</v>
      </c>
      <c r="C1921" s="18" t="s">
        <v>648</v>
      </c>
      <c r="D1921" s="6" t="s">
        <v>325</v>
      </c>
      <c r="E1921" s="6" t="s">
        <v>47</v>
      </c>
      <c r="F1921" s="6" t="s">
        <v>656</v>
      </c>
      <c r="G1921" s="7">
        <v>948</v>
      </c>
    </row>
    <row r="1922" spans="1:7" x14ac:dyDescent="0.3">
      <c r="A1922" s="18">
        <v>46054</v>
      </c>
      <c r="B1922" s="18" t="s">
        <v>134</v>
      </c>
      <c r="C1922" s="18" t="s">
        <v>648</v>
      </c>
      <c r="D1922" s="6" t="s">
        <v>458</v>
      </c>
      <c r="E1922" s="6" t="s">
        <v>13</v>
      </c>
      <c r="F1922" s="6" t="s">
        <v>656</v>
      </c>
      <c r="G1922" s="7">
        <v>100.29</v>
      </c>
    </row>
    <row r="1923" spans="1:7" x14ac:dyDescent="0.3">
      <c r="A1923" s="18">
        <v>46195</v>
      </c>
      <c r="B1923" s="18" t="s">
        <v>134</v>
      </c>
      <c r="C1923" s="18" t="s">
        <v>648</v>
      </c>
      <c r="D1923" s="6" t="s">
        <v>1108</v>
      </c>
      <c r="E1923" s="6" t="s">
        <v>47</v>
      </c>
      <c r="F1923" s="6" t="s">
        <v>656</v>
      </c>
      <c r="G1923" s="7">
        <v>256.61</v>
      </c>
    </row>
    <row r="1924" spans="1:7" x14ac:dyDescent="0.3">
      <c r="A1924" s="18">
        <v>46113</v>
      </c>
      <c r="B1924" s="18" t="s">
        <v>134</v>
      </c>
      <c r="C1924" s="18" t="s">
        <v>648</v>
      </c>
      <c r="D1924" s="6" t="s">
        <v>746</v>
      </c>
      <c r="E1924" s="6" t="s">
        <v>57</v>
      </c>
      <c r="F1924" s="6" t="s">
        <v>656</v>
      </c>
      <c r="G1924" s="7">
        <v>10.55</v>
      </c>
    </row>
    <row r="1925" spans="1:7" x14ac:dyDescent="0.3">
      <c r="A1925" s="18">
        <v>46111</v>
      </c>
      <c r="B1925" s="18" t="s">
        <v>134</v>
      </c>
      <c r="C1925" s="18" t="s">
        <v>648</v>
      </c>
      <c r="D1925" s="6" t="s">
        <v>605</v>
      </c>
      <c r="E1925" s="6" t="s">
        <v>47</v>
      </c>
      <c r="F1925" s="6" t="s">
        <v>656</v>
      </c>
      <c r="G1925" s="7">
        <v>259</v>
      </c>
    </row>
    <row r="1926" spans="1:7" x14ac:dyDescent="0.3">
      <c r="A1926" s="18">
        <v>46173</v>
      </c>
      <c r="B1926" s="18" t="s">
        <v>134</v>
      </c>
      <c r="C1926" s="18" t="s">
        <v>648</v>
      </c>
      <c r="D1926" s="6" t="s">
        <v>946</v>
      </c>
      <c r="E1926" s="6" t="s">
        <v>47</v>
      </c>
      <c r="F1926" s="6" t="s">
        <v>656</v>
      </c>
      <c r="G1926" s="7">
        <v>178.02</v>
      </c>
    </row>
    <row r="1927" spans="1:7" x14ac:dyDescent="0.3">
      <c r="A1927" s="18">
        <v>46172</v>
      </c>
      <c r="B1927" s="18" t="s">
        <v>134</v>
      </c>
      <c r="C1927" s="18" t="s">
        <v>648</v>
      </c>
      <c r="D1927" s="6" t="s">
        <v>940</v>
      </c>
      <c r="E1927" s="6" t="s">
        <v>47</v>
      </c>
      <c r="F1927" s="6" t="s">
        <v>656</v>
      </c>
      <c r="G1927" s="7">
        <v>396.72</v>
      </c>
    </row>
    <row r="1928" spans="1:7" x14ac:dyDescent="0.3">
      <c r="A1928" s="18">
        <v>46107</v>
      </c>
      <c r="B1928" s="18" t="s">
        <v>134</v>
      </c>
      <c r="C1928" s="18" t="s">
        <v>648</v>
      </c>
      <c r="D1928" s="6" t="s">
        <v>585</v>
      </c>
      <c r="E1928" s="6" t="s">
        <v>47</v>
      </c>
      <c r="F1928" s="6" t="s">
        <v>656</v>
      </c>
      <c r="G1928" s="7">
        <v>621.55999999999995</v>
      </c>
    </row>
    <row r="1929" spans="1:7" x14ac:dyDescent="0.3">
      <c r="A1929" s="18">
        <v>46109</v>
      </c>
      <c r="B1929" s="18" t="s">
        <v>134</v>
      </c>
      <c r="C1929" s="18" t="s">
        <v>648</v>
      </c>
      <c r="D1929" s="6" t="s">
        <v>585</v>
      </c>
      <c r="E1929" s="6" t="s">
        <v>47</v>
      </c>
      <c r="F1929" s="6" t="s">
        <v>656</v>
      </c>
      <c r="G1929" s="7">
        <v>1252.29</v>
      </c>
    </row>
    <row r="1930" spans="1:7" x14ac:dyDescent="0.3">
      <c r="A1930" s="18">
        <v>46040</v>
      </c>
      <c r="B1930" s="18" t="s">
        <v>134</v>
      </c>
      <c r="C1930" s="18" t="s">
        <v>648</v>
      </c>
      <c r="D1930" s="6" t="s">
        <v>399</v>
      </c>
      <c r="E1930" s="6" t="s">
        <v>47</v>
      </c>
      <c r="F1930" s="6" t="s">
        <v>656</v>
      </c>
      <c r="G1930" s="7">
        <v>50</v>
      </c>
    </row>
    <row r="1931" spans="1:7" x14ac:dyDescent="0.3">
      <c r="A1931" s="18">
        <v>46040</v>
      </c>
      <c r="B1931" s="18" t="s">
        <v>134</v>
      </c>
      <c r="C1931" s="18" t="s">
        <v>648</v>
      </c>
      <c r="D1931" s="6" t="s">
        <v>399</v>
      </c>
      <c r="E1931" s="6" t="s">
        <v>47</v>
      </c>
      <c r="F1931" s="6" t="s">
        <v>656</v>
      </c>
      <c r="G1931" s="7">
        <v>58.3</v>
      </c>
    </row>
    <row r="1932" spans="1:7" x14ac:dyDescent="0.3">
      <c r="A1932" s="18">
        <v>46036</v>
      </c>
      <c r="B1932" s="18" t="s">
        <v>134</v>
      </c>
      <c r="C1932" s="18" t="s">
        <v>648</v>
      </c>
      <c r="D1932" s="6" t="s">
        <v>399</v>
      </c>
      <c r="E1932" s="6" t="s">
        <v>47</v>
      </c>
      <c r="F1932" s="6" t="s">
        <v>656</v>
      </c>
      <c r="G1932" s="7">
        <v>2449.9499999999998</v>
      </c>
    </row>
    <row r="1933" spans="1:7" x14ac:dyDescent="0.3">
      <c r="A1933" s="18">
        <v>46054</v>
      </c>
      <c r="B1933" s="18" t="s">
        <v>134</v>
      </c>
      <c r="C1933" s="18" t="s">
        <v>648</v>
      </c>
      <c r="D1933" s="6" t="s">
        <v>399</v>
      </c>
      <c r="E1933" s="6" t="s">
        <v>47</v>
      </c>
      <c r="F1933" s="6" t="s">
        <v>656</v>
      </c>
      <c r="G1933" s="7">
        <v>2449.9499999999998</v>
      </c>
    </row>
    <row r="1934" spans="1:7" x14ac:dyDescent="0.3">
      <c r="A1934" s="18">
        <v>46082</v>
      </c>
      <c r="B1934" s="18" t="s">
        <v>134</v>
      </c>
      <c r="C1934" s="18" t="s">
        <v>648</v>
      </c>
      <c r="D1934" s="6" t="s">
        <v>399</v>
      </c>
      <c r="E1934" s="6" t="s">
        <v>47</v>
      </c>
      <c r="F1934" s="6" t="s">
        <v>656</v>
      </c>
      <c r="G1934" s="7">
        <v>2449.9499999999998</v>
      </c>
    </row>
    <row r="1935" spans="1:7" x14ac:dyDescent="0.3">
      <c r="A1935" s="18">
        <v>46023</v>
      </c>
      <c r="B1935" s="18" t="s">
        <v>134</v>
      </c>
      <c r="C1935" s="18" t="s">
        <v>648</v>
      </c>
      <c r="D1935" s="6" t="s">
        <v>315</v>
      </c>
      <c r="E1935" s="6" t="s">
        <v>47</v>
      </c>
      <c r="F1935" s="6" t="s">
        <v>656</v>
      </c>
      <c r="G1935" s="7">
        <v>100</v>
      </c>
    </row>
    <row r="1936" spans="1:7" x14ac:dyDescent="0.3">
      <c r="A1936" s="18">
        <v>46108</v>
      </c>
      <c r="B1936" s="18" t="s">
        <v>134</v>
      </c>
      <c r="C1936" s="18" t="s">
        <v>648</v>
      </c>
      <c r="D1936" s="6" t="s">
        <v>594</v>
      </c>
      <c r="E1936" s="6" t="s">
        <v>47</v>
      </c>
      <c r="F1936" s="6" t="s">
        <v>656</v>
      </c>
      <c r="G1936" s="7">
        <v>533.83000000000004</v>
      </c>
    </row>
    <row r="1937" spans="1:7" x14ac:dyDescent="0.3">
      <c r="A1937" s="18">
        <v>46199</v>
      </c>
      <c r="B1937" s="18" t="s">
        <v>134</v>
      </c>
      <c r="C1937" s="18" t="s">
        <v>648</v>
      </c>
      <c r="D1937" s="6" t="s">
        <v>1120</v>
      </c>
      <c r="E1937" s="6" t="s">
        <v>47</v>
      </c>
      <c r="F1937" s="6" t="s">
        <v>656</v>
      </c>
      <c r="G1937" s="7">
        <v>1974.72</v>
      </c>
    </row>
    <row r="1938" spans="1:7" x14ac:dyDescent="0.3">
      <c r="A1938" s="18">
        <v>46066</v>
      </c>
      <c r="B1938" s="18" t="s">
        <v>134</v>
      </c>
      <c r="C1938" s="18" t="s">
        <v>648</v>
      </c>
      <c r="D1938" s="6" t="s">
        <v>471</v>
      </c>
      <c r="E1938" s="6" t="s">
        <v>47</v>
      </c>
      <c r="F1938" s="6" t="s">
        <v>656</v>
      </c>
      <c r="G1938" s="7">
        <v>15.85</v>
      </c>
    </row>
    <row r="1939" spans="1:7" x14ac:dyDescent="0.3">
      <c r="A1939" s="18">
        <v>46107</v>
      </c>
      <c r="B1939" s="18" t="s">
        <v>134</v>
      </c>
      <c r="C1939" s="18" t="s">
        <v>648</v>
      </c>
      <c r="D1939" s="6" t="s">
        <v>586</v>
      </c>
      <c r="E1939" s="6" t="s">
        <v>47</v>
      </c>
      <c r="F1939" s="6" t="s">
        <v>656</v>
      </c>
      <c r="G1939" s="7">
        <v>49.7</v>
      </c>
    </row>
    <row r="1940" spans="1:7" x14ac:dyDescent="0.3">
      <c r="A1940" s="18">
        <v>46109</v>
      </c>
      <c r="B1940" s="18" t="s">
        <v>134</v>
      </c>
      <c r="C1940" s="18" t="s">
        <v>648</v>
      </c>
      <c r="D1940" s="6" t="s">
        <v>586</v>
      </c>
      <c r="E1940" s="6" t="s">
        <v>47</v>
      </c>
      <c r="F1940" s="6" t="s">
        <v>656</v>
      </c>
      <c r="G1940" s="7">
        <v>65.73</v>
      </c>
    </row>
    <row r="1941" spans="1:7" x14ac:dyDescent="0.3">
      <c r="A1941" s="18">
        <v>46107</v>
      </c>
      <c r="B1941" s="18" t="s">
        <v>134</v>
      </c>
      <c r="C1941" s="18" t="s">
        <v>648</v>
      </c>
      <c r="D1941" s="6" t="s">
        <v>586</v>
      </c>
      <c r="E1941" s="6" t="s">
        <v>47</v>
      </c>
      <c r="F1941" s="6" t="s">
        <v>656</v>
      </c>
      <c r="G1941" s="7">
        <v>265.31</v>
      </c>
    </row>
    <row r="1942" spans="1:7" x14ac:dyDescent="0.3">
      <c r="A1942" s="18">
        <v>46107</v>
      </c>
      <c r="B1942" s="18" t="s">
        <v>134</v>
      </c>
      <c r="C1942" s="18" t="s">
        <v>648</v>
      </c>
      <c r="D1942" s="6" t="s">
        <v>586</v>
      </c>
      <c r="E1942" s="6" t="s">
        <v>47</v>
      </c>
      <c r="F1942" s="6" t="s">
        <v>656</v>
      </c>
      <c r="G1942" s="7">
        <v>339.34</v>
      </c>
    </row>
    <row r="1943" spans="1:7" x14ac:dyDescent="0.3">
      <c r="A1943" s="18">
        <v>46201</v>
      </c>
      <c r="B1943" s="18" t="s">
        <v>134</v>
      </c>
      <c r="C1943" s="18" t="s">
        <v>648</v>
      </c>
      <c r="D1943" s="6" t="s">
        <v>586</v>
      </c>
      <c r="E1943" s="6" t="s">
        <v>47</v>
      </c>
      <c r="F1943" s="6" t="s">
        <v>656</v>
      </c>
      <c r="G1943" s="7">
        <v>302.75</v>
      </c>
    </row>
    <row r="1944" spans="1:7" x14ac:dyDescent="0.3">
      <c r="A1944" s="18">
        <v>46175</v>
      </c>
      <c r="B1944" s="18" t="s">
        <v>134</v>
      </c>
      <c r="C1944" s="18" t="s">
        <v>648</v>
      </c>
      <c r="D1944" s="6" t="s">
        <v>1031</v>
      </c>
      <c r="E1944" s="6" t="s">
        <v>47</v>
      </c>
      <c r="F1944" s="6" t="s">
        <v>656</v>
      </c>
      <c r="G1944" s="7">
        <v>74.86</v>
      </c>
    </row>
    <row r="1945" spans="1:7" x14ac:dyDescent="0.3">
      <c r="A1945" s="18">
        <v>46196</v>
      </c>
      <c r="B1945" s="18" t="s">
        <v>134</v>
      </c>
      <c r="C1945" s="18" t="s">
        <v>648</v>
      </c>
      <c r="D1945" s="6" t="s">
        <v>1112</v>
      </c>
      <c r="E1945" s="6" t="s">
        <v>47</v>
      </c>
      <c r="F1945" s="6" t="s">
        <v>656</v>
      </c>
      <c r="G1945" s="7">
        <v>874.28</v>
      </c>
    </row>
    <row r="1946" spans="1:7" x14ac:dyDescent="0.3">
      <c r="A1946" s="18">
        <v>46196</v>
      </c>
      <c r="B1946" s="18" t="s">
        <v>134</v>
      </c>
      <c r="C1946" s="18" t="s">
        <v>648</v>
      </c>
      <c r="D1946" s="6" t="s">
        <v>1112</v>
      </c>
      <c r="E1946" s="6" t="s">
        <v>47</v>
      </c>
      <c r="F1946" s="6" t="s">
        <v>656</v>
      </c>
      <c r="G1946" s="7">
        <v>34.92</v>
      </c>
    </row>
    <row r="1947" spans="1:7" x14ac:dyDescent="0.3">
      <c r="A1947" s="18">
        <v>46176</v>
      </c>
      <c r="B1947" s="18" t="s">
        <v>134</v>
      </c>
      <c r="C1947" s="18" t="s">
        <v>648</v>
      </c>
      <c r="D1947" s="6" t="s">
        <v>1036</v>
      </c>
      <c r="E1947" s="6" t="s">
        <v>47</v>
      </c>
      <c r="F1947" s="6" t="s">
        <v>656</v>
      </c>
      <c r="G1947" s="7">
        <v>39837.300000000003</v>
      </c>
    </row>
    <row r="1948" spans="1:7" x14ac:dyDescent="0.3">
      <c r="A1948" s="18">
        <v>46176</v>
      </c>
      <c r="B1948" s="18" t="s">
        <v>134</v>
      </c>
      <c r="C1948" s="18" t="s">
        <v>648</v>
      </c>
      <c r="D1948" s="6" t="s">
        <v>1034</v>
      </c>
      <c r="E1948" s="6" t="s">
        <v>47</v>
      </c>
      <c r="F1948" s="6" t="s">
        <v>656</v>
      </c>
      <c r="G1948" s="7">
        <v>49.82</v>
      </c>
    </row>
    <row r="1949" spans="1:7" x14ac:dyDescent="0.3">
      <c r="A1949" s="18">
        <v>46176</v>
      </c>
      <c r="B1949" s="18" t="s">
        <v>134</v>
      </c>
      <c r="C1949" s="18" t="s">
        <v>648</v>
      </c>
      <c r="D1949" s="6" t="s">
        <v>1033</v>
      </c>
      <c r="E1949" s="6" t="s">
        <v>47</v>
      </c>
      <c r="F1949" s="6" t="s">
        <v>656</v>
      </c>
      <c r="G1949" s="7">
        <v>3081.15</v>
      </c>
    </row>
    <row r="1950" spans="1:7" x14ac:dyDescent="0.3">
      <c r="A1950" s="18">
        <v>46170</v>
      </c>
      <c r="B1950" s="18" t="s">
        <v>134</v>
      </c>
      <c r="C1950" s="18" t="s">
        <v>648</v>
      </c>
      <c r="D1950" s="6" t="s">
        <v>932</v>
      </c>
      <c r="E1950" s="6" t="s">
        <v>47</v>
      </c>
      <c r="F1950" s="6" t="s">
        <v>656</v>
      </c>
      <c r="G1950" s="7">
        <v>37.69</v>
      </c>
    </row>
    <row r="1951" spans="1:7" x14ac:dyDescent="0.3">
      <c r="A1951" s="18">
        <v>46176</v>
      </c>
      <c r="B1951" s="18" t="s">
        <v>134</v>
      </c>
      <c r="C1951" s="18" t="s">
        <v>648</v>
      </c>
      <c r="D1951" s="6" t="s">
        <v>1039</v>
      </c>
      <c r="E1951" s="6" t="s">
        <v>47</v>
      </c>
      <c r="F1951" s="6" t="s">
        <v>656</v>
      </c>
      <c r="G1951" s="7">
        <v>93.37</v>
      </c>
    </row>
    <row r="1952" spans="1:7" x14ac:dyDescent="0.3">
      <c r="A1952" s="18">
        <v>46176</v>
      </c>
      <c r="B1952" s="18" t="s">
        <v>134</v>
      </c>
      <c r="C1952" s="18" t="s">
        <v>648</v>
      </c>
      <c r="D1952" s="6" t="s">
        <v>1039</v>
      </c>
      <c r="E1952" s="6" t="s">
        <v>47</v>
      </c>
      <c r="F1952" s="6" t="s">
        <v>656</v>
      </c>
      <c r="G1952" s="7">
        <v>205.4</v>
      </c>
    </row>
    <row r="1953" spans="1:7" x14ac:dyDescent="0.3">
      <c r="A1953" s="18">
        <v>46026</v>
      </c>
      <c r="B1953" s="18" t="s">
        <v>134</v>
      </c>
      <c r="C1953" s="18" t="s">
        <v>648</v>
      </c>
      <c r="D1953" s="6" t="s">
        <v>328</v>
      </c>
      <c r="E1953" s="6" t="s">
        <v>47</v>
      </c>
      <c r="F1953" s="6" t="s">
        <v>656</v>
      </c>
      <c r="G1953" s="7">
        <v>200</v>
      </c>
    </row>
    <row r="1954" spans="1:7" x14ac:dyDescent="0.3">
      <c r="A1954" s="18">
        <v>46185</v>
      </c>
      <c r="B1954" s="18" t="s">
        <v>134</v>
      </c>
      <c r="C1954" s="18" t="s">
        <v>648</v>
      </c>
      <c r="D1954" s="6" t="s">
        <v>1093</v>
      </c>
      <c r="E1954" s="6" t="s">
        <v>47</v>
      </c>
      <c r="F1954" s="6" t="s">
        <v>656</v>
      </c>
      <c r="G1954" s="7">
        <v>19.64</v>
      </c>
    </row>
    <row r="1955" spans="1:7" x14ac:dyDescent="0.3">
      <c r="A1955" s="18">
        <v>46176</v>
      </c>
      <c r="B1955" s="18" t="s">
        <v>134</v>
      </c>
      <c r="C1955" s="18" t="s">
        <v>648</v>
      </c>
      <c r="D1955" s="6" t="s">
        <v>1040</v>
      </c>
      <c r="E1955" s="6" t="s">
        <v>47</v>
      </c>
      <c r="F1955" s="6" t="s">
        <v>656</v>
      </c>
      <c r="G1955" s="7">
        <v>49.82</v>
      </c>
    </row>
    <row r="1956" spans="1:7" x14ac:dyDescent="0.3">
      <c r="A1956" s="18">
        <v>46177</v>
      </c>
      <c r="B1956" s="18" t="s">
        <v>134</v>
      </c>
      <c r="C1956" s="18" t="s">
        <v>648</v>
      </c>
      <c r="D1956" s="6" t="s">
        <v>1040</v>
      </c>
      <c r="E1956" s="6" t="s">
        <v>47</v>
      </c>
      <c r="F1956" s="6" t="s">
        <v>656</v>
      </c>
      <c r="G1956" s="7">
        <v>12.5</v>
      </c>
    </row>
    <row r="1957" spans="1:7" x14ac:dyDescent="0.3">
      <c r="A1957" s="18">
        <v>46024</v>
      </c>
      <c r="B1957" s="18" t="s">
        <v>134</v>
      </c>
      <c r="C1957" s="18" t="s">
        <v>648</v>
      </c>
      <c r="D1957" s="6" t="s">
        <v>319</v>
      </c>
      <c r="E1957" s="6" t="s">
        <v>47</v>
      </c>
      <c r="F1957" s="6" t="s">
        <v>656</v>
      </c>
      <c r="G1957" s="7">
        <v>383.04</v>
      </c>
    </row>
    <row r="1958" spans="1:7" x14ac:dyDescent="0.3">
      <c r="A1958" s="18">
        <v>46171</v>
      </c>
      <c r="B1958" s="18" t="s">
        <v>134</v>
      </c>
      <c r="C1958" s="18" t="s">
        <v>648</v>
      </c>
      <c r="D1958" s="6" t="s">
        <v>934</v>
      </c>
      <c r="E1958" s="6" t="s">
        <v>47</v>
      </c>
      <c r="F1958" s="6" t="s">
        <v>656</v>
      </c>
      <c r="G1958" s="7">
        <v>789.67</v>
      </c>
    </row>
    <row r="1959" spans="1:7" x14ac:dyDescent="0.3">
      <c r="A1959" s="18">
        <v>46171</v>
      </c>
      <c r="B1959" s="18" t="s">
        <v>134</v>
      </c>
      <c r="C1959" s="18" t="s">
        <v>648</v>
      </c>
      <c r="D1959" s="6" t="s">
        <v>934</v>
      </c>
      <c r="E1959" s="6" t="s">
        <v>47</v>
      </c>
      <c r="F1959" s="6" t="s">
        <v>656</v>
      </c>
      <c r="G1959" s="7">
        <v>714.49</v>
      </c>
    </row>
    <row r="1960" spans="1:7" x14ac:dyDescent="0.3">
      <c r="A1960" s="18">
        <v>46199</v>
      </c>
      <c r="B1960" s="18" t="s">
        <v>134</v>
      </c>
      <c r="C1960" s="18" t="s">
        <v>648</v>
      </c>
      <c r="D1960" s="6" t="s">
        <v>1125</v>
      </c>
      <c r="E1960" s="6" t="s">
        <v>47</v>
      </c>
      <c r="F1960" s="6" t="s">
        <v>656</v>
      </c>
      <c r="G1960" s="7">
        <v>1360.13</v>
      </c>
    </row>
    <row r="1961" spans="1:7" x14ac:dyDescent="0.3">
      <c r="A1961" s="18">
        <v>46196</v>
      </c>
      <c r="B1961" s="18" t="s">
        <v>134</v>
      </c>
      <c r="C1961" s="18" t="s">
        <v>648</v>
      </c>
      <c r="D1961" s="6" t="s">
        <v>1110</v>
      </c>
      <c r="E1961" s="6" t="s">
        <v>47</v>
      </c>
      <c r="F1961" s="6" t="s">
        <v>656</v>
      </c>
      <c r="G1961" s="7">
        <v>46.53</v>
      </c>
    </row>
    <row r="1962" spans="1:7" x14ac:dyDescent="0.3">
      <c r="A1962" s="18">
        <v>46197</v>
      </c>
      <c r="B1962" s="18" t="s">
        <v>134</v>
      </c>
      <c r="C1962" s="18" t="s">
        <v>648</v>
      </c>
      <c r="D1962" s="6" t="s">
        <v>1110</v>
      </c>
      <c r="E1962" s="6" t="s">
        <v>47</v>
      </c>
      <c r="F1962" s="6" t="s">
        <v>656</v>
      </c>
      <c r="G1962" s="7">
        <v>72.23</v>
      </c>
    </row>
    <row r="1963" spans="1:7" x14ac:dyDescent="0.3">
      <c r="A1963" s="18">
        <v>46198</v>
      </c>
      <c r="B1963" s="18" t="s">
        <v>134</v>
      </c>
      <c r="C1963" s="18" t="s">
        <v>648</v>
      </c>
      <c r="D1963" s="6" t="s">
        <v>1110</v>
      </c>
      <c r="E1963" s="6" t="s">
        <v>47</v>
      </c>
      <c r="F1963" s="6" t="s">
        <v>656</v>
      </c>
      <c r="G1963" s="7">
        <v>153.47</v>
      </c>
    </row>
    <row r="1964" spans="1:7" x14ac:dyDescent="0.3">
      <c r="A1964" s="18">
        <v>46198</v>
      </c>
      <c r="B1964" s="23" t="s">
        <v>134</v>
      </c>
      <c r="C1964" s="23" t="s">
        <v>648</v>
      </c>
      <c r="D1964" s="6" t="s">
        <v>1110</v>
      </c>
      <c r="E1964" s="6" t="s">
        <v>47</v>
      </c>
      <c r="F1964" s="6" t="s">
        <v>656</v>
      </c>
      <c r="G1964" s="7">
        <v>70.739999999999995</v>
      </c>
    </row>
    <row r="1965" spans="1:7" x14ac:dyDescent="0.3">
      <c r="A1965" s="18">
        <v>46198</v>
      </c>
      <c r="B1965" s="18" t="s">
        <v>134</v>
      </c>
      <c r="C1965" s="18" t="s">
        <v>648</v>
      </c>
      <c r="D1965" s="6" t="s">
        <v>1110</v>
      </c>
      <c r="E1965" s="6" t="s">
        <v>47</v>
      </c>
      <c r="F1965" s="6" t="s">
        <v>656</v>
      </c>
      <c r="G1965" s="7">
        <v>704</v>
      </c>
    </row>
    <row r="1966" spans="1:7" x14ac:dyDescent="0.3">
      <c r="A1966" s="18">
        <v>46199</v>
      </c>
      <c r="B1966" s="23" t="s">
        <v>134</v>
      </c>
      <c r="C1966" s="18" t="s">
        <v>648</v>
      </c>
      <c r="D1966" s="6" t="s">
        <v>1110</v>
      </c>
      <c r="E1966" s="6" t="s">
        <v>47</v>
      </c>
      <c r="F1966" s="6" t="s">
        <v>656</v>
      </c>
      <c r="G1966" s="7">
        <v>76.180000000000007</v>
      </c>
    </row>
    <row r="1967" spans="1:7" x14ac:dyDescent="0.3">
      <c r="A1967" s="18">
        <v>46199</v>
      </c>
      <c r="B1967" s="18" t="s">
        <v>134</v>
      </c>
      <c r="C1967" s="18" t="s">
        <v>648</v>
      </c>
      <c r="D1967" s="6" t="s">
        <v>1110</v>
      </c>
      <c r="E1967" s="6" t="s">
        <v>47</v>
      </c>
      <c r="F1967" s="6" t="s">
        <v>656</v>
      </c>
      <c r="G1967" s="7">
        <v>78.55</v>
      </c>
    </row>
    <row r="1968" spans="1:7" x14ac:dyDescent="0.3">
      <c r="A1968" s="18">
        <v>46200</v>
      </c>
      <c r="B1968" s="18" t="s">
        <v>134</v>
      </c>
      <c r="C1968" s="18" t="s">
        <v>648</v>
      </c>
      <c r="D1968" s="6" t="s">
        <v>1110</v>
      </c>
      <c r="E1968" s="6" t="s">
        <v>47</v>
      </c>
      <c r="F1968" s="6" t="s">
        <v>656</v>
      </c>
      <c r="G1968" s="7">
        <v>60.22</v>
      </c>
    </row>
    <row r="1969" spans="1:7" x14ac:dyDescent="0.3">
      <c r="A1969" s="18">
        <v>46200</v>
      </c>
      <c r="B1969" s="23" t="s">
        <v>134</v>
      </c>
      <c r="C1969" s="23" t="s">
        <v>648</v>
      </c>
      <c r="D1969" s="6" t="s">
        <v>1110</v>
      </c>
      <c r="E1969" s="6" t="s">
        <v>47</v>
      </c>
      <c r="F1969" s="6" t="s">
        <v>656</v>
      </c>
      <c r="G1969" s="7">
        <v>448.46</v>
      </c>
    </row>
    <row r="1970" spans="1:7" x14ac:dyDescent="0.3">
      <c r="A1970" s="18">
        <v>46200</v>
      </c>
      <c r="B1970" s="18" t="s">
        <v>134</v>
      </c>
      <c r="C1970" s="18" t="s">
        <v>648</v>
      </c>
      <c r="D1970" s="6" t="s">
        <v>1110</v>
      </c>
      <c r="E1970" s="6" t="s">
        <v>47</v>
      </c>
      <c r="F1970" s="6" t="s">
        <v>656</v>
      </c>
      <c r="G1970" s="7">
        <v>104.17</v>
      </c>
    </row>
    <row r="1971" spans="1:7" x14ac:dyDescent="0.3">
      <c r="A1971" s="18">
        <v>46201</v>
      </c>
      <c r="B1971" s="18" t="s">
        <v>134</v>
      </c>
      <c r="C1971" s="18" t="s">
        <v>648</v>
      </c>
      <c r="D1971" s="6" t="s">
        <v>1110</v>
      </c>
      <c r="E1971" s="6" t="s">
        <v>47</v>
      </c>
      <c r="F1971" s="6" t="s">
        <v>656</v>
      </c>
      <c r="G1971" s="7">
        <v>969.25</v>
      </c>
    </row>
    <row r="1972" spans="1:7" x14ac:dyDescent="0.3">
      <c r="A1972" s="18">
        <v>46197</v>
      </c>
      <c r="B1972" s="23" t="s">
        <v>134</v>
      </c>
      <c r="C1972" s="23" t="s">
        <v>648</v>
      </c>
      <c r="D1972" s="6" t="s">
        <v>1117</v>
      </c>
      <c r="E1972" s="6" t="s">
        <v>47</v>
      </c>
      <c r="F1972" s="6" t="s">
        <v>656</v>
      </c>
      <c r="G1972" s="7">
        <v>57.75</v>
      </c>
    </row>
    <row r="1973" spans="1:7" x14ac:dyDescent="0.3">
      <c r="A1973" s="18">
        <v>46201</v>
      </c>
      <c r="B1973" s="18" t="s">
        <v>134</v>
      </c>
      <c r="C1973" s="18" t="s">
        <v>648</v>
      </c>
      <c r="D1973" s="6" t="s">
        <v>1129</v>
      </c>
      <c r="E1973" s="6" t="s">
        <v>47</v>
      </c>
      <c r="F1973" s="6" t="s">
        <v>656</v>
      </c>
      <c r="G1973" s="7">
        <v>183.52</v>
      </c>
    </row>
    <row r="1974" spans="1:7" x14ac:dyDescent="0.3">
      <c r="A1974" s="18">
        <v>46181</v>
      </c>
      <c r="B1974" s="18" t="s">
        <v>134</v>
      </c>
      <c r="C1974" s="18" t="s">
        <v>648</v>
      </c>
      <c r="D1974" s="6" t="s">
        <v>1073</v>
      </c>
      <c r="E1974" s="6" t="s">
        <v>47</v>
      </c>
      <c r="F1974" s="6" t="s">
        <v>656</v>
      </c>
      <c r="G1974" s="7">
        <v>344.87</v>
      </c>
    </row>
    <row r="1975" spans="1:7" x14ac:dyDescent="0.3">
      <c r="A1975" s="18">
        <v>46170</v>
      </c>
      <c r="B1975" s="18" t="s">
        <v>134</v>
      </c>
      <c r="C1975" s="18" t="s">
        <v>648</v>
      </c>
      <c r="D1975" s="6" t="s">
        <v>927</v>
      </c>
      <c r="E1975" s="6" t="s">
        <v>47</v>
      </c>
      <c r="F1975" s="6" t="s">
        <v>656</v>
      </c>
      <c r="G1975" s="7">
        <v>5970.08</v>
      </c>
    </row>
    <row r="1976" spans="1:7" x14ac:dyDescent="0.3">
      <c r="A1976" s="18">
        <v>46170</v>
      </c>
      <c r="B1976" s="18" t="s">
        <v>134</v>
      </c>
      <c r="C1976" s="18" t="s">
        <v>648</v>
      </c>
      <c r="D1976" s="6" t="s">
        <v>931</v>
      </c>
      <c r="E1976" s="6" t="s">
        <v>47</v>
      </c>
      <c r="F1976" s="6" t="s">
        <v>656</v>
      </c>
      <c r="G1976" s="7">
        <v>754.13</v>
      </c>
    </row>
    <row r="1977" spans="1:7" x14ac:dyDescent="0.3">
      <c r="A1977" s="18">
        <v>46170</v>
      </c>
      <c r="B1977" s="18" t="s">
        <v>134</v>
      </c>
      <c r="C1977" s="18" t="s">
        <v>648</v>
      </c>
      <c r="D1977" s="6" t="s">
        <v>930</v>
      </c>
      <c r="E1977" s="6" t="s">
        <v>47</v>
      </c>
      <c r="F1977" s="6" t="s">
        <v>656</v>
      </c>
      <c r="G1977" s="7">
        <v>6221.42</v>
      </c>
    </row>
    <row r="1978" spans="1:7" x14ac:dyDescent="0.3">
      <c r="A1978" s="18">
        <v>46183</v>
      </c>
      <c r="B1978" s="18" t="s">
        <v>134</v>
      </c>
      <c r="C1978" s="18" t="s">
        <v>648</v>
      </c>
      <c r="D1978" s="6" t="s">
        <v>1087</v>
      </c>
      <c r="E1978" s="6" t="s">
        <v>47</v>
      </c>
      <c r="F1978" s="6" t="s">
        <v>656</v>
      </c>
      <c r="G1978" s="7">
        <v>95.51</v>
      </c>
    </row>
    <row r="1979" spans="1:7" x14ac:dyDescent="0.3">
      <c r="A1979" s="18">
        <v>46067</v>
      </c>
      <c r="B1979" s="18" t="s">
        <v>134</v>
      </c>
      <c r="C1979" s="18" t="s">
        <v>648</v>
      </c>
      <c r="D1979" s="6" t="s">
        <v>475</v>
      </c>
      <c r="E1979" s="6" t="s">
        <v>47</v>
      </c>
      <c r="F1979" s="6" t="s">
        <v>656</v>
      </c>
      <c r="G1979" s="7">
        <v>505.12</v>
      </c>
    </row>
    <row r="1980" spans="1:7" x14ac:dyDescent="0.3">
      <c r="A1980" s="18">
        <v>46068</v>
      </c>
      <c r="B1980" s="18" t="s">
        <v>134</v>
      </c>
      <c r="C1980" s="18" t="s">
        <v>648</v>
      </c>
      <c r="D1980" s="6" t="s">
        <v>484</v>
      </c>
      <c r="E1980" s="6" t="s">
        <v>47</v>
      </c>
      <c r="F1980" s="6" t="s">
        <v>656</v>
      </c>
      <c r="G1980" s="7">
        <v>232.1</v>
      </c>
    </row>
    <row r="1981" spans="1:7" x14ac:dyDescent="0.3">
      <c r="A1981" s="18">
        <v>46172</v>
      </c>
      <c r="B1981" s="18" t="s">
        <v>134</v>
      </c>
      <c r="C1981" s="18" t="s">
        <v>648</v>
      </c>
      <c r="D1981" s="6" t="s">
        <v>941</v>
      </c>
      <c r="E1981" s="6" t="s">
        <v>47</v>
      </c>
      <c r="F1981" s="6" t="s">
        <v>656</v>
      </c>
      <c r="G1981" s="7">
        <v>47.87</v>
      </c>
    </row>
    <row r="1982" spans="1:7" x14ac:dyDescent="0.3">
      <c r="A1982" s="18">
        <v>46173</v>
      </c>
      <c r="B1982" s="18" t="s">
        <v>134</v>
      </c>
      <c r="C1982" s="18" t="s">
        <v>648</v>
      </c>
      <c r="D1982" s="6" t="s">
        <v>947</v>
      </c>
      <c r="E1982" s="6" t="s">
        <v>47</v>
      </c>
      <c r="F1982" s="6" t="s">
        <v>656</v>
      </c>
      <c r="G1982" s="7">
        <v>25.19</v>
      </c>
    </row>
    <row r="1983" spans="1:7" x14ac:dyDescent="0.3">
      <c r="A1983" s="18">
        <v>46170</v>
      </c>
      <c r="B1983" s="18" t="s">
        <v>134</v>
      </c>
      <c r="C1983" s="18" t="s">
        <v>648</v>
      </c>
      <c r="D1983" s="6" t="s">
        <v>924</v>
      </c>
      <c r="E1983" s="6" t="s">
        <v>47</v>
      </c>
      <c r="F1983" s="6" t="s">
        <v>656</v>
      </c>
      <c r="G1983" s="7">
        <v>94.25</v>
      </c>
    </row>
    <row r="1984" spans="1:7" x14ac:dyDescent="0.3">
      <c r="A1984" s="18">
        <v>46172</v>
      </c>
      <c r="B1984" s="23" t="s">
        <v>134</v>
      </c>
      <c r="C1984" s="23" t="s">
        <v>648</v>
      </c>
      <c r="D1984" s="6" t="s">
        <v>944</v>
      </c>
      <c r="E1984" s="6" t="s">
        <v>47</v>
      </c>
      <c r="F1984" s="6" t="s">
        <v>656</v>
      </c>
      <c r="G1984" s="7">
        <v>50.39</v>
      </c>
    </row>
    <row r="1985" spans="1:7" x14ac:dyDescent="0.3">
      <c r="A1985" s="18">
        <v>46173</v>
      </c>
      <c r="B1985" s="18" t="s">
        <v>134</v>
      </c>
      <c r="C1985" s="18" t="s">
        <v>648</v>
      </c>
      <c r="D1985" s="6" t="s">
        <v>944</v>
      </c>
      <c r="E1985" s="6" t="s">
        <v>47</v>
      </c>
      <c r="F1985" s="6" t="s">
        <v>656</v>
      </c>
      <c r="G1985" s="7">
        <v>25.19</v>
      </c>
    </row>
    <row r="1986" spans="1:7" x14ac:dyDescent="0.3">
      <c r="A1986" s="18">
        <v>46174</v>
      </c>
      <c r="B1986" s="23" t="s">
        <v>134</v>
      </c>
      <c r="C1986" s="23" t="s">
        <v>648</v>
      </c>
      <c r="D1986" s="6" t="s">
        <v>944</v>
      </c>
      <c r="E1986" s="6" t="s">
        <v>47</v>
      </c>
      <c r="F1986" s="6" t="s">
        <v>656</v>
      </c>
      <c r="G1986" s="7">
        <v>18.809999999999999</v>
      </c>
    </row>
    <row r="1987" spans="1:7" x14ac:dyDescent="0.3">
      <c r="A1987" s="18">
        <v>46196</v>
      </c>
      <c r="B1987" s="23" t="s">
        <v>134</v>
      </c>
      <c r="C1987" s="23" t="s">
        <v>648</v>
      </c>
      <c r="D1987" s="6" t="s">
        <v>1115</v>
      </c>
      <c r="E1987" s="6" t="s">
        <v>47</v>
      </c>
      <c r="F1987" s="6" t="s">
        <v>656</v>
      </c>
      <c r="G1987" s="7">
        <v>136.36000000000001</v>
      </c>
    </row>
    <row r="1988" spans="1:7" x14ac:dyDescent="0.3">
      <c r="A1988" s="18">
        <v>46107</v>
      </c>
      <c r="B1988" s="18" t="s">
        <v>134</v>
      </c>
      <c r="C1988" s="18" t="s">
        <v>648</v>
      </c>
      <c r="D1988" s="6" t="s">
        <v>588</v>
      </c>
      <c r="E1988" s="6" t="s">
        <v>47</v>
      </c>
      <c r="F1988" s="6" t="s">
        <v>656</v>
      </c>
      <c r="G1988" s="7">
        <v>89.49</v>
      </c>
    </row>
    <row r="1989" spans="1:7" x14ac:dyDescent="0.3">
      <c r="A1989" s="18">
        <v>46108</v>
      </c>
      <c r="B1989" s="23" t="s">
        <v>134</v>
      </c>
      <c r="C1989" s="23" t="s">
        <v>648</v>
      </c>
      <c r="D1989" s="6" t="s">
        <v>588</v>
      </c>
      <c r="E1989" s="6" t="s">
        <v>47</v>
      </c>
      <c r="F1989" s="6" t="s">
        <v>656</v>
      </c>
      <c r="G1989" s="7">
        <v>127.8</v>
      </c>
    </row>
    <row r="1990" spans="1:7" x14ac:dyDescent="0.3">
      <c r="A1990" s="18">
        <v>46107</v>
      </c>
      <c r="B1990" s="18" t="s">
        <v>134</v>
      </c>
      <c r="C1990" s="18" t="s">
        <v>648</v>
      </c>
      <c r="D1990" s="6" t="s">
        <v>588</v>
      </c>
      <c r="E1990" s="6" t="s">
        <v>47</v>
      </c>
      <c r="F1990" s="6" t="s">
        <v>656</v>
      </c>
      <c r="G1990" s="7">
        <v>171.17</v>
      </c>
    </row>
    <row r="1991" spans="1:7" x14ac:dyDescent="0.3">
      <c r="A1991" s="18">
        <v>46108</v>
      </c>
      <c r="B1991" s="18" t="s">
        <v>134</v>
      </c>
      <c r="C1991" s="18" t="s">
        <v>648</v>
      </c>
      <c r="D1991" s="6" t="s">
        <v>588</v>
      </c>
      <c r="E1991" s="6" t="s">
        <v>47</v>
      </c>
      <c r="F1991" s="6" t="s">
        <v>656</v>
      </c>
      <c r="G1991" s="7">
        <v>249.51</v>
      </c>
    </row>
    <row r="1992" spans="1:7" x14ac:dyDescent="0.3">
      <c r="A1992" s="18">
        <v>46109</v>
      </c>
      <c r="B1992" s="18" t="s">
        <v>134</v>
      </c>
      <c r="C1992" s="18" t="s">
        <v>648</v>
      </c>
      <c r="D1992" s="6" t="s">
        <v>588</v>
      </c>
      <c r="E1992" s="6" t="s">
        <v>47</v>
      </c>
      <c r="F1992" s="6" t="s">
        <v>656</v>
      </c>
      <c r="G1992" s="7">
        <v>249.84</v>
      </c>
    </row>
    <row r="1993" spans="1:7" x14ac:dyDescent="0.3">
      <c r="A1993" s="18">
        <v>46108</v>
      </c>
      <c r="B1993" s="18" t="s">
        <v>134</v>
      </c>
      <c r="C1993" s="18" t="s">
        <v>648</v>
      </c>
      <c r="D1993" s="6" t="s">
        <v>588</v>
      </c>
      <c r="E1993" s="6" t="s">
        <v>47</v>
      </c>
      <c r="F1993" s="6" t="s">
        <v>656</v>
      </c>
      <c r="G1993" s="7">
        <v>310.5</v>
      </c>
    </row>
    <row r="1994" spans="1:7" x14ac:dyDescent="0.3">
      <c r="A1994" s="18">
        <v>46197</v>
      </c>
      <c r="B1994" s="18" t="s">
        <v>134</v>
      </c>
      <c r="C1994" s="18" t="s">
        <v>648</v>
      </c>
      <c r="D1994" s="6" t="s">
        <v>588</v>
      </c>
      <c r="E1994" s="6" t="s">
        <v>47</v>
      </c>
      <c r="F1994" s="6" t="s">
        <v>656</v>
      </c>
      <c r="G1994" s="7">
        <v>97.74</v>
      </c>
    </row>
    <row r="1995" spans="1:7" x14ac:dyDescent="0.3">
      <c r="A1995" s="18">
        <v>46197</v>
      </c>
      <c r="B1995" s="23" t="s">
        <v>134</v>
      </c>
      <c r="C1995" s="23" t="s">
        <v>648</v>
      </c>
      <c r="D1995" s="6" t="s">
        <v>588</v>
      </c>
      <c r="E1995" s="6" t="s">
        <v>47</v>
      </c>
      <c r="F1995" s="6" t="s">
        <v>656</v>
      </c>
      <c r="G1995" s="7">
        <v>215</v>
      </c>
    </row>
    <row r="1996" spans="1:7" x14ac:dyDescent="0.3">
      <c r="A1996" s="18">
        <v>46197</v>
      </c>
      <c r="B1996" s="18" t="s">
        <v>134</v>
      </c>
      <c r="C1996" s="18" t="s">
        <v>648</v>
      </c>
      <c r="D1996" s="6" t="s">
        <v>588</v>
      </c>
      <c r="E1996" s="6" t="s">
        <v>47</v>
      </c>
      <c r="F1996" s="6" t="s">
        <v>656</v>
      </c>
      <c r="G1996" s="7">
        <v>195.48</v>
      </c>
    </row>
    <row r="1997" spans="1:7" x14ac:dyDescent="0.3">
      <c r="A1997" s="18">
        <v>46181</v>
      </c>
      <c r="B1997" s="18" t="s">
        <v>134</v>
      </c>
      <c r="C1997" s="18" t="s">
        <v>648</v>
      </c>
      <c r="D1997" s="6" t="s">
        <v>1070</v>
      </c>
      <c r="E1997" s="6" t="s">
        <v>47</v>
      </c>
      <c r="F1997" s="6" t="s">
        <v>656</v>
      </c>
      <c r="G1997" s="7">
        <v>766.33</v>
      </c>
    </row>
    <row r="1998" spans="1:7" x14ac:dyDescent="0.3">
      <c r="A1998" s="18">
        <v>46184</v>
      </c>
      <c r="B1998" s="23" t="s">
        <v>134</v>
      </c>
      <c r="C1998" s="23" t="s">
        <v>648</v>
      </c>
      <c r="D1998" s="6" t="s">
        <v>370</v>
      </c>
      <c r="E1998" s="6" t="s">
        <v>47</v>
      </c>
      <c r="F1998" s="6" t="s">
        <v>656</v>
      </c>
      <c r="G1998" s="7">
        <v>5.95</v>
      </c>
    </row>
    <row r="1999" spans="1:7" x14ac:dyDescent="0.3">
      <c r="A1999" s="18">
        <v>46180</v>
      </c>
      <c r="B1999" s="23" t="s">
        <v>134</v>
      </c>
      <c r="C1999" s="23" t="s">
        <v>648</v>
      </c>
      <c r="D1999" s="6" t="s">
        <v>1067</v>
      </c>
      <c r="E1999" s="6" t="s">
        <v>47</v>
      </c>
      <c r="F1999" s="6" t="s">
        <v>656</v>
      </c>
      <c r="G1999" s="7">
        <v>162.85</v>
      </c>
    </row>
    <row r="2000" spans="1:7" x14ac:dyDescent="0.3">
      <c r="A2000" s="18">
        <v>46173</v>
      </c>
      <c r="B2000" s="23" t="s">
        <v>134</v>
      </c>
      <c r="C2000" s="23" t="s">
        <v>648</v>
      </c>
      <c r="D2000" s="6" t="s">
        <v>945</v>
      </c>
      <c r="E2000" s="6" t="s">
        <v>47</v>
      </c>
      <c r="F2000" s="6" t="s">
        <v>656</v>
      </c>
      <c r="G2000" s="7">
        <v>22.03</v>
      </c>
    </row>
    <row r="2001" spans="1:7" x14ac:dyDescent="0.3">
      <c r="A2001" s="18">
        <v>46111</v>
      </c>
      <c r="B2001" s="23" t="s">
        <v>134</v>
      </c>
      <c r="C2001" s="23" t="s">
        <v>648</v>
      </c>
      <c r="D2001" s="6" t="s">
        <v>610</v>
      </c>
      <c r="E2001" s="6" t="s">
        <v>47</v>
      </c>
      <c r="F2001" s="6" t="s">
        <v>656</v>
      </c>
      <c r="G2001" s="7">
        <v>415.78</v>
      </c>
    </row>
    <row r="2002" spans="1:7" x14ac:dyDescent="0.3">
      <c r="A2002" s="18">
        <v>46177</v>
      </c>
      <c r="B2002" s="23" t="s">
        <v>134</v>
      </c>
      <c r="C2002" s="23" t="s">
        <v>648</v>
      </c>
      <c r="D2002" s="6" t="s">
        <v>1045</v>
      </c>
      <c r="E2002" s="6" t="s">
        <v>47</v>
      </c>
      <c r="F2002" s="6" t="s">
        <v>656</v>
      </c>
      <c r="G2002" s="7">
        <v>249.56</v>
      </c>
    </row>
    <row r="2003" spans="1:7" x14ac:dyDescent="0.3">
      <c r="A2003" s="18">
        <v>46170</v>
      </c>
      <c r="B2003" s="18" t="s">
        <v>134</v>
      </c>
      <c r="C2003" s="18" t="s">
        <v>648</v>
      </c>
      <c r="D2003" s="6" t="s">
        <v>933</v>
      </c>
      <c r="E2003" s="6" t="s">
        <v>47</v>
      </c>
      <c r="F2003" s="6" t="s">
        <v>656</v>
      </c>
      <c r="G2003" s="7">
        <v>15.71</v>
      </c>
    </row>
    <row r="2004" spans="1:7" x14ac:dyDescent="0.3">
      <c r="A2004" s="18">
        <v>46068</v>
      </c>
      <c r="B2004" s="23" t="s">
        <v>134</v>
      </c>
      <c r="C2004" s="23" t="s">
        <v>648</v>
      </c>
      <c r="D2004" s="6" t="s">
        <v>486</v>
      </c>
      <c r="E2004" s="6" t="s">
        <v>47</v>
      </c>
      <c r="F2004" s="6" t="s">
        <v>656</v>
      </c>
      <c r="G2004" s="7">
        <v>9500</v>
      </c>
    </row>
    <row r="2005" spans="1:7" x14ac:dyDescent="0.3">
      <c r="A2005" s="18">
        <v>46179</v>
      </c>
      <c r="B2005" s="18" t="s">
        <v>134</v>
      </c>
      <c r="C2005" s="18" t="s">
        <v>648</v>
      </c>
      <c r="D2005" s="6" t="s">
        <v>1057</v>
      </c>
      <c r="E2005" s="6" t="s">
        <v>47</v>
      </c>
      <c r="F2005" s="6" t="s">
        <v>656</v>
      </c>
      <c r="G2005" s="7">
        <v>447.05</v>
      </c>
    </row>
    <row r="2006" spans="1:7" x14ac:dyDescent="0.3">
      <c r="A2006" s="18">
        <v>46176</v>
      </c>
      <c r="B2006" s="18" t="s">
        <v>134</v>
      </c>
      <c r="C2006" s="18" t="s">
        <v>648</v>
      </c>
      <c r="D2006" s="6" t="s">
        <v>1041</v>
      </c>
      <c r="E2006" s="6" t="s">
        <v>47</v>
      </c>
      <c r="F2006" s="6" t="s">
        <v>656</v>
      </c>
      <c r="G2006" s="7">
        <v>2053.64</v>
      </c>
    </row>
    <row r="2007" spans="1:7" x14ac:dyDescent="0.3">
      <c r="A2007" s="18">
        <v>46182</v>
      </c>
      <c r="B2007" s="18" t="s">
        <v>134</v>
      </c>
      <c r="C2007" s="18" t="s">
        <v>648</v>
      </c>
      <c r="D2007" s="6" t="s">
        <v>1077</v>
      </c>
      <c r="E2007" s="6" t="s">
        <v>47</v>
      </c>
      <c r="F2007" s="6" t="s">
        <v>656</v>
      </c>
      <c r="G2007" s="7">
        <v>458.87</v>
      </c>
    </row>
    <row r="2008" spans="1:7" x14ac:dyDescent="0.3">
      <c r="A2008" s="18">
        <v>46178</v>
      </c>
      <c r="B2008" s="18" t="s">
        <v>134</v>
      </c>
      <c r="C2008" s="18" t="s">
        <v>648</v>
      </c>
      <c r="D2008" s="6" t="s">
        <v>1051</v>
      </c>
      <c r="E2008" s="6" t="s">
        <v>47</v>
      </c>
      <c r="F2008" s="6" t="s">
        <v>656</v>
      </c>
      <c r="G2008" s="7">
        <v>255.39</v>
      </c>
    </row>
    <row r="2009" spans="1:7" x14ac:dyDescent="0.3">
      <c r="A2009" s="18">
        <v>46179</v>
      </c>
      <c r="B2009" s="23" t="s">
        <v>134</v>
      </c>
      <c r="C2009" s="23" t="s">
        <v>648</v>
      </c>
      <c r="D2009" s="6" t="s">
        <v>1054</v>
      </c>
      <c r="E2009" s="6"/>
      <c r="F2009" s="6" t="s">
        <v>656</v>
      </c>
      <c r="G2009" s="7">
        <v>251.61</v>
      </c>
    </row>
    <row r="2010" spans="1:7" x14ac:dyDescent="0.3">
      <c r="A2010" s="18">
        <v>46068</v>
      </c>
      <c r="B2010" s="23" t="s">
        <v>134</v>
      </c>
      <c r="C2010" s="23" t="s">
        <v>648</v>
      </c>
      <c r="D2010" s="6" t="s">
        <v>225</v>
      </c>
      <c r="E2010" s="6" t="s">
        <v>47</v>
      </c>
      <c r="F2010" s="6" t="s">
        <v>656</v>
      </c>
      <c r="G2010" s="7">
        <v>15</v>
      </c>
    </row>
    <row r="2011" spans="1:7" x14ac:dyDescent="0.3">
      <c r="A2011" s="18">
        <v>46184</v>
      </c>
      <c r="B2011" s="23" t="s">
        <v>134</v>
      </c>
      <c r="C2011" s="23" t="s">
        <v>648</v>
      </c>
      <c r="D2011" s="6" t="s">
        <v>1091</v>
      </c>
      <c r="E2011" s="6" t="s">
        <v>47</v>
      </c>
      <c r="F2011" s="6" t="s">
        <v>656</v>
      </c>
      <c r="G2011" s="7">
        <v>745.89</v>
      </c>
    </row>
    <row r="2012" spans="1:7" x14ac:dyDescent="0.3">
      <c r="A2012" s="18">
        <v>46047</v>
      </c>
      <c r="B2012" s="23" t="s">
        <v>134</v>
      </c>
      <c r="C2012" s="23" t="s">
        <v>648</v>
      </c>
      <c r="D2012" s="6" t="s">
        <v>420</v>
      </c>
      <c r="E2012" s="6" t="s">
        <v>47</v>
      </c>
      <c r="F2012" s="6" t="s">
        <v>656</v>
      </c>
      <c r="G2012" s="7">
        <v>19.84</v>
      </c>
    </row>
    <row r="2013" spans="1:7" x14ac:dyDescent="0.3">
      <c r="A2013" s="18">
        <v>46047</v>
      </c>
      <c r="B2013" s="23" t="s">
        <v>134</v>
      </c>
      <c r="C2013" s="23" t="s">
        <v>648</v>
      </c>
      <c r="D2013" s="6" t="s">
        <v>420</v>
      </c>
      <c r="E2013" s="6" t="s">
        <v>47</v>
      </c>
      <c r="F2013" s="6" t="s">
        <v>656</v>
      </c>
      <c r="G2013" s="7">
        <v>82.73</v>
      </c>
    </row>
    <row r="2014" spans="1:7" x14ac:dyDescent="0.3">
      <c r="A2014" s="18">
        <v>46054</v>
      </c>
      <c r="B2014" s="18" t="s">
        <v>134</v>
      </c>
      <c r="C2014" s="18" t="s">
        <v>648</v>
      </c>
      <c r="D2014" s="6" t="s">
        <v>420</v>
      </c>
      <c r="E2014" s="6" t="s">
        <v>13</v>
      </c>
      <c r="F2014" s="6" t="s">
        <v>656</v>
      </c>
      <c r="G2014" s="7">
        <v>962.59</v>
      </c>
    </row>
    <row r="2015" spans="1:7" x14ac:dyDescent="0.3">
      <c r="A2015" s="18">
        <v>46168</v>
      </c>
      <c r="B2015" s="23" t="s">
        <v>134</v>
      </c>
      <c r="C2015" s="18" t="s">
        <v>648</v>
      </c>
      <c r="D2015" s="6" t="s">
        <v>420</v>
      </c>
      <c r="E2015" s="6" t="s">
        <v>47</v>
      </c>
      <c r="F2015" s="6" t="s">
        <v>656</v>
      </c>
      <c r="G2015" s="7">
        <v>3975.87</v>
      </c>
    </row>
    <row r="2016" spans="1:7" x14ac:dyDescent="0.3">
      <c r="A2016" s="18">
        <v>46179</v>
      </c>
      <c r="B2016" s="23" t="s">
        <v>134</v>
      </c>
      <c r="C2016" s="23" t="s">
        <v>648</v>
      </c>
      <c r="D2016" s="6" t="s">
        <v>1055</v>
      </c>
      <c r="E2016" s="6" t="s">
        <v>47</v>
      </c>
      <c r="F2016" s="6" t="s">
        <v>656</v>
      </c>
      <c r="G2016" s="7">
        <v>63.88</v>
      </c>
    </row>
    <row r="2017" spans="1:7" x14ac:dyDescent="0.3">
      <c r="A2017" s="18">
        <v>46180</v>
      </c>
      <c r="B2017" s="23" t="s">
        <v>134</v>
      </c>
      <c r="C2017" s="23" t="s">
        <v>648</v>
      </c>
      <c r="D2017" s="6" t="s">
        <v>1055</v>
      </c>
      <c r="E2017" s="6" t="s">
        <v>47</v>
      </c>
      <c r="F2017" s="6" t="s">
        <v>656</v>
      </c>
      <c r="G2017" s="7">
        <v>63.88</v>
      </c>
    </row>
    <row r="2018" spans="1:7" x14ac:dyDescent="0.3">
      <c r="A2018" s="18">
        <v>46181</v>
      </c>
      <c r="B2018" s="23" t="s">
        <v>134</v>
      </c>
      <c r="C2018" s="23" t="s">
        <v>648</v>
      </c>
      <c r="D2018" s="6" t="s">
        <v>1068</v>
      </c>
      <c r="E2018" s="6" t="s">
        <v>47</v>
      </c>
      <c r="F2018" s="6" t="s">
        <v>656</v>
      </c>
      <c r="G2018" s="7">
        <v>138.57</v>
      </c>
    </row>
    <row r="2019" spans="1:7" x14ac:dyDescent="0.3">
      <c r="A2019" s="18">
        <v>46179</v>
      </c>
      <c r="B2019" s="23" t="s">
        <v>134</v>
      </c>
      <c r="C2019" s="23" t="s">
        <v>648</v>
      </c>
      <c r="D2019" s="6" t="s">
        <v>1059</v>
      </c>
      <c r="E2019" s="6" t="s">
        <v>47</v>
      </c>
      <c r="F2019" s="6" t="s">
        <v>656</v>
      </c>
      <c r="G2019" s="7">
        <v>660.95</v>
      </c>
    </row>
    <row r="2020" spans="1:7" x14ac:dyDescent="0.3">
      <c r="A2020" s="18">
        <v>46045</v>
      </c>
      <c r="B2020" s="23" t="s">
        <v>134</v>
      </c>
      <c r="C2020" s="23" t="s">
        <v>648</v>
      </c>
      <c r="D2020" s="6" t="s">
        <v>415</v>
      </c>
      <c r="E2020" s="6" t="s">
        <v>47</v>
      </c>
      <c r="F2020" s="6" t="s">
        <v>656</v>
      </c>
      <c r="G2020" s="7">
        <v>2521.96</v>
      </c>
    </row>
    <row r="2021" spans="1:7" x14ac:dyDescent="0.3">
      <c r="A2021" s="18">
        <v>46182</v>
      </c>
      <c r="B2021" s="23" t="s">
        <v>134</v>
      </c>
      <c r="C2021" s="23" t="s">
        <v>648</v>
      </c>
      <c r="D2021" s="6" t="s">
        <v>415</v>
      </c>
      <c r="E2021" s="6" t="s">
        <v>47</v>
      </c>
      <c r="F2021" s="6" t="s">
        <v>656</v>
      </c>
      <c r="G2021" s="7">
        <v>2820.07</v>
      </c>
    </row>
    <row r="2022" spans="1:7" x14ac:dyDescent="0.3">
      <c r="A2022" s="18">
        <v>46169</v>
      </c>
      <c r="B2022" s="18" t="s">
        <v>134</v>
      </c>
      <c r="C2022" s="18" t="s">
        <v>648</v>
      </c>
      <c r="D2022" s="6" t="s">
        <v>923</v>
      </c>
      <c r="E2022" s="6" t="s">
        <v>47</v>
      </c>
      <c r="F2022" s="6" t="s">
        <v>656</v>
      </c>
      <c r="G2022" s="7">
        <v>99.8</v>
      </c>
    </row>
    <row r="2023" spans="1:7" x14ac:dyDescent="0.3">
      <c r="A2023" s="18">
        <v>46170</v>
      </c>
      <c r="B2023" s="18" t="s">
        <v>134</v>
      </c>
      <c r="C2023" s="18" t="s">
        <v>648</v>
      </c>
      <c r="D2023" s="6" t="s">
        <v>923</v>
      </c>
      <c r="E2023" s="6" t="s">
        <v>47</v>
      </c>
      <c r="F2023" s="6" t="s">
        <v>656</v>
      </c>
      <c r="G2023" s="7">
        <v>156.5</v>
      </c>
    </row>
    <row r="2024" spans="1:7" x14ac:dyDescent="0.3">
      <c r="A2024" s="18">
        <v>46183</v>
      </c>
      <c r="B2024" s="18" t="s">
        <v>134</v>
      </c>
      <c r="C2024" s="18" t="s">
        <v>648</v>
      </c>
      <c r="D2024" s="6" t="s">
        <v>1081</v>
      </c>
      <c r="E2024" s="6" t="s">
        <v>47</v>
      </c>
      <c r="F2024" s="6" t="s">
        <v>656</v>
      </c>
      <c r="G2024" s="7">
        <v>468.06</v>
      </c>
    </row>
    <row r="2025" spans="1:7" x14ac:dyDescent="0.3">
      <c r="A2025" s="18">
        <v>46048</v>
      </c>
      <c r="B2025" s="23" t="s">
        <v>134</v>
      </c>
      <c r="C2025" s="18" t="s">
        <v>648</v>
      </c>
      <c r="D2025" s="6" t="s">
        <v>423</v>
      </c>
      <c r="E2025" s="6" t="s">
        <v>47</v>
      </c>
      <c r="F2025" s="6" t="s">
        <v>656</v>
      </c>
      <c r="G2025" s="7">
        <v>330.93</v>
      </c>
    </row>
    <row r="2026" spans="1:7" x14ac:dyDescent="0.3">
      <c r="A2026" s="18">
        <v>46170</v>
      </c>
      <c r="B2026" s="18" t="s">
        <v>134</v>
      </c>
      <c r="C2026" s="18" t="s">
        <v>648</v>
      </c>
      <c r="D2026" s="6" t="s">
        <v>929</v>
      </c>
      <c r="E2026" s="6" t="s">
        <v>47</v>
      </c>
      <c r="F2026" s="6" t="s">
        <v>656</v>
      </c>
      <c r="G2026" s="7">
        <v>138.86000000000001</v>
      </c>
    </row>
    <row r="2027" spans="1:7" x14ac:dyDescent="0.3">
      <c r="A2027" s="18">
        <v>46170</v>
      </c>
      <c r="B2027" s="18" t="s">
        <v>134</v>
      </c>
      <c r="C2027" s="18" t="s">
        <v>648</v>
      </c>
      <c r="D2027" s="6" t="s">
        <v>929</v>
      </c>
      <c r="E2027" s="6" t="s">
        <v>47</v>
      </c>
      <c r="F2027" s="6" t="s">
        <v>656</v>
      </c>
      <c r="G2027" s="7">
        <v>178.48</v>
      </c>
    </row>
    <row r="2028" spans="1:7" x14ac:dyDescent="0.3">
      <c r="A2028" s="18">
        <v>46181</v>
      </c>
      <c r="B2028" s="18" t="s">
        <v>134</v>
      </c>
      <c r="C2028" s="18" t="s">
        <v>648</v>
      </c>
      <c r="D2028" s="6" t="s">
        <v>929</v>
      </c>
      <c r="E2028" s="6" t="s">
        <v>47</v>
      </c>
      <c r="F2028" s="6" t="s">
        <v>656</v>
      </c>
      <c r="G2028" s="7">
        <v>80.72</v>
      </c>
    </row>
    <row r="2029" spans="1:7" x14ac:dyDescent="0.3">
      <c r="A2029" s="18">
        <v>46181</v>
      </c>
      <c r="B2029" s="18" t="s">
        <v>134</v>
      </c>
      <c r="C2029" s="18" t="s">
        <v>648</v>
      </c>
      <c r="D2029" s="6" t="s">
        <v>929</v>
      </c>
      <c r="E2029" s="6" t="s">
        <v>47</v>
      </c>
      <c r="F2029" s="6" t="s">
        <v>656</v>
      </c>
      <c r="G2029" s="7">
        <v>73.55</v>
      </c>
    </row>
    <row r="2030" spans="1:7" x14ac:dyDescent="0.3">
      <c r="A2030" s="18">
        <v>46181</v>
      </c>
      <c r="B2030" s="18" t="s">
        <v>134</v>
      </c>
      <c r="C2030" s="18" t="s">
        <v>648</v>
      </c>
      <c r="D2030" s="6" t="s">
        <v>929</v>
      </c>
      <c r="E2030" s="6" t="s">
        <v>47</v>
      </c>
      <c r="F2030" s="6" t="s">
        <v>656</v>
      </c>
      <c r="G2030" s="7">
        <v>91.47</v>
      </c>
    </row>
    <row r="2031" spans="1:7" x14ac:dyDescent="0.3">
      <c r="A2031" s="18">
        <v>46109</v>
      </c>
      <c r="B2031" s="18" t="s">
        <v>134</v>
      </c>
      <c r="C2031" s="18" t="s">
        <v>648</v>
      </c>
      <c r="D2031" s="6" t="s">
        <v>601</v>
      </c>
      <c r="E2031" s="6" t="s">
        <v>47</v>
      </c>
      <c r="F2031" s="6" t="s">
        <v>656</v>
      </c>
      <c r="G2031" s="7">
        <v>115.87</v>
      </c>
    </row>
    <row r="2032" spans="1:7" x14ac:dyDescent="0.3">
      <c r="A2032" s="18">
        <v>46199</v>
      </c>
      <c r="B2032" s="23" t="s">
        <v>134</v>
      </c>
      <c r="C2032" s="18" t="s">
        <v>648</v>
      </c>
      <c r="D2032" s="6" t="s">
        <v>1122</v>
      </c>
      <c r="E2032" s="6" t="s">
        <v>47</v>
      </c>
      <c r="F2032" s="6" t="s">
        <v>656</v>
      </c>
      <c r="G2032" s="7">
        <v>282.51</v>
      </c>
    </row>
    <row r="2033" spans="1:7" x14ac:dyDescent="0.3">
      <c r="A2033" s="18">
        <v>46199</v>
      </c>
      <c r="B2033" s="23" t="s">
        <v>134</v>
      </c>
      <c r="C2033" s="23" t="s">
        <v>648</v>
      </c>
      <c r="D2033" s="6" t="s">
        <v>1126</v>
      </c>
      <c r="E2033" s="6" t="s">
        <v>47</v>
      </c>
      <c r="F2033" s="6" t="s">
        <v>656</v>
      </c>
      <c r="G2033" s="7">
        <v>2336.54</v>
      </c>
    </row>
    <row r="2034" spans="1:7" x14ac:dyDescent="0.3">
      <c r="A2034" s="18">
        <v>46053</v>
      </c>
      <c r="B2034" s="23" t="s">
        <v>134</v>
      </c>
      <c r="C2034" s="23" t="s">
        <v>648</v>
      </c>
      <c r="D2034" s="6" t="s">
        <v>665</v>
      </c>
      <c r="E2034" s="6" t="s">
        <v>47</v>
      </c>
      <c r="F2034" s="6" t="s">
        <v>661</v>
      </c>
      <c r="G2034" s="7">
        <v>1075.4000000000001</v>
      </c>
    </row>
    <row r="2035" spans="1:7" x14ac:dyDescent="0.3">
      <c r="A2035" s="18">
        <v>46023</v>
      </c>
      <c r="B2035" s="18" t="s">
        <v>134</v>
      </c>
      <c r="C2035" s="18" t="s">
        <v>648</v>
      </c>
      <c r="D2035" s="6" t="s">
        <v>428</v>
      </c>
      <c r="E2035" s="6" t="s">
        <v>47</v>
      </c>
      <c r="F2035" s="6" t="s">
        <v>656</v>
      </c>
      <c r="G2035" s="7">
        <v>184.77</v>
      </c>
    </row>
    <row r="2036" spans="1:7" x14ac:dyDescent="0.3">
      <c r="A2036" s="18">
        <v>46108</v>
      </c>
      <c r="B2036" s="18" t="s">
        <v>134</v>
      </c>
      <c r="C2036" s="18" t="s">
        <v>648</v>
      </c>
      <c r="D2036" s="6" t="s">
        <v>590</v>
      </c>
      <c r="E2036" s="6" t="s">
        <v>47</v>
      </c>
      <c r="F2036" s="6" t="s">
        <v>656</v>
      </c>
      <c r="G2036" s="7">
        <v>22.68</v>
      </c>
    </row>
    <row r="2037" spans="1:7" x14ac:dyDescent="0.3">
      <c r="A2037" s="18">
        <v>46108</v>
      </c>
      <c r="B2037" s="18" t="s">
        <v>134</v>
      </c>
      <c r="C2037" s="18" t="s">
        <v>648</v>
      </c>
      <c r="D2037" s="6" t="s">
        <v>590</v>
      </c>
      <c r="E2037" s="6" t="s">
        <v>47</v>
      </c>
      <c r="F2037" s="6" t="s">
        <v>656</v>
      </c>
      <c r="G2037" s="7">
        <v>24.51</v>
      </c>
    </row>
    <row r="2038" spans="1:7" x14ac:dyDescent="0.3">
      <c r="A2038" s="18">
        <v>46108</v>
      </c>
      <c r="B2038" s="18" t="s">
        <v>134</v>
      </c>
      <c r="C2038" s="18" t="s">
        <v>648</v>
      </c>
      <c r="D2038" s="6" t="s">
        <v>592</v>
      </c>
      <c r="E2038" s="6" t="s">
        <v>47</v>
      </c>
      <c r="F2038" s="6" t="s">
        <v>656</v>
      </c>
      <c r="G2038" s="7">
        <v>889.85</v>
      </c>
    </row>
    <row r="2039" spans="1:7" x14ac:dyDescent="0.3">
      <c r="A2039" s="18">
        <v>46178</v>
      </c>
      <c r="B2039" s="18" t="s">
        <v>134</v>
      </c>
      <c r="C2039" s="18" t="s">
        <v>648</v>
      </c>
      <c r="D2039" s="6" t="s">
        <v>592</v>
      </c>
      <c r="E2039" s="6" t="s">
        <v>47</v>
      </c>
      <c r="F2039" s="6" t="s">
        <v>656</v>
      </c>
      <c r="G2039" s="7">
        <v>1144.79</v>
      </c>
    </row>
    <row r="2040" spans="1:7" x14ac:dyDescent="0.3">
      <c r="A2040" s="18">
        <v>46175</v>
      </c>
      <c r="B2040" s="18" t="s">
        <v>134</v>
      </c>
      <c r="C2040" s="18" t="s">
        <v>648</v>
      </c>
      <c r="D2040" s="6" t="s">
        <v>1028</v>
      </c>
      <c r="E2040" s="6" t="s">
        <v>47</v>
      </c>
      <c r="F2040" s="6" t="s">
        <v>656</v>
      </c>
      <c r="G2040" s="7">
        <v>10700.4</v>
      </c>
    </row>
    <row r="2041" spans="1:7" x14ac:dyDescent="0.3">
      <c r="A2041" s="18">
        <v>46199</v>
      </c>
      <c r="B2041" s="23" t="s">
        <v>134</v>
      </c>
      <c r="C2041" s="23" t="s">
        <v>648</v>
      </c>
      <c r="D2041" s="6" t="s">
        <v>1121</v>
      </c>
      <c r="E2041" s="6" t="s">
        <v>47</v>
      </c>
      <c r="F2041" s="6" t="s">
        <v>656</v>
      </c>
      <c r="G2041" s="7">
        <v>375.69</v>
      </c>
    </row>
    <row r="2042" spans="1:7" x14ac:dyDescent="0.3">
      <c r="A2042" s="18">
        <v>46183</v>
      </c>
      <c r="B2042" s="23" t="s">
        <v>134</v>
      </c>
      <c r="C2042" s="23" t="s">
        <v>648</v>
      </c>
      <c r="D2042" s="6" t="s">
        <v>1080</v>
      </c>
      <c r="E2042" s="6" t="s">
        <v>47</v>
      </c>
      <c r="F2042" s="6" t="s">
        <v>656</v>
      </c>
      <c r="G2042" s="7">
        <v>2868.46</v>
      </c>
    </row>
    <row r="2043" spans="1:7" x14ac:dyDescent="0.3">
      <c r="A2043" s="18">
        <v>46183</v>
      </c>
      <c r="B2043" s="23" t="s">
        <v>134</v>
      </c>
      <c r="C2043" s="23" t="s">
        <v>648</v>
      </c>
      <c r="D2043" s="6" t="s">
        <v>1080</v>
      </c>
      <c r="E2043" s="6" t="s">
        <v>47</v>
      </c>
      <c r="F2043" s="6" t="s">
        <v>656</v>
      </c>
      <c r="G2043" s="7">
        <v>318.52</v>
      </c>
    </row>
    <row r="2044" spans="1:7" x14ac:dyDescent="0.3">
      <c r="A2044" s="18">
        <v>46184</v>
      </c>
      <c r="B2044" s="23" t="s">
        <v>134</v>
      </c>
      <c r="C2044" s="23" t="s">
        <v>648</v>
      </c>
      <c r="D2044" s="6" t="s">
        <v>1080</v>
      </c>
      <c r="E2044" s="6" t="s">
        <v>47</v>
      </c>
      <c r="F2044" s="6" t="s">
        <v>656</v>
      </c>
      <c r="G2044" s="7">
        <v>383.15</v>
      </c>
    </row>
    <row r="2045" spans="1:7" x14ac:dyDescent="0.3">
      <c r="A2045" s="18">
        <v>46201</v>
      </c>
      <c r="B2045" s="23" t="s">
        <v>134</v>
      </c>
      <c r="C2045" s="23" t="s">
        <v>648</v>
      </c>
      <c r="D2045" s="6" t="s">
        <v>1128</v>
      </c>
      <c r="E2045" s="6" t="s">
        <v>47</v>
      </c>
      <c r="F2045" s="6" t="s">
        <v>656</v>
      </c>
      <c r="G2045" s="7">
        <v>237.22</v>
      </c>
    </row>
    <row r="2046" spans="1:7" x14ac:dyDescent="0.3">
      <c r="A2046" s="18">
        <v>46177</v>
      </c>
      <c r="B2046" s="23" t="s">
        <v>134</v>
      </c>
      <c r="C2046" s="23" t="s">
        <v>648</v>
      </c>
      <c r="D2046" s="6" t="s">
        <v>1046</v>
      </c>
      <c r="E2046" s="6" t="s">
        <v>47</v>
      </c>
      <c r="F2046" s="6" t="s">
        <v>656</v>
      </c>
      <c r="G2046" s="7">
        <v>1482.37</v>
      </c>
    </row>
    <row r="2047" spans="1:7" x14ac:dyDescent="0.3">
      <c r="A2047" s="18">
        <v>46195</v>
      </c>
      <c r="B2047" s="23" t="s">
        <v>134</v>
      </c>
      <c r="C2047" s="23" t="s">
        <v>648</v>
      </c>
      <c r="D2047" s="6" t="s">
        <v>1105</v>
      </c>
      <c r="E2047" s="6" t="s">
        <v>47</v>
      </c>
      <c r="F2047" s="6" t="s">
        <v>656</v>
      </c>
      <c r="G2047" s="7">
        <v>142.69999999999999</v>
      </c>
    </row>
    <row r="2048" spans="1:7" x14ac:dyDescent="0.3">
      <c r="A2048" s="18">
        <v>46197</v>
      </c>
      <c r="B2048" s="18" t="s">
        <v>134</v>
      </c>
      <c r="C2048" s="18" t="s">
        <v>648</v>
      </c>
      <c r="D2048" s="6" t="s">
        <v>1116</v>
      </c>
      <c r="E2048" s="6" t="s">
        <v>47</v>
      </c>
      <c r="F2048" s="6" t="s">
        <v>656</v>
      </c>
      <c r="G2048" s="7">
        <v>1829.4</v>
      </c>
    </row>
    <row r="2049" spans="1:7" x14ac:dyDescent="0.3">
      <c r="A2049" s="18">
        <v>46067</v>
      </c>
      <c r="B2049" s="23" t="s">
        <v>134</v>
      </c>
      <c r="C2049" s="23" t="s">
        <v>648</v>
      </c>
      <c r="D2049" s="6" t="s">
        <v>476</v>
      </c>
      <c r="E2049" s="6" t="s">
        <v>47</v>
      </c>
      <c r="F2049" s="6" t="s">
        <v>656</v>
      </c>
      <c r="G2049" s="7">
        <v>1</v>
      </c>
    </row>
    <row r="2050" spans="1:7" x14ac:dyDescent="0.3">
      <c r="A2050" s="18">
        <v>46067</v>
      </c>
      <c r="B2050" s="23" t="s">
        <v>134</v>
      </c>
      <c r="C2050" s="23" t="s">
        <v>648</v>
      </c>
      <c r="D2050" s="6" t="s">
        <v>476</v>
      </c>
      <c r="E2050" s="6" t="s">
        <v>47</v>
      </c>
      <c r="F2050" s="6" t="s">
        <v>656</v>
      </c>
      <c r="G2050" s="7">
        <v>87</v>
      </c>
    </row>
    <row r="2051" spans="1:7" x14ac:dyDescent="0.3">
      <c r="A2051" s="18">
        <v>46108</v>
      </c>
      <c r="B2051" s="23" t="s">
        <v>134</v>
      </c>
      <c r="C2051" s="23" t="s">
        <v>648</v>
      </c>
      <c r="D2051" s="6" t="s">
        <v>597</v>
      </c>
      <c r="E2051" s="6" t="s">
        <v>47</v>
      </c>
      <c r="F2051" s="6" t="s">
        <v>656</v>
      </c>
      <c r="G2051" s="7">
        <v>7653.21</v>
      </c>
    </row>
    <row r="2052" spans="1:7" x14ac:dyDescent="0.3">
      <c r="A2052" s="18">
        <v>46180</v>
      </c>
      <c r="B2052" s="23" t="s">
        <v>134</v>
      </c>
      <c r="C2052" s="23" t="s">
        <v>648</v>
      </c>
      <c r="D2052" s="6" t="s">
        <v>1064</v>
      </c>
      <c r="E2052" s="6" t="s">
        <v>47</v>
      </c>
      <c r="F2052" s="6" t="s">
        <v>656</v>
      </c>
      <c r="G2052" s="7">
        <v>98.97</v>
      </c>
    </row>
    <row r="2053" spans="1:7" x14ac:dyDescent="0.3">
      <c r="A2053" s="18">
        <v>46180</v>
      </c>
      <c r="B2053" s="23" t="s">
        <v>134</v>
      </c>
      <c r="C2053" s="23" t="s">
        <v>648</v>
      </c>
      <c r="D2053" s="6" t="s">
        <v>1064</v>
      </c>
      <c r="E2053" s="6" t="s">
        <v>47</v>
      </c>
      <c r="F2053" s="6" t="s">
        <v>656</v>
      </c>
      <c r="G2053" s="7">
        <v>41.5</v>
      </c>
    </row>
    <row r="2054" spans="1:7" x14ac:dyDescent="0.3">
      <c r="A2054" s="18">
        <v>46170</v>
      </c>
      <c r="B2054" s="18" t="s">
        <v>134</v>
      </c>
      <c r="C2054" s="18" t="s">
        <v>648</v>
      </c>
      <c r="D2054" s="6" t="s">
        <v>928</v>
      </c>
      <c r="E2054" s="6" t="s">
        <v>47</v>
      </c>
      <c r="F2054" s="6" t="s">
        <v>656</v>
      </c>
      <c r="G2054" s="7">
        <v>157.09</v>
      </c>
    </row>
    <row r="2055" spans="1:7" x14ac:dyDescent="0.3">
      <c r="A2055" s="18">
        <v>46174</v>
      </c>
      <c r="B2055" s="18" t="s">
        <v>134</v>
      </c>
      <c r="C2055" s="18" t="s">
        <v>648</v>
      </c>
      <c r="D2055" s="6" t="s">
        <v>1024</v>
      </c>
      <c r="E2055" s="6" t="s">
        <v>47</v>
      </c>
      <c r="F2055" s="6" t="s">
        <v>656</v>
      </c>
      <c r="G2055" s="7">
        <v>402.99</v>
      </c>
    </row>
    <row r="2056" spans="1:7" x14ac:dyDescent="0.3">
      <c r="A2056" s="18">
        <v>46072</v>
      </c>
      <c r="B2056" s="18" t="s">
        <v>134</v>
      </c>
      <c r="C2056" s="18" t="s">
        <v>648</v>
      </c>
      <c r="D2056" s="6" t="s">
        <v>503</v>
      </c>
      <c r="E2056" s="6" t="s">
        <v>47</v>
      </c>
      <c r="F2056" s="6" t="s">
        <v>656</v>
      </c>
      <c r="G2056" s="7">
        <v>4607.5600000000004</v>
      </c>
    </row>
    <row r="2057" spans="1:7" x14ac:dyDescent="0.3">
      <c r="A2057" s="18">
        <v>46109</v>
      </c>
      <c r="B2057" s="18" t="s">
        <v>134</v>
      </c>
      <c r="C2057" s="18" t="s">
        <v>648</v>
      </c>
      <c r="D2057" s="6" t="s">
        <v>598</v>
      </c>
      <c r="E2057" s="6" t="s">
        <v>47</v>
      </c>
      <c r="F2057" s="6" t="s">
        <v>656</v>
      </c>
      <c r="G2057" s="7">
        <v>8019.72</v>
      </c>
    </row>
    <row r="2058" spans="1:7" x14ac:dyDescent="0.3">
      <c r="A2058" s="18">
        <v>46048</v>
      </c>
      <c r="B2058" s="23" t="s">
        <v>134</v>
      </c>
      <c r="C2058" s="18" t="s">
        <v>648</v>
      </c>
      <c r="D2058" s="6" t="s">
        <v>421</v>
      </c>
      <c r="E2058" s="6" t="s">
        <v>47</v>
      </c>
      <c r="F2058" s="6" t="s">
        <v>656</v>
      </c>
      <c r="G2058" s="7">
        <v>59.58</v>
      </c>
    </row>
    <row r="2059" spans="1:7" x14ac:dyDescent="0.3">
      <c r="A2059" s="18">
        <v>46181</v>
      </c>
      <c r="B2059" s="18" t="s">
        <v>134</v>
      </c>
      <c r="C2059" s="18" t="s">
        <v>648</v>
      </c>
      <c r="D2059" s="6" t="s">
        <v>421</v>
      </c>
      <c r="E2059" s="6" t="s">
        <v>47</v>
      </c>
      <c r="F2059" s="6" t="s">
        <v>656</v>
      </c>
      <c r="G2059" s="7">
        <v>61.92</v>
      </c>
    </row>
    <row r="2060" spans="1:7" x14ac:dyDescent="0.3">
      <c r="A2060" s="18">
        <v>46181</v>
      </c>
      <c r="B2060" s="18" t="s">
        <v>134</v>
      </c>
      <c r="C2060" s="18" t="s">
        <v>648</v>
      </c>
      <c r="D2060" s="6" t="s">
        <v>421</v>
      </c>
      <c r="E2060" s="6" t="s">
        <v>47</v>
      </c>
      <c r="F2060" s="6" t="s">
        <v>656</v>
      </c>
      <c r="G2060" s="7">
        <v>182.02</v>
      </c>
    </row>
    <row r="2061" spans="1:7" x14ac:dyDescent="0.3">
      <c r="A2061" s="18">
        <v>46196</v>
      </c>
      <c r="B2061" s="18" t="s">
        <v>134</v>
      </c>
      <c r="C2061" s="18" t="s">
        <v>648</v>
      </c>
      <c r="D2061" s="6" t="s">
        <v>1114</v>
      </c>
      <c r="E2061" s="6" t="s">
        <v>47</v>
      </c>
      <c r="F2061" s="6" t="s">
        <v>656</v>
      </c>
      <c r="G2061" s="7">
        <v>728.66</v>
      </c>
    </row>
    <row r="2062" spans="1:7" x14ac:dyDescent="0.3">
      <c r="A2062" s="18">
        <v>46183</v>
      </c>
      <c r="B2062" s="18" t="s">
        <v>134</v>
      </c>
      <c r="C2062" s="18" t="s">
        <v>648</v>
      </c>
      <c r="D2062" s="6" t="s">
        <v>1083</v>
      </c>
      <c r="E2062" s="6" t="s">
        <v>47</v>
      </c>
      <c r="F2062" s="6" t="s">
        <v>656</v>
      </c>
      <c r="G2062" s="7">
        <v>20.38</v>
      </c>
    </row>
    <row r="2063" spans="1:7" x14ac:dyDescent="0.3">
      <c r="A2063" s="18">
        <v>46172</v>
      </c>
      <c r="B2063" s="18" t="s">
        <v>134</v>
      </c>
      <c r="C2063" s="18" t="s">
        <v>648</v>
      </c>
      <c r="D2063" s="6" t="s">
        <v>1020</v>
      </c>
      <c r="E2063" s="6" t="s">
        <v>47</v>
      </c>
      <c r="F2063" s="6" t="s">
        <v>656</v>
      </c>
      <c r="G2063" s="7">
        <v>273.91000000000003</v>
      </c>
    </row>
    <row r="2064" spans="1:7" x14ac:dyDescent="0.3">
      <c r="A2064" s="18">
        <v>46179</v>
      </c>
      <c r="B2064" s="18" t="s">
        <v>134</v>
      </c>
      <c r="C2064" s="18" t="s">
        <v>648</v>
      </c>
      <c r="D2064" s="6" t="s">
        <v>1062</v>
      </c>
      <c r="E2064" s="6" t="s">
        <v>47</v>
      </c>
      <c r="F2064" s="6" t="s">
        <v>656</v>
      </c>
      <c r="G2064" s="7">
        <v>88.92</v>
      </c>
    </row>
    <row r="2065" spans="1:7" x14ac:dyDescent="0.3">
      <c r="A2065" s="18">
        <v>46181</v>
      </c>
      <c r="B2065" s="18" t="s">
        <v>134</v>
      </c>
      <c r="C2065" s="18" t="s">
        <v>648</v>
      </c>
      <c r="D2065" s="6" t="s">
        <v>1062</v>
      </c>
      <c r="E2065" s="6" t="s">
        <v>47</v>
      </c>
      <c r="F2065" s="6" t="s">
        <v>656</v>
      </c>
      <c r="G2065" s="7">
        <v>127.7</v>
      </c>
    </row>
    <row r="2066" spans="1:7" x14ac:dyDescent="0.3">
      <c r="A2066" s="18">
        <v>46179</v>
      </c>
      <c r="B2066" s="18" t="s">
        <v>134</v>
      </c>
      <c r="C2066" s="18" t="s">
        <v>648</v>
      </c>
      <c r="D2066" s="6" t="s">
        <v>1061</v>
      </c>
      <c r="E2066" s="6" t="s">
        <v>47</v>
      </c>
      <c r="F2066" s="6" t="s">
        <v>656</v>
      </c>
      <c r="G2066" s="7">
        <v>223.52</v>
      </c>
    </row>
    <row r="2067" spans="1:7" x14ac:dyDescent="0.3">
      <c r="A2067" s="18">
        <v>46108</v>
      </c>
      <c r="B2067" s="18" t="s">
        <v>134</v>
      </c>
      <c r="C2067" s="18" t="s">
        <v>648</v>
      </c>
      <c r="D2067" s="6" t="s">
        <v>591</v>
      </c>
      <c r="E2067" s="6" t="s">
        <v>47</v>
      </c>
      <c r="F2067" s="6" t="s">
        <v>656</v>
      </c>
      <c r="G2067" s="7">
        <v>507.61</v>
      </c>
    </row>
    <row r="2068" spans="1:7" x14ac:dyDescent="0.3">
      <c r="A2068" s="18">
        <v>46178</v>
      </c>
      <c r="B2068" s="18" t="s">
        <v>134</v>
      </c>
      <c r="C2068" s="18" t="s">
        <v>648</v>
      </c>
      <c r="D2068" s="6" t="s">
        <v>1048</v>
      </c>
      <c r="E2068" s="6" t="s">
        <v>47</v>
      </c>
      <c r="F2068" s="6" t="s">
        <v>656</v>
      </c>
      <c r="G2068" s="7">
        <v>334.48</v>
      </c>
    </row>
    <row r="2069" spans="1:7" x14ac:dyDescent="0.3">
      <c r="A2069" s="18">
        <v>46178</v>
      </c>
      <c r="B2069" s="18" t="s">
        <v>134</v>
      </c>
      <c r="C2069" s="18" t="s">
        <v>648</v>
      </c>
      <c r="D2069" s="6" t="s">
        <v>1049</v>
      </c>
      <c r="E2069" s="6" t="s">
        <v>47</v>
      </c>
      <c r="F2069" s="6" t="s">
        <v>656</v>
      </c>
      <c r="G2069" s="7">
        <v>208.42</v>
      </c>
    </row>
    <row r="2070" spans="1:7" x14ac:dyDescent="0.3">
      <c r="A2070" s="18">
        <v>46174</v>
      </c>
      <c r="B2070" s="18" t="s">
        <v>134</v>
      </c>
      <c r="C2070" s="18" t="s">
        <v>648</v>
      </c>
      <c r="D2070" s="6" t="s">
        <v>1027</v>
      </c>
      <c r="E2070" s="6" t="s">
        <v>47</v>
      </c>
      <c r="F2070" s="6" t="s">
        <v>656</v>
      </c>
      <c r="G2070" s="7">
        <v>630.37</v>
      </c>
    </row>
    <row r="2071" spans="1:7" x14ac:dyDescent="0.3">
      <c r="A2071" s="18">
        <v>46069</v>
      </c>
      <c r="B2071" s="18" t="s">
        <v>134</v>
      </c>
      <c r="C2071" s="18" t="s">
        <v>648</v>
      </c>
      <c r="D2071" s="6" t="s">
        <v>489</v>
      </c>
      <c r="E2071" s="6" t="s">
        <v>47</v>
      </c>
      <c r="F2071" s="6" t="s">
        <v>656</v>
      </c>
      <c r="G2071" s="7">
        <v>40</v>
      </c>
    </row>
    <row r="2072" spans="1:7" x14ac:dyDescent="0.3">
      <c r="A2072" s="18">
        <v>46184</v>
      </c>
      <c r="B2072" s="18" t="s">
        <v>134</v>
      </c>
      <c r="C2072" s="18" t="s">
        <v>648</v>
      </c>
      <c r="D2072" s="6" t="s">
        <v>1089</v>
      </c>
      <c r="E2072" s="6" t="s">
        <v>47</v>
      </c>
      <c r="F2072" s="6" t="s">
        <v>656</v>
      </c>
      <c r="G2072" s="7">
        <v>553.29999999999995</v>
      </c>
    </row>
    <row r="2073" spans="1:7" x14ac:dyDescent="0.3">
      <c r="A2073" s="18">
        <v>46023</v>
      </c>
      <c r="B2073" s="18" t="s">
        <v>134</v>
      </c>
      <c r="C2073" s="18" t="s">
        <v>648</v>
      </c>
      <c r="D2073" s="6" t="s">
        <v>317</v>
      </c>
      <c r="E2073" s="6" t="s">
        <v>47</v>
      </c>
      <c r="F2073" s="6" t="s">
        <v>656</v>
      </c>
      <c r="G2073" s="7">
        <v>24</v>
      </c>
    </row>
    <row r="2074" spans="1:7" x14ac:dyDescent="0.3">
      <c r="A2074" s="18">
        <v>46023</v>
      </c>
      <c r="B2074" s="18" t="s">
        <v>134</v>
      </c>
      <c r="C2074" s="18" t="s">
        <v>648</v>
      </c>
      <c r="D2074" s="6" t="s">
        <v>317</v>
      </c>
      <c r="E2074" s="6" t="s">
        <v>47</v>
      </c>
      <c r="F2074" s="6" t="s">
        <v>656</v>
      </c>
      <c r="G2074" s="7">
        <v>48</v>
      </c>
    </row>
    <row r="2075" spans="1:7" x14ac:dyDescent="0.3">
      <c r="A2075" s="18">
        <v>46026</v>
      </c>
      <c r="B2075" s="18" t="s">
        <v>134</v>
      </c>
      <c r="C2075" s="18" t="s">
        <v>648</v>
      </c>
      <c r="D2075" s="6" t="s">
        <v>317</v>
      </c>
      <c r="E2075" s="6" t="s">
        <v>47</v>
      </c>
      <c r="F2075" s="6" t="s">
        <v>656</v>
      </c>
      <c r="G2075" s="7">
        <v>66</v>
      </c>
    </row>
    <row r="2076" spans="1:7" x14ac:dyDescent="0.3">
      <c r="A2076" s="18">
        <v>46024</v>
      </c>
      <c r="B2076" s="18" t="s">
        <v>134</v>
      </c>
      <c r="C2076" s="18" t="s">
        <v>648</v>
      </c>
      <c r="D2076" s="6" t="s">
        <v>317</v>
      </c>
      <c r="E2076" s="6" t="s">
        <v>47</v>
      </c>
      <c r="F2076" s="6" t="s">
        <v>656</v>
      </c>
      <c r="G2076" s="7">
        <v>191.4</v>
      </c>
    </row>
    <row r="2077" spans="1:7" x14ac:dyDescent="0.3">
      <c r="A2077" s="18">
        <v>46196</v>
      </c>
      <c r="B2077" s="18" t="s">
        <v>134</v>
      </c>
      <c r="C2077" s="18" t="s">
        <v>648</v>
      </c>
      <c r="D2077" s="6" t="s">
        <v>1109</v>
      </c>
      <c r="E2077" s="6" t="s">
        <v>47</v>
      </c>
      <c r="F2077" s="6" t="s">
        <v>656</v>
      </c>
      <c r="G2077" s="7">
        <v>1417</v>
      </c>
    </row>
    <row r="2078" spans="1:7" x14ac:dyDescent="0.3">
      <c r="A2078" s="18">
        <v>46047</v>
      </c>
      <c r="B2078" s="18" t="s">
        <v>134</v>
      </c>
      <c r="C2078" s="18" t="s">
        <v>648</v>
      </c>
      <c r="D2078" s="6" t="s">
        <v>418</v>
      </c>
      <c r="E2078" s="6" t="s">
        <v>47</v>
      </c>
      <c r="F2078" s="6" t="s">
        <v>656</v>
      </c>
      <c r="G2078" s="7">
        <v>16.87</v>
      </c>
    </row>
    <row r="2079" spans="1:7" x14ac:dyDescent="0.3">
      <c r="A2079" s="18">
        <v>46045</v>
      </c>
      <c r="B2079" s="18" t="s">
        <v>134</v>
      </c>
      <c r="C2079" s="18" t="s">
        <v>648</v>
      </c>
      <c r="D2079" s="6" t="s">
        <v>418</v>
      </c>
      <c r="E2079" s="6" t="s">
        <v>47</v>
      </c>
      <c r="F2079" s="6" t="s">
        <v>656</v>
      </c>
      <c r="G2079" s="7">
        <v>33.9</v>
      </c>
    </row>
    <row r="2080" spans="1:7" x14ac:dyDescent="0.3">
      <c r="A2080" s="18">
        <v>46048</v>
      </c>
      <c r="B2080" s="18" t="s">
        <v>134</v>
      </c>
      <c r="C2080" s="18" t="s">
        <v>648</v>
      </c>
      <c r="D2080" s="6" t="s">
        <v>418</v>
      </c>
      <c r="E2080" s="6" t="s">
        <v>47</v>
      </c>
      <c r="F2080" s="6" t="s">
        <v>656</v>
      </c>
      <c r="G2080" s="7">
        <v>92.65</v>
      </c>
    </row>
    <row r="2081" spans="1:7" x14ac:dyDescent="0.3">
      <c r="A2081" s="18">
        <v>46168</v>
      </c>
      <c r="B2081" s="18" t="s">
        <v>134</v>
      </c>
      <c r="C2081" s="18" t="s">
        <v>648</v>
      </c>
      <c r="D2081" s="6" t="s">
        <v>418</v>
      </c>
      <c r="E2081" s="6" t="s">
        <v>47</v>
      </c>
      <c r="F2081" s="6" t="s">
        <v>656</v>
      </c>
      <c r="G2081" s="7">
        <v>302.69</v>
      </c>
    </row>
    <row r="2082" spans="1:7" x14ac:dyDescent="0.3">
      <c r="A2082" s="18">
        <v>46183</v>
      </c>
      <c r="B2082" s="18" t="s">
        <v>134</v>
      </c>
      <c r="C2082" s="18" t="s">
        <v>648</v>
      </c>
      <c r="D2082" s="6" t="s">
        <v>418</v>
      </c>
      <c r="E2082" s="6" t="s">
        <v>47</v>
      </c>
      <c r="F2082" s="6" t="s">
        <v>661</v>
      </c>
      <c r="G2082" s="7">
        <v>44.89</v>
      </c>
    </row>
    <row r="2083" spans="1:7" x14ac:dyDescent="0.3">
      <c r="A2083" s="18">
        <v>46171</v>
      </c>
      <c r="B2083" s="18" t="s">
        <v>134</v>
      </c>
      <c r="C2083" s="18" t="s">
        <v>648</v>
      </c>
      <c r="D2083" s="6" t="s">
        <v>418</v>
      </c>
      <c r="E2083" s="6" t="s">
        <v>47</v>
      </c>
      <c r="F2083" s="6" t="s">
        <v>656</v>
      </c>
      <c r="G2083" s="7">
        <v>15.96</v>
      </c>
    </row>
    <row r="2084" spans="1:7" x14ac:dyDescent="0.3">
      <c r="A2084" s="18">
        <v>46171</v>
      </c>
      <c r="B2084" s="18" t="s">
        <v>134</v>
      </c>
      <c r="C2084" s="18" t="s">
        <v>648</v>
      </c>
      <c r="D2084" s="6" t="s">
        <v>418</v>
      </c>
      <c r="E2084" s="6" t="s">
        <v>47</v>
      </c>
      <c r="F2084" s="6" t="s">
        <v>656</v>
      </c>
      <c r="G2084" s="7">
        <v>15.96</v>
      </c>
    </row>
    <row r="2085" spans="1:7" x14ac:dyDescent="0.3">
      <c r="A2085" s="18">
        <v>46182</v>
      </c>
      <c r="B2085" s="18" t="s">
        <v>134</v>
      </c>
      <c r="C2085" s="18" t="s">
        <v>648</v>
      </c>
      <c r="D2085" s="6" t="s">
        <v>418</v>
      </c>
      <c r="E2085" s="6" t="s">
        <v>47</v>
      </c>
      <c r="F2085" s="6" t="s">
        <v>656</v>
      </c>
      <c r="G2085" s="7">
        <v>64.989999999999995</v>
      </c>
    </row>
    <row r="2086" spans="1:7" x14ac:dyDescent="0.3">
      <c r="A2086" s="18">
        <v>46182</v>
      </c>
      <c r="B2086" s="18" t="s">
        <v>134</v>
      </c>
      <c r="C2086" s="18" t="s">
        <v>648</v>
      </c>
      <c r="D2086" s="6" t="s">
        <v>418</v>
      </c>
      <c r="E2086" s="6" t="s">
        <v>47</v>
      </c>
      <c r="F2086" s="6" t="s">
        <v>656</v>
      </c>
      <c r="G2086" s="7">
        <v>64.989999999999995</v>
      </c>
    </row>
    <row r="2087" spans="1:7" x14ac:dyDescent="0.3">
      <c r="A2087" s="18">
        <v>46181</v>
      </c>
      <c r="B2087" s="18" t="s">
        <v>134</v>
      </c>
      <c r="C2087" s="18" t="s">
        <v>648</v>
      </c>
      <c r="D2087" s="6" t="s">
        <v>1069</v>
      </c>
      <c r="E2087" s="6" t="s">
        <v>47</v>
      </c>
      <c r="F2087" s="6" t="s">
        <v>656</v>
      </c>
      <c r="G2087" s="7">
        <v>45.36</v>
      </c>
    </row>
    <row r="2088" spans="1:7" x14ac:dyDescent="0.3">
      <c r="A2088" s="18">
        <v>46168</v>
      </c>
      <c r="B2088" s="18" t="s">
        <v>134</v>
      </c>
      <c r="C2088" s="18" t="s">
        <v>648</v>
      </c>
      <c r="D2088" s="6" t="s">
        <v>916</v>
      </c>
      <c r="E2088" s="6" t="s">
        <v>47</v>
      </c>
      <c r="F2088" s="6" t="s">
        <v>656</v>
      </c>
      <c r="G2088" s="7">
        <v>558.25</v>
      </c>
    </row>
    <row r="2089" spans="1:7" x14ac:dyDescent="0.3">
      <c r="A2089" s="18">
        <v>46177</v>
      </c>
      <c r="B2089" s="18" t="s">
        <v>134</v>
      </c>
      <c r="C2089" s="18" t="s">
        <v>648</v>
      </c>
      <c r="D2089" s="6" t="s">
        <v>1047</v>
      </c>
      <c r="E2089" s="6" t="s">
        <v>47</v>
      </c>
      <c r="F2089" s="6" t="s">
        <v>656</v>
      </c>
      <c r="G2089" s="7">
        <v>213.49</v>
      </c>
    </row>
    <row r="2090" spans="1:7" x14ac:dyDescent="0.3">
      <c r="A2090" s="18">
        <v>46172</v>
      </c>
      <c r="B2090" s="18" t="s">
        <v>134</v>
      </c>
      <c r="C2090" s="18" t="s">
        <v>648</v>
      </c>
      <c r="D2090" s="6" t="s">
        <v>942</v>
      </c>
      <c r="E2090" s="6" t="s">
        <v>47</v>
      </c>
      <c r="F2090" s="6" t="s">
        <v>656</v>
      </c>
      <c r="G2090" s="7">
        <v>164.35</v>
      </c>
    </row>
    <row r="2091" spans="1:7" x14ac:dyDescent="0.3">
      <c r="A2091" s="18">
        <v>46184</v>
      </c>
      <c r="B2091" s="18" t="s">
        <v>134</v>
      </c>
      <c r="C2091" s="18" t="s">
        <v>648</v>
      </c>
      <c r="D2091" s="6" t="s">
        <v>1088</v>
      </c>
      <c r="E2091" s="6" t="s">
        <v>47</v>
      </c>
      <c r="F2091" s="6" t="s">
        <v>656</v>
      </c>
      <c r="G2091" s="7">
        <v>58.93</v>
      </c>
    </row>
    <row r="2092" spans="1:7" x14ac:dyDescent="0.3">
      <c r="A2092" s="18">
        <v>46083</v>
      </c>
      <c r="B2092" s="18" t="s">
        <v>134</v>
      </c>
      <c r="C2092" s="18" t="s">
        <v>648</v>
      </c>
      <c r="D2092" s="6" t="s">
        <v>531</v>
      </c>
      <c r="E2092" s="6" t="s">
        <v>47</v>
      </c>
      <c r="F2092" s="6" t="s">
        <v>656</v>
      </c>
      <c r="G2092" s="7">
        <v>46.72</v>
      </c>
    </row>
    <row r="2093" spans="1:7" x14ac:dyDescent="0.3">
      <c r="A2093" s="18">
        <v>46199</v>
      </c>
      <c r="B2093" s="18" t="s">
        <v>134</v>
      </c>
      <c r="C2093" s="18" t="s">
        <v>648</v>
      </c>
      <c r="D2093" s="6" t="s">
        <v>1124</v>
      </c>
      <c r="E2093" s="6" t="s">
        <v>47</v>
      </c>
      <c r="F2093" s="6" t="s">
        <v>656</v>
      </c>
      <c r="G2093" s="7">
        <v>46.81</v>
      </c>
    </row>
    <row r="2094" spans="1:7" x14ac:dyDescent="0.3">
      <c r="A2094" s="18">
        <v>46176</v>
      </c>
      <c r="B2094" s="18" t="s">
        <v>134</v>
      </c>
      <c r="C2094" s="18" t="s">
        <v>648</v>
      </c>
      <c r="D2094" s="6" t="s">
        <v>1035</v>
      </c>
      <c r="E2094" s="6" t="s">
        <v>47</v>
      </c>
      <c r="F2094" s="6" t="s">
        <v>656</v>
      </c>
      <c r="G2094" s="7">
        <v>15.58</v>
      </c>
    </row>
    <row r="2095" spans="1:7" x14ac:dyDescent="0.3">
      <c r="A2095" s="18">
        <v>46069</v>
      </c>
      <c r="B2095" s="18" t="s">
        <v>134</v>
      </c>
      <c r="C2095" s="18" t="s">
        <v>648</v>
      </c>
      <c r="D2095" s="6" t="s">
        <v>487</v>
      </c>
      <c r="E2095" s="6" t="s">
        <v>47</v>
      </c>
      <c r="F2095" s="6" t="s">
        <v>656</v>
      </c>
      <c r="G2095" s="7">
        <v>569.83000000000004</v>
      </c>
    </row>
    <row r="2096" spans="1:7" x14ac:dyDescent="0.3">
      <c r="A2096" s="18">
        <v>46183</v>
      </c>
      <c r="B2096" s="18" t="s">
        <v>134</v>
      </c>
      <c r="C2096" s="18" t="s">
        <v>648</v>
      </c>
      <c r="D2096" s="6" t="s">
        <v>1086</v>
      </c>
      <c r="E2096" s="6" t="s">
        <v>47</v>
      </c>
      <c r="F2096" s="6" t="s">
        <v>656</v>
      </c>
      <c r="G2096" s="7">
        <v>3970.66</v>
      </c>
    </row>
    <row r="2097" spans="1:7" x14ac:dyDescent="0.3">
      <c r="A2097" s="18">
        <v>46168</v>
      </c>
      <c r="B2097" s="18" t="s">
        <v>134</v>
      </c>
      <c r="C2097" s="18" t="s">
        <v>648</v>
      </c>
      <c r="D2097" s="6" t="s">
        <v>919</v>
      </c>
      <c r="E2097" s="6" t="s">
        <v>47</v>
      </c>
      <c r="F2097" s="6" t="s">
        <v>656</v>
      </c>
      <c r="G2097" s="7">
        <v>725.92</v>
      </c>
    </row>
    <row r="2098" spans="1:7" x14ac:dyDescent="0.3">
      <c r="A2098" s="18">
        <v>46171</v>
      </c>
      <c r="B2098" s="18" t="s">
        <v>134</v>
      </c>
      <c r="C2098" s="18" t="s">
        <v>648</v>
      </c>
      <c r="D2098" s="6" t="s">
        <v>919</v>
      </c>
      <c r="E2098" s="6" t="s">
        <v>47</v>
      </c>
      <c r="F2098" s="6" t="s">
        <v>656</v>
      </c>
      <c r="G2098" s="7">
        <v>482.57</v>
      </c>
    </row>
    <row r="2099" spans="1:7" x14ac:dyDescent="0.3">
      <c r="A2099" s="18">
        <v>46181</v>
      </c>
      <c r="B2099" s="18" t="s">
        <v>134</v>
      </c>
      <c r="C2099" s="18" t="s">
        <v>648</v>
      </c>
      <c r="D2099" s="6" t="s">
        <v>1072</v>
      </c>
      <c r="E2099" s="6" t="s">
        <v>47</v>
      </c>
      <c r="F2099" s="6" t="s">
        <v>656</v>
      </c>
      <c r="G2099" s="7">
        <v>18.52</v>
      </c>
    </row>
    <row r="2100" spans="1:7" x14ac:dyDescent="0.3">
      <c r="A2100" s="18">
        <v>46181</v>
      </c>
      <c r="B2100" s="18" t="s">
        <v>134</v>
      </c>
      <c r="C2100" s="18" t="s">
        <v>648</v>
      </c>
      <c r="D2100" s="6" t="s">
        <v>1072</v>
      </c>
      <c r="E2100" s="6" t="s">
        <v>47</v>
      </c>
      <c r="F2100" s="6" t="s">
        <v>656</v>
      </c>
      <c r="G2100" s="7">
        <v>18.52</v>
      </c>
    </row>
    <row r="2101" spans="1:7" x14ac:dyDescent="0.3">
      <c r="A2101" s="18">
        <v>46181</v>
      </c>
      <c r="B2101" s="18" t="s">
        <v>134</v>
      </c>
      <c r="C2101" s="18" t="s">
        <v>648</v>
      </c>
      <c r="D2101" s="6" t="s">
        <v>1072</v>
      </c>
      <c r="E2101" s="6" t="s">
        <v>47</v>
      </c>
      <c r="F2101" s="6" t="s">
        <v>656</v>
      </c>
      <c r="G2101" s="7">
        <v>19.77</v>
      </c>
    </row>
    <row r="2102" spans="1:7" x14ac:dyDescent="0.3">
      <c r="A2102" s="18">
        <v>46199</v>
      </c>
      <c r="B2102" s="18" t="s">
        <v>134</v>
      </c>
      <c r="C2102" s="18" t="s">
        <v>648</v>
      </c>
      <c r="D2102" s="6" t="s">
        <v>1101</v>
      </c>
      <c r="E2102" s="6" t="s">
        <v>47</v>
      </c>
      <c r="F2102" s="6" t="s">
        <v>656</v>
      </c>
      <c r="G2102" s="7">
        <v>353.14</v>
      </c>
    </row>
    <row r="2103" spans="1:7" x14ac:dyDescent="0.3">
      <c r="A2103" s="18">
        <v>46113</v>
      </c>
      <c r="B2103" s="18" t="s">
        <v>134</v>
      </c>
      <c r="C2103" s="18" t="s">
        <v>648</v>
      </c>
      <c r="D2103" s="6" t="s">
        <v>747</v>
      </c>
      <c r="E2103" s="6" t="s">
        <v>47</v>
      </c>
      <c r="F2103" s="6" t="s">
        <v>656</v>
      </c>
      <c r="G2103" s="7">
        <v>26</v>
      </c>
    </row>
    <row r="2104" spans="1:7" x14ac:dyDescent="0.3">
      <c r="A2104" s="18">
        <v>46025</v>
      </c>
      <c r="B2104" s="18" t="s">
        <v>134</v>
      </c>
      <c r="C2104" s="18" t="s">
        <v>648</v>
      </c>
      <c r="D2104" s="6" t="s">
        <v>323</v>
      </c>
      <c r="E2104" s="6" t="s">
        <v>47</v>
      </c>
      <c r="F2104" s="6" t="s">
        <v>656</v>
      </c>
      <c r="G2104" s="7">
        <v>930</v>
      </c>
    </row>
    <row r="2105" spans="1:7" x14ac:dyDescent="0.3">
      <c r="A2105" s="18">
        <v>46050</v>
      </c>
      <c r="B2105" s="18" t="s">
        <v>134</v>
      </c>
      <c r="C2105" s="18" t="s">
        <v>648</v>
      </c>
      <c r="D2105" s="6" t="s">
        <v>426</v>
      </c>
      <c r="E2105" s="6" t="s">
        <v>47</v>
      </c>
      <c r="F2105" s="6" t="s">
        <v>656</v>
      </c>
      <c r="G2105" s="7">
        <v>1569.23</v>
      </c>
    </row>
    <row r="2106" spans="1:7" x14ac:dyDescent="0.3">
      <c r="A2106" s="18">
        <v>46181</v>
      </c>
      <c r="B2106" s="18" t="s">
        <v>134</v>
      </c>
      <c r="C2106" s="18" t="s">
        <v>648</v>
      </c>
      <c r="D2106" s="6" t="s">
        <v>426</v>
      </c>
      <c r="E2106" s="6" t="s">
        <v>47</v>
      </c>
      <c r="F2106" s="6" t="s">
        <v>656</v>
      </c>
      <c r="G2106" s="7">
        <v>45.95</v>
      </c>
    </row>
    <row r="2107" spans="1:7" x14ac:dyDescent="0.3">
      <c r="A2107" s="18">
        <v>46180</v>
      </c>
      <c r="B2107" s="18" t="s">
        <v>134</v>
      </c>
      <c r="C2107" s="18" t="s">
        <v>648</v>
      </c>
      <c r="D2107" s="6" t="s">
        <v>1066</v>
      </c>
      <c r="E2107" s="6" t="s">
        <v>47</v>
      </c>
      <c r="F2107" s="6" t="s">
        <v>656</v>
      </c>
      <c r="G2107" s="7">
        <v>1724.25</v>
      </c>
    </row>
    <row r="2108" spans="1:7" x14ac:dyDescent="0.3">
      <c r="A2108" s="18">
        <v>46169</v>
      </c>
      <c r="B2108" s="18" t="s">
        <v>134</v>
      </c>
      <c r="C2108" s="18" t="s">
        <v>648</v>
      </c>
      <c r="D2108" s="6" t="s">
        <v>921</v>
      </c>
      <c r="E2108" s="6" t="s">
        <v>47</v>
      </c>
      <c r="F2108" s="6" t="s">
        <v>656</v>
      </c>
      <c r="G2108" s="7">
        <v>97.67</v>
      </c>
    </row>
    <row r="2109" spans="1:7" x14ac:dyDescent="0.3">
      <c r="A2109" s="18">
        <v>46169</v>
      </c>
      <c r="B2109" s="18" t="s">
        <v>134</v>
      </c>
      <c r="C2109" s="18" t="s">
        <v>648</v>
      </c>
      <c r="D2109" s="6" t="s">
        <v>921</v>
      </c>
      <c r="E2109" s="6" t="s">
        <v>47</v>
      </c>
      <c r="F2109" s="6" t="s">
        <v>656</v>
      </c>
      <c r="G2109" s="7">
        <v>93.57</v>
      </c>
    </row>
    <row r="2110" spans="1:7" x14ac:dyDescent="0.3">
      <c r="A2110" s="18">
        <v>46171</v>
      </c>
      <c r="B2110" s="18" t="s">
        <v>134</v>
      </c>
      <c r="C2110" s="18" t="s">
        <v>648</v>
      </c>
      <c r="D2110" s="6" t="s">
        <v>921</v>
      </c>
      <c r="E2110" s="6" t="s">
        <v>47</v>
      </c>
      <c r="F2110" s="6" t="s">
        <v>656</v>
      </c>
      <c r="G2110" s="7">
        <v>28.22</v>
      </c>
    </row>
    <row r="2111" spans="1:7" x14ac:dyDescent="0.3">
      <c r="A2111" s="18">
        <v>46108</v>
      </c>
      <c r="B2111" s="18" t="s">
        <v>134</v>
      </c>
      <c r="C2111" s="18" t="s">
        <v>648</v>
      </c>
      <c r="D2111" s="6" t="s">
        <v>596</v>
      </c>
      <c r="E2111" s="6" t="s">
        <v>47</v>
      </c>
      <c r="F2111" s="6" t="s">
        <v>656</v>
      </c>
      <c r="G2111" s="7">
        <v>50.46</v>
      </c>
    </row>
    <row r="2112" spans="1:7" x14ac:dyDescent="0.3">
      <c r="A2112" s="18">
        <v>46195</v>
      </c>
      <c r="B2112" s="18" t="s">
        <v>134</v>
      </c>
      <c r="C2112" s="18" t="s">
        <v>648</v>
      </c>
      <c r="D2112" s="6" t="s">
        <v>1106</v>
      </c>
      <c r="E2112" s="6" t="s">
        <v>47</v>
      </c>
      <c r="F2112" s="6" t="s">
        <v>656</v>
      </c>
      <c r="G2112" s="7">
        <v>25.68</v>
      </c>
    </row>
    <row r="2113" spans="1:7" x14ac:dyDescent="0.3">
      <c r="A2113" s="18">
        <v>46110</v>
      </c>
      <c r="B2113" s="18" t="s">
        <v>134</v>
      </c>
      <c r="C2113" s="18" t="s">
        <v>648</v>
      </c>
      <c r="D2113" s="6" t="s">
        <v>603</v>
      </c>
      <c r="E2113" s="6" t="s">
        <v>47</v>
      </c>
      <c r="F2113" s="6" t="s">
        <v>656</v>
      </c>
      <c r="G2113" s="7">
        <v>21.1</v>
      </c>
    </row>
    <row r="2114" spans="1:7" x14ac:dyDescent="0.3">
      <c r="A2114" s="18">
        <v>46110</v>
      </c>
      <c r="B2114" s="18" t="s">
        <v>134</v>
      </c>
      <c r="C2114" s="18" t="s">
        <v>648</v>
      </c>
      <c r="D2114" s="6" t="s">
        <v>603</v>
      </c>
      <c r="E2114" s="6" t="s">
        <v>47</v>
      </c>
      <c r="F2114" s="6" t="s">
        <v>656</v>
      </c>
      <c r="G2114" s="7">
        <v>141.52000000000001</v>
      </c>
    </row>
    <row r="2115" spans="1:7" x14ac:dyDescent="0.3">
      <c r="A2115" s="18">
        <v>46177</v>
      </c>
      <c r="B2115" s="18" t="s">
        <v>134</v>
      </c>
      <c r="C2115" s="18" t="s">
        <v>648</v>
      </c>
      <c r="D2115" s="6" t="s">
        <v>1043</v>
      </c>
      <c r="E2115" s="6" t="s">
        <v>47</v>
      </c>
      <c r="F2115" s="6" t="s">
        <v>656</v>
      </c>
      <c r="G2115" s="7">
        <v>162.62</v>
      </c>
    </row>
    <row r="2116" spans="1:7" x14ac:dyDescent="0.3">
      <c r="A2116" s="18">
        <v>46175</v>
      </c>
      <c r="B2116" s="18" t="s">
        <v>134</v>
      </c>
      <c r="C2116" s="18" t="s">
        <v>648</v>
      </c>
      <c r="D2116" s="6" t="s">
        <v>1029</v>
      </c>
      <c r="E2116" s="6" t="s">
        <v>47</v>
      </c>
      <c r="F2116" s="6" t="s">
        <v>656</v>
      </c>
      <c r="G2116" s="7">
        <v>39.94</v>
      </c>
    </row>
    <row r="2117" spans="1:7" x14ac:dyDescent="0.3">
      <c r="A2117" s="18">
        <v>46174</v>
      </c>
      <c r="B2117" s="18" t="s">
        <v>134</v>
      </c>
      <c r="C2117" s="18" t="s">
        <v>648</v>
      </c>
      <c r="D2117" s="6" t="s">
        <v>1026</v>
      </c>
      <c r="E2117" s="6" t="s">
        <v>47</v>
      </c>
      <c r="F2117" s="6" t="s">
        <v>656</v>
      </c>
      <c r="G2117" s="7">
        <v>157.43</v>
      </c>
    </row>
    <row r="2118" spans="1:7" x14ac:dyDescent="0.3">
      <c r="A2118" s="18">
        <v>46177</v>
      </c>
      <c r="B2118" s="18" t="s">
        <v>134</v>
      </c>
      <c r="C2118" s="18" t="s">
        <v>648</v>
      </c>
      <c r="D2118" s="6" t="s">
        <v>1044</v>
      </c>
      <c r="E2118" s="6" t="s">
        <v>47</v>
      </c>
      <c r="F2118" s="6" t="s">
        <v>656</v>
      </c>
      <c r="G2118" s="7">
        <v>25.01</v>
      </c>
    </row>
    <row r="2119" spans="1:7" x14ac:dyDescent="0.3">
      <c r="A2119" s="18">
        <v>46172</v>
      </c>
      <c r="B2119" s="18" t="s">
        <v>134</v>
      </c>
      <c r="C2119" s="18" t="s">
        <v>648</v>
      </c>
      <c r="D2119" s="6" t="s">
        <v>943</v>
      </c>
      <c r="E2119" s="6" t="s">
        <v>47</v>
      </c>
      <c r="F2119" s="6" t="s">
        <v>656</v>
      </c>
      <c r="G2119" s="7">
        <v>44.06</v>
      </c>
    </row>
    <row r="2120" spans="1:7" x14ac:dyDescent="0.3">
      <c r="A2120" s="18">
        <v>46038</v>
      </c>
      <c r="B2120" s="18" t="s">
        <v>134</v>
      </c>
      <c r="C2120" s="18" t="s">
        <v>648</v>
      </c>
      <c r="D2120" s="6" t="s">
        <v>393</v>
      </c>
      <c r="E2120" s="6" t="s">
        <v>47</v>
      </c>
      <c r="F2120" s="6" t="s">
        <v>656</v>
      </c>
      <c r="G2120" s="7">
        <v>33412.25</v>
      </c>
    </row>
    <row r="2121" spans="1:7" x14ac:dyDescent="0.3">
      <c r="A2121" s="18">
        <v>46180</v>
      </c>
      <c r="B2121" s="18" t="s">
        <v>134</v>
      </c>
      <c r="C2121" s="18" t="s">
        <v>648</v>
      </c>
      <c r="D2121" s="6" t="s">
        <v>1065</v>
      </c>
      <c r="E2121" s="6" t="s">
        <v>47</v>
      </c>
      <c r="F2121" s="6" t="s">
        <v>656</v>
      </c>
      <c r="G2121" s="7">
        <v>79.849999999999994</v>
      </c>
    </row>
    <row r="2122" spans="1:7" x14ac:dyDescent="0.3">
      <c r="A2122" s="18">
        <v>46110</v>
      </c>
      <c r="B2122" s="18" t="s">
        <v>134</v>
      </c>
      <c r="C2122" s="18" t="s">
        <v>648</v>
      </c>
      <c r="D2122" s="6" t="s">
        <v>604</v>
      </c>
      <c r="E2122" s="6" t="s">
        <v>47</v>
      </c>
      <c r="F2122" s="6" t="s">
        <v>656</v>
      </c>
      <c r="G2122" s="7">
        <v>11.21</v>
      </c>
    </row>
    <row r="2123" spans="1:7" x14ac:dyDescent="0.3">
      <c r="A2123" s="18">
        <v>46110</v>
      </c>
      <c r="B2123" s="18" t="s">
        <v>134</v>
      </c>
      <c r="C2123" s="18" t="s">
        <v>648</v>
      </c>
      <c r="D2123" s="6" t="s">
        <v>604</v>
      </c>
      <c r="E2123" s="6" t="s">
        <v>47</v>
      </c>
      <c r="F2123" s="6" t="s">
        <v>656</v>
      </c>
      <c r="G2123" s="7">
        <v>14.38</v>
      </c>
    </row>
    <row r="2124" spans="1:7" x14ac:dyDescent="0.3">
      <c r="A2124" s="18">
        <v>46110</v>
      </c>
      <c r="B2124" s="18" t="s">
        <v>134</v>
      </c>
      <c r="C2124" s="18" t="s">
        <v>648</v>
      </c>
      <c r="D2124" s="6" t="s">
        <v>604</v>
      </c>
      <c r="E2124" s="6" t="s">
        <v>47</v>
      </c>
      <c r="F2124" s="6" t="s">
        <v>656</v>
      </c>
      <c r="G2124" s="7">
        <v>581.39</v>
      </c>
    </row>
    <row r="2125" spans="1:7" x14ac:dyDescent="0.3">
      <c r="A2125" s="18">
        <v>46110</v>
      </c>
      <c r="B2125" s="18" t="s">
        <v>134</v>
      </c>
      <c r="C2125" s="18" t="s">
        <v>648</v>
      </c>
      <c r="D2125" s="6" t="s">
        <v>604</v>
      </c>
      <c r="E2125" s="6" t="s">
        <v>47</v>
      </c>
      <c r="F2125" s="6" t="s">
        <v>656</v>
      </c>
      <c r="G2125" s="7">
        <v>1954.38</v>
      </c>
    </row>
    <row r="2126" spans="1:7" x14ac:dyDescent="0.3">
      <c r="A2126" s="18">
        <v>46176</v>
      </c>
      <c r="B2126" s="18" t="s">
        <v>134</v>
      </c>
      <c r="C2126" s="18" t="s">
        <v>648</v>
      </c>
      <c r="D2126" s="6" t="s">
        <v>1037</v>
      </c>
      <c r="E2126" s="6" t="s">
        <v>47</v>
      </c>
      <c r="F2126" s="6" t="s">
        <v>656</v>
      </c>
      <c r="G2126" s="7">
        <v>199.17</v>
      </c>
    </row>
    <row r="2127" spans="1:7" x14ac:dyDescent="0.3">
      <c r="A2127" s="18">
        <v>46107</v>
      </c>
      <c r="B2127" s="18" t="s">
        <v>134</v>
      </c>
      <c r="C2127" s="18" t="s">
        <v>648</v>
      </c>
      <c r="D2127" s="6" t="s">
        <v>589</v>
      </c>
      <c r="E2127" s="6" t="s">
        <v>47</v>
      </c>
      <c r="F2127" s="6" t="s">
        <v>656</v>
      </c>
      <c r="G2127" s="7">
        <v>959.85</v>
      </c>
    </row>
    <row r="2128" spans="1:7" x14ac:dyDescent="0.3">
      <c r="A2128" s="18">
        <v>46111</v>
      </c>
      <c r="B2128" s="18" t="s">
        <v>134</v>
      </c>
      <c r="C2128" s="18" t="s">
        <v>648</v>
      </c>
      <c r="D2128" s="6" t="s">
        <v>608</v>
      </c>
      <c r="E2128" s="6" t="s">
        <v>47</v>
      </c>
      <c r="F2128" s="6" t="s">
        <v>656</v>
      </c>
      <c r="G2128" s="7">
        <v>131.47</v>
      </c>
    </row>
    <row r="2129" spans="1:7" x14ac:dyDescent="0.3">
      <c r="A2129" s="18">
        <v>46108</v>
      </c>
      <c r="B2129" s="18" t="s">
        <v>134</v>
      </c>
      <c r="C2129" s="18" t="s">
        <v>648</v>
      </c>
      <c r="D2129" s="6" t="s">
        <v>595</v>
      </c>
      <c r="E2129" s="6" t="s">
        <v>47</v>
      </c>
      <c r="F2129" s="6" t="s">
        <v>656</v>
      </c>
      <c r="G2129" s="7">
        <v>312.66000000000003</v>
      </c>
    </row>
    <row r="2130" spans="1:7" x14ac:dyDescent="0.3">
      <c r="A2130" s="18">
        <v>46113</v>
      </c>
      <c r="B2130" s="18" t="s">
        <v>134</v>
      </c>
      <c r="C2130" s="18" t="s">
        <v>648</v>
      </c>
      <c r="D2130" s="6" t="s">
        <v>749</v>
      </c>
      <c r="E2130" s="6" t="s">
        <v>47</v>
      </c>
      <c r="F2130" s="6" t="s">
        <v>656</v>
      </c>
      <c r="G2130" s="7">
        <v>1828.84</v>
      </c>
    </row>
    <row r="2131" spans="1:7" x14ac:dyDescent="0.3">
      <c r="A2131" s="18">
        <v>46200</v>
      </c>
      <c r="B2131" s="18" t="s">
        <v>134</v>
      </c>
      <c r="C2131" s="18" t="s">
        <v>648</v>
      </c>
      <c r="D2131" s="6" t="s">
        <v>1127</v>
      </c>
      <c r="E2131" s="6" t="s">
        <v>47</v>
      </c>
      <c r="F2131" s="6" t="s">
        <v>656</v>
      </c>
      <c r="G2131" s="7">
        <v>1463.52</v>
      </c>
    </row>
    <row r="2132" spans="1:7" x14ac:dyDescent="0.3">
      <c r="A2132" s="18">
        <v>46169</v>
      </c>
      <c r="B2132" s="18" t="s">
        <v>134</v>
      </c>
      <c r="C2132" s="18" t="s">
        <v>648</v>
      </c>
      <c r="D2132" s="6" t="s">
        <v>920</v>
      </c>
      <c r="E2132" s="6" t="s">
        <v>47</v>
      </c>
      <c r="F2132" s="6" t="s">
        <v>656</v>
      </c>
      <c r="G2132" s="7">
        <v>5636.79</v>
      </c>
    </row>
    <row r="2133" spans="1:7" x14ac:dyDescent="0.3">
      <c r="A2133" s="18">
        <v>46199</v>
      </c>
      <c r="B2133" s="18" t="s">
        <v>134</v>
      </c>
      <c r="C2133" s="18" t="s">
        <v>648</v>
      </c>
      <c r="D2133" s="6" t="s">
        <v>1123</v>
      </c>
      <c r="E2133" s="6" t="s">
        <v>47</v>
      </c>
      <c r="F2133" s="6" t="s">
        <v>656</v>
      </c>
      <c r="G2133" s="7">
        <v>2913.39</v>
      </c>
    </row>
    <row r="2134" spans="1:7" x14ac:dyDescent="0.3">
      <c r="A2134" s="18">
        <v>46045</v>
      </c>
      <c r="B2134" s="18" t="s">
        <v>134</v>
      </c>
      <c r="C2134" s="18" t="s">
        <v>648</v>
      </c>
      <c r="D2134" s="6" t="s">
        <v>416</v>
      </c>
      <c r="E2134" s="6" t="s">
        <v>57</v>
      </c>
      <c r="F2134" s="6" t="s">
        <v>656</v>
      </c>
      <c r="G2134" s="7">
        <v>418.68</v>
      </c>
    </row>
    <row r="2135" spans="1:7" x14ac:dyDescent="0.3">
      <c r="A2135" s="18">
        <v>46111</v>
      </c>
      <c r="B2135" s="18" t="s">
        <v>134</v>
      </c>
      <c r="C2135" s="18" t="s">
        <v>648</v>
      </c>
      <c r="D2135" s="6" t="s">
        <v>606</v>
      </c>
      <c r="E2135" s="6" t="s">
        <v>47</v>
      </c>
      <c r="F2135" s="6" t="s">
        <v>656</v>
      </c>
      <c r="G2135" s="7">
        <v>98.93</v>
      </c>
    </row>
    <row r="2136" spans="1:7" x14ac:dyDescent="0.3">
      <c r="A2136" s="18">
        <v>46170</v>
      </c>
      <c r="B2136" s="18" t="s">
        <v>134</v>
      </c>
      <c r="C2136" s="18" t="s">
        <v>648</v>
      </c>
      <c r="D2136" s="6" t="s">
        <v>926</v>
      </c>
      <c r="E2136" s="6" t="s">
        <v>47</v>
      </c>
      <c r="F2136" s="6" t="s">
        <v>656</v>
      </c>
      <c r="G2136" s="7">
        <v>189.15</v>
      </c>
    </row>
    <row r="2137" spans="1:7" x14ac:dyDescent="0.3">
      <c r="A2137" s="18">
        <v>46184</v>
      </c>
      <c r="B2137" s="18" t="s">
        <v>134</v>
      </c>
      <c r="C2137" s="18" t="s">
        <v>648</v>
      </c>
      <c r="D2137" s="6" t="s">
        <v>926</v>
      </c>
      <c r="E2137" s="6" t="s">
        <v>47</v>
      </c>
      <c r="F2137" s="6" t="s">
        <v>656</v>
      </c>
      <c r="G2137" s="7">
        <v>29.3</v>
      </c>
    </row>
    <row r="2138" spans="1:7" x14ac:dyDescent="0.3">
      <c r="A2138" s="18">
        <v>46184</v>
      </c>
      <c r="B2138" s="18" t="s">
        <v>134</v>
      </c>
      <c r="C2138" s="18" t="s">
        <v>648</v>
      </c>
      <c r="D2138" s="6" t="s">
        <v>926</v>
      </c>
      <c r="E2138" s="6" t="s">
        <v>47</v>
      </c>
      <c r="F2138" s="6" t="s">
        <v>656</v>
      </c>
      <c r="G2138" s="7">
        <v>44.61</v>
      </c>
    </row>
    <row r="2139" spans="1:7" x14ac:dyDescent="0.3">
      <c r="A2139" s="18">
        <v>46184</v>
      </c>
      <c r="B2139" s="18" t="s">
        <v>134</v>
      </c>
      <c r="C2139" s="18" t="s">
        <v>648</v>
      </c>
      <c r="D2139" s="6" t="s">
        <v>926</v>
      </c>
      <c r="E2139" s="6" t="s">
        <v>47</v>
      </c>
      <c r="F2139" s="6" t="s">
        <v>656</v>
      </c>
      <c r="G2139" s="7">
        <v>50.37</v>
      </c>
    </row>
    <row r="2140" spans="1:7" x14ac:dyDescent="0.3">
      <c r="A2140" s="18">
        <v>46111</v>
      </c>
      <c r="B2140" s="18" t="s">
        <v>134</v>
      </c>
      <c r="C2140" s="18" t="s">
        <v>648</v>
      </c>
      <c r="D2140" s="6" t="s">
        <v>609</v>
      </c>
      <c r="E2140" s="6" t="s">
        <v>47</v>
      </c>
      <c r="F2140" s="6" t="s">
        <v>656</v>
      </c>
      <c r="G2140" s="7">
        <v>302.97000000000003</v>
      </c>
    </row>
    <row r="2141" spans="1:7" x14ac:dyDescent="0.3">
      <c r="A2141" s="18">
        <v>46170</v>
      </c>
      <c r="B2141" s="18" t="s">
        <v>134</v>
      </c>
      <c r="C2141" s="18" t="s">
        <v>648</v>
      </c>
      <c r="D2141" s="6" t="s">
        <v>925</v>
      </c>
      <c r="E2141" s="6" t="s">
        <v>47</v>
      </c>
      <c r="F2141" s="6" t="s">
        <v>656</v>
      </c>
      <c r="G2141" s="7">
        <v>578.16999999999996</v>
      </c>
    </row>
    <row r="2142" spans="1:7" x14ac:dyDescent="0.3">
      <c r="A2142" s="18">
        <v>46026</v>
      </c>
      <c r="B2142" s="18" t="s">
        <v>134</v>
      </c>
      <c r="C2142" s="18" t="s">
        <v>648</v>
      </c>
      <c r="D2142" s="6" t="s">
        <v>326</v>
      </c>
      <c r="E2142" s="6" t="s">
        <v>47</v>
      </c>
      <c r="F2142" s="6" t="s">
        <v>656</v>
      </c>
      <c r="G2142" s="7">
        <v>1182</v>
      </c>
    </row>
    <row r="2143" spans="1:7" x14ac:dyDescent="0.3">
      <c r="A2143" s="18">
        <v>46054</v>
      </c>
      <c r="B2143" s="18" t="s">
        <v>134</v>
      </c>
      <c r="C2143" s="18" t="s">
        <v>648</v>
      </c>
      <c r="D2143" s="6" t="s">
        <v>457</v>
      </c>
      <c r="E2143" s="6" t="s">
        <v>47</v>
      </c>
      <c r="F2143" s="6" t="s">
        <v>656</v>
      </c>
      <c r="G2143" s="7">
        <v>1450.62</v>
      </c>
    </row>
    <row r="2144" spans="1:7" x14ac:dyDescent="0.3">
      <c r="A2144" s="18">
        <v>46179</v>
      </c>
      <c r="B2144" s="18" t="s">
        <v>134</v>
      </c>
      <c r="C2144" s="18" t="s">
        <v>648</v>
      </c>
      <c r="D2144" s="6" t="s">
        <v>1053</v>
      </c>
      <c r="E2144" s="6" t="s">
        <v>47</v>
      </c>
      <c r="F2144" s="6" t="s">
        <v>656</v>
      </c>
      <c r="G2144" s="7">
        <v>75.34</v>
      </c>
    </row>
    <row r="2145" spans="1:7" x14ac:dyDescent="0.3">
      <c r="A2145" s="18">
        <v>46171</v>
      </c>
      <c r="B2145" s="18" t="s">
        <v>134</v>
      </c>
      <c r="C2145" s="18" t="s">
        <v>648</v>
      </c>
      <c r="D2145" s="6" t="s">
        <v>935</v>
      </c>
      <c r="E2145" s="6" t="s">
        <v>47</v>
      </c>
      <c r="F2145" s="6" t="s">
        <v>656</v>
      </c>
      <c r="G2145" s="7">
        <v>125.36</v>
      </c>
    </row>
    <row r="2146" spans="1:7" x14ac:dyDescent="0.3">
      <c r="A2146" s="18">
        <v>46195</v>
      </c>
      <c r="B2146" s="18" t="s">
        <v>134</v>
      </c>
      <c r="C2146" s="18" t="s">
        <v>648</v>
      </c>
      <c r="D2146" s="6" t="s">
        <v>1107</v>
      </c>
      <c r="E2146" s="6" t="s">
        <v>47</v>
      </c>
      <c r="F2146" s="6" t="s">
        <v>656</v>
      </c>
      <c r="G2146" s="7">
        <v>1329.64</v>
      </c>
    </row>
    <row r="2147" spans="1:7" x14ac:dyDescent="0.3">
      <c r="A2147" s="18">
        <v>46184</v>
      </c>
      <c r="B2147" s="18" t="s">
        <v>134</v>
      </c>
      <c r="C2147" s="18" t="s">
        <v>648</v>
      </c>
      <c r="D2147" s="6" t="s">
        <v>1092</v>
      </c>
      <c r="E2147" s="6" t="s">
        <v>47</v>
      </c>
      <c r="F2147" s="6" t="s">
        <v>656</v>
      </c>
      <c r="G2147" s="7">
        <v>54.21</v>
      </c>
    </row>
    <row r="2148" spans="1:7" x14ac:dyDescent="0.3">
      <c r="A2148" s="18">
        <v>46183</v>
      </c>
      <c r="B2148" s="18" t="s">
        <v>134</v>
      </c>
      <c r="C2148" s="18" t="s">
        <v>648</v>
      </c>
      <c r="D2148" s="6" t="s">
        <v>1082</v>
      </c>
      <c r="E2148" s="6" t="s">
        <v>47</v>
      </c>
      <c r="F2148" s="6" t="s">
        <v>656</v>
      </c>
      <c r="G2148" s="7">
        <v>42.85</v>
      </c>
    </row>
    <row r="2149" spans="1:7" x14ac:dyDescent="0.3">
      <c r="A2149" s="18">
        <v>46182</v>
      </c>
      <c r="B2149" s="18" t="s">
        <v>134</v>
      </c>
      <c r="C2149" s="18" t="s">
        <v>648</v>
      </c>
      <c r="D2149" s="6" t="s">
        <v>514</v>
      </c>
      <c r="E2149" s="6" t="s">
        <v>47</v>
      </c>
      <c r="F2149" s="6" t="s">
        <v>656</v>
      </c>
      <c r="G2149" s="7">
        <v>573.23</v>
      </c>
    </row>
    <row r="2150" spans="1:7" x14ac:dyDescent="0.3">
      <c r="A2150" s="18">
        <v>46184</v>
      </c>
      <c r="B2150" s="18" t="s">
        <v>134</v>
      </c>
      <c r="C2150" s="18" t="s">
        <v>648</v>
      </c>
      <c r="D2150" s="6" t="s">
        <v>514</v>
      </c>
      <c r="E2150" s="6" t="s">
        <v>47</v>
      </c>
      <c r="F2150" s="6" t="s">
        <v>656</v>
      </c>
      <c r="G2150" s="7">
        <v>443.01</v>
      </c>
    </row>
    <row r="2151" spans="1:7" x14ac:dyDescent="0.3">
      <c r="A2151" s="18">
        <v>46171</v>
      </c>
      <c r="B2151" s="18" t="s">
        <v>134</v>
      </c>
      <c r="C2151" s="18" t="s">
        <v>648</v>
      </c>
      <c r="D2151" s="6" t="s">
        <v>936</v>
      </c>
      <c r="E2151" s="6" t="s">
        <v>47</v>
      </c>
      <c r="F2151" s="6" t="s">
        <v>656</v>
      </c>
      <c r="G2151" s="7">
        <v>1215.8599999999999</v>
      </c>
    </row>
    <row r="2152" spans="1:7" x14ac:dyDescent="0.3">
      <c r="A2152" s="18">
        <v>46194</v>
      </c>
      <c r="B2152" s="18" t="s">
        <v>134</v>
      </c>
      <c r="C2152" s="18" t="s">
        <v>1143</v>
      </c>
      <c r="D2152" s="6" t="s">
        <v>1102</v>
      </c>
      <c r="E2152" s="6" t="s">
        <v>57</v>
      </c>
      <c r="F2152" s="6" t="s">
        <v>656</v>
      </c>
      <c r="G2152" s="7">
        <v>261.08</v>
      </c>
    </row>
    <row r="2153" spans="1:7" x14ac:dyDescent="0.3">
      <c r="A2153" s="18">
        <v>46181</v>
      </c>
      <c r="B2153" s="18" t="s">
        <v>134</v>
      </c>
      <c r="C2153" s="18" t="s">
        <v>950</v>
      </c>
      <c r="D2153" s="6" t="s">
        <v>1074</v>
      </c>
      <c r="E2153" s="6" t="s">
        <v>47</v>
      </c>
      <c r="F2153" s="6" t="s">
        <v>656</v>
      </c>
      <c r="G2153" s="7">
        <v>221.13</v>
      </c>
    </row>
    <row r="2154" spans="1:7" x14ac:dyDescent="0.3">
      <c r="A2154" s="18">
        <v>46179</v>
      </c>
      <c r="B2154" s="18" t="s">
        <v>134</v>
      </c>
      <c r="C2154" s="18" t="s">
        <v>950</v>
      </c>
      <c r="D2154" s="6" t="s">
        <v>1052</v>
      </c>
      <c r="E2154" s="6" t="s">
        <v>57</v>
      </c>
      <c r="F2154" s="6" t="s">
        <v>656</v>
      </c>
      <c r="G2154" s="7">
        <v>328.87</v>
      </c>
    </row>
    <row r="2155" spans="1:7" x14ac:dyDescent="0.3">
      <c r="A2155" s="18">
        <v>46179</v>
      </c>
      <c r="B2155" s="18" t="s">
        <v>134</v>
      </c>
      <c r="C2155" s="18" t="s">
        <v>950</v>
      </c>
      <c r="D2155" s="6" t="s">
        <v>1052</v>
      </c>
      <c r="E2155" s="6" t="s">
        <v>42</v>
      </c>
      <c r="F2155" s="6" t="s">
        <v>656</v>
      </c>
      <c r="G2155" s="7">
        <v>328.87</v>
      </c>
    </row>
    <row r="2156" spans="1:7" x14ac:dyDescent="0.3">
      <c r="A2156" s="18">
        <v>46025</v>
      </c>
      <c r="B2156" s="18" t="s">
        <v>134</v>
      </c>
      <c r="C2156" s="18" t="s">
        <v>950</v>
      </c>
      <c r="D2156" s="6" t="s">
        <v>324</v>
      </c>
      <c r="E2156" s="6" t="s">
        <v>47</v>
      </c>
      <c r="F2156" s="6" t="s">
        <v>656</v>
      </c>
      <c r="G2156" s="7">
        <v>260</v>
      </c>
    </row>
    <row r="2157" spans="1:7" x14ac:dyDescent="0.3">
      <c r="A2157" s="18">
        <v>46172</v>
      </c>
      <c r="B2157" s="18" t="s">
        <v>134</v>
      </c>
      <c r="C2157" s="18" t="s">
        <v>950</v>
      </c>
      <c r="D2157" s="6" t="s">
        <v>937</v>
      </c>
      <c r="E2157" s="6" t="s">
        <v>47</v>
      </c>
      <c r="F2157" s="6" t="s">
        <v>656</v>
      </c>
      <c r="G2157" s="7">
        <v>440.78</v>
      </c>
    </row>
    <row r="2158" spans="1:7" x14ac:dyDescent="0.3">
      <c r="A2158" s="18">
        <v>46169</v>
      </c>
      <c r="B2158" s="18" t="s">
        <v>134</v>
      </c>
      <c r="C2158" s="18" t="s">
        <v>950</v>
      </c>
      <c r="D2158" s="6" t="s">
        <v>922</v>
      </c>
      <c r="E2158" s="6" t="s">
        <v>47</v>
      </c>
      <c r="F2158" s="6" t="s">
        <v>656</v>
      </c>
      <c r="G2158" s="7">
        <v>137.26</v>
      </c>
    </row>
    <row r="2159" spans="1:7" x14ac:dyDescent="0.3">
      <c r="A2159" s="18">
        <v>46046</v>
      </c>
      <c r="B2159" s="18" t="s">
        <v>134</v>
      </c>
      <c r="C2159" s="18" t="s">
        <v>950</v>
      </c>
      <c r="D2159" s="6" t="s">
        <v>419</v>
      </c>
      <c r="E2159" s="6" t="s">
        <v>47</v>
      </c>
      <c r="F2159" s="6" t="s">
        <v>656</v>
      </c>
      <c r="G2159" s="7">
        <v>728.06</v>
      </c>
    </row>
    <row r="2160" spans="1:7" x14ac:dyDescent="0.3">
      <c r="A2160" s="18">
        <v>46182</v>
      </c>
      <c r="B2160" s="18" t="s">
        <v>134</v>
      </c>
      <c r="C2160" s="18" t="s">
        <v>950</v>
      </c>
      <c r="D2160" s="6" t="s">
        <v>1079</v>
      </c>
      <c r="E2160" s="6" t="s">
        <v>47</v>
      </c>
      <c r="F2160" s="6" t="s">
        <v>656</v>
      </c>
      <c r="G2160" s="7">
        <v>197.05</v>
      </c>
    </row>
    <row r="2161" spans="1:7" x14ac:dyDescent="0.3">
      <c r="A2161" s="18">
        <v>46048</v>
      </c>
      <c r="B2161" s="18" t="s">
        <v>134</v>
      </c>
      <c r="C2161" s="18" t="s">
        <v>950</v>
      </c>
      <c r="D2161" s="6" t="s">
        <v>422</v>
      </c>
      <c r="E2161" s="6" t="s">
        <v>47</v>
      </c>
      <c r="F2161" s="6" t="s">
        <v>656</v>
      </c>
      <c r="G2161" s="7">
        <v>628.79</v>
      </c>
    </row>
    <row r="2162" spans="1:7" x14ac:dyDescent="0.3">
      <c r="A2162" s="18">
        <v>46178</v>
      </c>
      <c r="B2162" s="18" t="s">
        <v>134</v>
      </c>
      <c r="C2162" s="18" t="s">
        <v>950</v>
      </c>
      <c r="D2162" s="6" t="s">
        <v>426</v>
      </c>
      <c r="E2162" s="6" t="s">
        <v>57</v>
      </c>
      <c r="F2162" s="6" t="s">
        <v>656</v>
      </c>
      <c r="G2162" s="7">
        <v>1476.46</v>
      </c>
    </row>
    <row r="2163" spans="1:7" x14ac:dyDescent="0.3">
      <c r="A2163" s="18">
        <v>46178</v>
      </c>
      <c r="B2163" s="18" t="s">
        <v>134</v>
      </c>
      <c r="C2163" s="18" t="s">
        <v>950</v>
      </c>
      <c r="D2163" s="6" t="s">
        <v>426</v>
      </c>
      <c r="E2163" s="6" t="s">
        <v>42</v>
      </c>
      <c r="F2163" s="6" t="s">
        <v>656</v>
      </c>
      <c r="G2163" s="7">
        <v>1476.46</v>
      </c>
    </row>
    <row r="2164" spans="1:7" x14ac:dyDescent="0.3">
      <c r="A2164" s="18">
        <v>46179</v>
      </c>
      <c r="B2164" s="18" t="s">
        <v>134</v>
      </c>
      <c r="C2164" s="18" t="s">
        <v>950</v>
      </c>
      <c r="D2164" s="6" t="s">
        <v>426</v>
      </c>
      <c r="E2164" s="6" t="s">
        <v>57</v>
      </c>
      <c r="F2164" s="6" t="s">
        <v>656</v>
      </c>
      <c r="G2164" s="7">
        <v>127.73</v>
      </c>
    </row>
    <row r="2165" spans="1:7" x14ac:dyDescent="0.3">
      <c r="A2165" s="18">
        <v>46179</v>
      </c>
      <c r="B2165" s="18" t="s">
        <v>134</v>
      </c>
      <c r="C2165" s="18" t="s">
        <v>950</v>
      </c>
      <c r="D2165" s="6" t="s">
        <v>426</v>
      </c>
      <c r="E2165" s="6" t="s">
        <v>42</v>
      </c>
      <c r="F2165" s="6" t="s">
        <v>656</v>
      </c>
      <c r="G2165" s="7">
        <v>127.73</v>
      </c>
    </row>
    <row r="2166" spans="1:7" x14ac:dyDescent="0.3">
      <c r="A2166" s="18">
        <v>46168</v>
      </c>
      <c r="B2166" s="18" t="s">
        <v>134</v>
      </c>
      <c r="C2166" s="18" t="s">
        <v>950</v>
      </c>
      <c r="D2166" s="6" t="s">
        <v>454</v>
      </c>
      <c r="E2166" s="6" t="s">
        <v>47</v>
      </c>
      <c r="F2166" s="6" t="s">
        <v>656</v>
      </c>
      <c r="G2166" s="7">
        <v>347.33</v>
      </c>
    </row>
    <row r="2167" spans="1:7" x14ac:dyDescent="0.3">
      <c r="A2167" s="18">
        <v>46195</v>
      </c>
      <c r="B2167" s="18" t="s">
        <v>134</v>
      </c>
      <c r="C2167" s="18" t="s">
        <v>950</v>
      </c>
      <c r="D2167" s="6" t="s">
        <v>454</v>
      </c>
      <c r="E2167" s="6" t="s">
        <v>47</v>
      </c>
      <c r="F2167" s="6" t="s">
        <v>661</v>
      </c>
      <c r="G2167" s="7">
        <v>343.74</v>
      </c>
    </row>
    <row r="2168" spans="1:7" x14ac:dyDescent="0.3">
      <c r="A2168" s="18">
        <v>46185</v>
      </c>
      <c r="B2168" s="18" t="s">
        <v>134</v>
      </c>
      <c r="C2168" s="18" t="s">
        <v>950</v>
      </c>
      <c r="D2168" s="6" t="s">
        <v>454</v>
      </c>
      <c r="E2168" s="6" t="s">
        <v>47</v>
      </c>
      <c r="F2168" s="6" t="s">
        <v>656</v>
      </c>
      <c r="G2168" s="7">
        <v>443.79</v>
      </c>
    </row>
    <row r="2169" spans="1:7" x14ac:dyDescent="0.3">
      <c r="A2169" s="18">
        <v>46184</v>
      </c>
      <c r="B2169" s="18" t="s">
        <v>134</v>
      </c>
      <c r="C2169" s="18" t="s">
        <v>950</v>
      </c>
      <c r="D2169" s="6" t="s">
        <v>1090</v>
      </c>
      <c r="E2169" s="6" t="s">
        <v>47</v>
      </c>
      <c r="F2169" s="6" t="s">
        <v>656</v>
      </c>
      <c r="G2169" s="7">
        <v>127.52</v>
      </c>
    </row>
    <row r="2170" spans="1:7" x14ac:dyDescent="0.3">
      <c r="A2170" s="18">
        <v>46183</v>
      </c>
      <c r="B2170" s="18" t="s">
        <v>134</v>
      </c>
      <c r="C2170" s="18" t="s">
        <v>950</v>
      </c>
      <c r="D2170" s="6" t="s">
        <v>1084</v>
      </c>
      <c r="E2170" s="6" t="s">
        <v>47</v>
      </c>
      <c r="F2170" s="6" t="s">
        <v>656</v>
      </c>
      <c r="G2170" s="7">
        <v>137.1</v>
      </c>
    </row>
    <row r="2171" spans="1:7" x14ac:dyDescent="0.3">
      <c r="A2171" s="18">
        <v>46043</v>
      </c>
      <c r="B2171" s="18" t="s">
        <v>134</v>
      </c>
      <c r="C2171" s="18" t="s">
        <v>950</v>
      </c>
      <c r="D2171" s="6" t="s">
        <v>352</v>
      </c>
      <c r="E2171" s="6" t="s">
        <v>47</v>
      </c>
      <c r="F2171" s="6" t="s">
        <v>656</v>
      </c>
      <c r="G2171" s="7">
        <v>140.88999999999999</v>
      </c>
    </row>
    <row r="2172" spans="1:7" x14ac:dyDescent="0.3">
      <c r="A2172" s="18">
        <v>46045</v>
      </c>
      <c r="B2172" s="18" t="s">
        <v>134</v>
      </c>
      <c r="C2172" s="18" t="s">
        <v>950</v>
      </c>
      <c r="D2172" s="6" t="s">
        <v>352</v>
      </c>
      <c r="E2172" s="6" t="s">
        <v>47</v>
      </c>
      <c r="F2172" s="6" t="s">
        <v>656</v>
      </c>
      <c r="G2172" s="7">
        <v>139.41</v>
      </c>
    </row>
    <row r="2173" spans="1:7" x14ac:dyDescent="0.3">
      <c r="A2173" s="18">
        <v>46046</v>
      </c>
      <c r="B2173" s="18" t="s">
        <v>134</v>
      </c>
      <c r="C2173" s="18" t="s">
        <v>950</v>
      </c>
      <c r="D2173" s="6" t="s">
        <v>352</v>
      </c>
      <c r="E2173" s="6" t="s">
        <v>47</v>
      </c>
      <c r="F2173" s="6" t="s">
        <v>656</v>
      </c>
      <c r="G2173" s="7">
        <v>47.81</v>
      </c>
    </row>
    <row r="2174" spans="1:7" x14ac:dyDescent="0.3">
      <c r="A2174" s="18">
        <v>46046</v>
      </c>
      <c r="B2174" s="18" t="s">
        <v>134</v>
      </c>
      <c r="C2174" s="18" t="s">
        <v>950</v>
      </c>
      <c r="D2174" s="6" t="s">
        <v>352</v>
      </c>
      <c r="E2174" s="6" t="s">
        <v>47</v>
      </c>
      <c r="F2174" s="6" t="s">
        <v>656</v>
      </c>
      <c r="G2174" s="7">
        <v>80.41</v>
      </c>
    </row>
    <row r="2175" spans="1:7" x14ac:dyDescent="0.3">
      <c r="A2175" s="18">
        <v>46046</v>
      </c>
      <c r="B2175" s="18" t="s">
        <v>134</v>
      </c>
      <c r="C2175" s="18" t="s">
        <v>950</v>
      </c>
      <c r="D2175" s="6" t="s">
        <v>352</v>
      </c>
      <c r="E2175" s="6" t="s">
        <v>47</v>
      </c>
      <c r="F2175" s="6" t="s">
        <v>656</v>
      </c>
      <c r="G2175" s="7">
        <v>114.23</v>
      </c>
    </row>
    <row r="2176" spans="1:7" x14ac:dyDescent="0.3">
      <c r="A2176" s="18">
        <v>46046</v>
      </c>
      <c r="B2176" s="18" t="s">
        <v>134</v>
      </c>
      <c r="C2176" s="18" t="s">
        <v>950</v>
      </c>
      <c r="D2176" s="6" t="s">
        <v>352</v>
      </c>
      <c r="E2176" s="6" t="s">
        <v>47</v>
      </c>
      <c r="F2176" s="6" t="s">
        <v>656</v>
      </c>
      <c r="G2176" s="7">
        <v>152.18</v>
      </c>
    </row>
    <row r="2177" spans="1:7" x14ac:dyDescent="0.3">
      <c r="A2177" s="18">
        <v>46048</v>
      </c>
      <c r="B2177" s="18" t="s">
        <v>134</v>
      </c>
      <c r="C2177" s="18" t="s">
        <v>950</v>
      </c>
      <c r="D2177" s="6" t="s">
        <v>352</v>
      </c>
      <c r="E2177" s="6" t="s">
        <v>47</v>
      </c>
      <c r="F2177" s="6" t="s">
        <v>656</v>
      </c>
      <c r="G2177" s="7">
        <v>165.35</v>
      </c>
    </row>
    <row r="2178" spans="1:7" x14ac:dyDescent="0.3">
      <c r="A2178" s="18">
        <v>46049</v>
      </c>
      <c r="B2178" s="18" t="s">
        <v>134</v>
      </c>
      <c r="C2178" s="18" t="s">
        <v>950</v>
      </c>
      <c r="D2178" s="6" t="s">
        <v>352</v>
      </c>
      <c r="E2178" s="6" t="s">
        <v>47</v>
      </c>
      <c r="F2178" s="6" t="s">
        <v>656</v>
      </c>
      <c r="G2178" s="7">
        <v>199.88</v>
      </c>
    </row>
    <row r="2179" spans="1:7" x14ac:dyDescent="0.3">
      <c r="A2179" s="18">
        <v>46052</v>
      </c>
      <c r="B2179" s="18" t="s">
        <v>134</v>
      </c>
      <c r="C2179" s="18" t="s">
        <v>950</v>
      </c>
      <c r="D2179" s="6" t="s">
        <v>352</v>
      </c>
      <c r="E2179" s="6" t="s">
        <v>47</v>
      </c>
      <c r="F2179" s="6" t="s">
        <v>656</v>
      </c>
      <c r="G2179" s="7">
        <v>3</v>
      </c>
    </row>
    <row r="2180" spans="1:7" x14ac:dyDescent="0.3">
      <c r="A2180" s="18">
        <v>46052</v>
      </c>
      <c r="B2180" s="18" t="s">
        <v>134</v>
      </c>
      <c r="C2180" s="18" t="s">
        <v>950</v>
      </c>
      <c r="D2180" s="6" t="s">
        <v>352</v>
      </c>
      <c r="E2180" s="6" t="s">
        <v>47</v>
      </c>
      <c r="F2180" s="6" t="s">
        <v>656</v>
      </c>
      <c r="G2180" s="7">
        <v>11.95</v>
      </c>
    </row>
    <row r="2181" spans="1:7" x14ac:dyDescent="0.3">
      <c r="A2181" s="18">
        <v>46083</v>
      </c>
      <c r="B2181" s="18" t="s">
        <v>134</v>
      </c>
      <c r="C2181" s="18" t="s">
        <v>950</v>
      </c>
      <c r="D2181" s="6" t="s">
        <v>352</v>
      </c>
      <c r="E2181" s="6" t="s">
        <v>47</v>
      </c>
      <c r="F2181" s="6" t="s">
        <v>656</v>
      </c>
      <c r="G2181" s="7">
        <v>94.27</v>
      </c>
    </row>
    <row r="2182" spans="1:7" x14ac:dyDescent="0.3">
      <c r="A2182" s="18">
        <v>46083</v>
      </c>
      <c r="B2182" s="18" t="s">
        <v>134</v>
      </c>
      <c r="C2182" s="18" t="s">
        <v>950</v>
      </c>
      <c r="D2182" s="6" t="s">
        <v>352</v>
      </c>
      <c r="E2182" s="6" t="s">
        <v>47</v>
      </c>
      <c r="F2182" s="6" t="s">
        <v>656</v>
      </c>
      <c r="G2182" s="7">
        <v>110.7</v>
      </c>
    </row>
    <row r="2183" spans="1:7" x14ac:dyDescent="0.3">
      <c r="A2183" s="18">
        <v>46084</v>
      </c>
      <c r="B2183" s="18" t="s">
        <v>134</v>
      </c>
      <c r="C2183" s="18" t="s">
        <v>950</v>
      </c>
      <c r="D2183" s="6" t="s">
        <v>352</v>
      </c>
      <c r="E2183" s="6" t="s">
        <v>47</v>
      </c>
      <c r="F2183" s="6" t="s">
        <v>656</v>
      </c>
      <c r="G2183" s="7">
        <v>72.48</v>
      </c>
    </row>
    <row r="2184" spans="1:7" x14ac:dyDescent="0.3">
      <c r="A2184" s="18">
        <v>46086</v>
      </c>
      <c r="B2184" s="18" t="s">
        <v>134</v>
      </c>
      <c r="C2184" s="18" t="s">
        <v>950</v>
      </c>
      <c r="D2184" s="6" t="s">
        <v>352</v>
      </c>
      <c r="E2184" s="6" t="s">
        <v>47</v>
      </c>
      <c r="F2184" s="6" t="s">
        <v>656</v>
      </c>
      <c r="G2184" s="7">
        <v>155.27000000000001</v>
      </c>
    </row>
    <row r="2185" spans="1:7" x14ac:dyDescent="0.3">
      <c r="A2185" s="18">
        <v>46086</v>
      </c>
      <c r="B2185" s="18" t="s">
        <v>134</v>
      </c>
      <c r="C2185" s="18" t="s">
        <v>950</v>
      </c>
      <c r="D2185" s="6" t="s">
        <v>352</v>
      </c>
      <c r="E2185" s="6" t="s">
        <v>47</v>
      </c>
      <c r="F2185" s="6" t="s">
        <v>656</v>
      </c>
      <c r="G2185" s="7">
        <v>394.74</v>
      </c>
    </row>
    <row r="2186" spans="1:7" x14ac:dyDescent="0.3">
      <c r="A2186" s="18">
        <v>46106</v>
      </c>
      <c r="B2186" s="18" t="s">
        <v>134</v>
      </c>
      <c r="C2186" s="18" t="s">
        <v>950</v>
      </c>
      <c r="D2186" s="6" t="s">
        <v>352</v>
      </c>
      <c r="E2186" s="6" t="s">
        <v>47</v>
      </c>
      <c r="F2186" s="6" t="s">
        <v>656</v>
      </c>
      <c r="G2186" s="7">
        <v>367.87</v>
      </c>
    </row>
    <row r="2187" spans="1:7" x14ac:dyDescent="0.3">
      <c r="A2187" s="18">
        <v>46107</v>
      </c>
      <c r="B2187" s="18" t="s">
        <v>134</v>
      </c>
      <c r="C2187" s="18" t="s">
        <v>950</v>
      </c>
      <c r="D2187" s="6" t="s">
        <v>352</v>
      </c>
      <c r="E2187" s="6" t="s">
        <v>47</v>
      </c>
      <c r="F2187" s="6" t="s">
        <v>656</v>
      </c>
      <c r="G2187" s="7">
        <v>206.02</v>
      </c>
    </row>
    <row r="2188" spans="1:7" x14ac:dyDescent="0.3">
      <c r="A2188" s="18">
        <v>46110</v>
      </c>
      <c r="B2188" s="18" t="s">
        <v>134</v>
      </c>
      <c r="C2188" s="18" t="s">
        <v>950</v>
      </c>
      <c r="D2188" s="6" t="s">
        <v>352</v>
      </c>
      <c r="E2188" s="6" t="s">
        <v>47</v>
      </c>
      <c r="F2188" s="6" t="s">
        <v>656</v>
      </c>
      <c r="G2188" s="7">
        <v>183.1</v>
      </c>
    </row>
    <row r="2189" spans="1:7" x14ac:dyDescent="0.3">
      <c r="A2189" s="18">
        <v>46110</v>
      </c>
      <c r="B2189" s="18" t="s">
        <v>134</v>
      </c>
      <c r="C2189" s="18" t="s">
        <v>950</v>
      </c>
      <c r="D2189" s="6" t="s">
        <v>352</v>
      </c>
      <c r="E2189" s="6" t="s">
        <v>47</v>
      </c>
      <c r="F2189" s="6" t="s">
        <v>656</v>
      </c>
      <c r="G2189" s="7">
        <v>477.35</v>
      </c>
    </row>
    <row r="2190" spans="1:7" x14ac:dyDescent="0.3">
      <c r="A2190" s="18">
        <v>46168</v>
      </c>
      <c r="B2190" s="18" t="s">
        <v>134</v>
      </c>
      <c r="C2190" s="18" t="s">
        <v>950</v>
      </c>
      <c r="D2190" s="6" t="s">
        <v>352</v>
      </c>
      <c r="E2190" s="6" t="s">
        <v>47</v>
      </c>
      <c r="F2190" s="6" t="s">
        <v>656</v>
      </c>
      <c r="G2190" s="7">
        <v>154.93</v>
      </c>
    </row>
    <row r="2191" spans="1:7" x14ac:dyDescent="0.3">
      <c r="A2191" s="18">
        <v>46169</v>
      </c>
      <c r="B2191" s="18" t="s">
        <v>134</v>
      </c>
      <c r="C2191" s="18" t="s">
        <v>950</v>
      </c>
      <c r="D2191" s="6" t="s">
        <v>352</v>
      </c>
      <c r="E2191" s="6" t="s">
        <v>47</v>
      </c>
      <c r="F2191" s="6" t="s">
        <v>656</v>
      </c>
      <c r="G2191" s="7">
        <v>78.08</v>
      </c>
    </row>
    <row r="2192" spans="1:7" x14ac:dyDescent="0.3">
      <c r="A2192" s="18">
        <v>46169</v>
      </c>
      <c r="B2192" s="18" t="s">
        <v>134</v>
      </c>
      <c r="C2192" s="18" t="s">
        <v>950</v>
      </c>
      <c r="D2192" s="6" t="s">
        <v>352</v>
      </c>
      <c r="E2192" s="6" t="s">
        <v>47</v>
      </c>
      <c r="F2192" s="6" t="s">
        <v>656</v>
      </c>
      <c r="G2192" s="7">
        <v>124.33</v>
      </c>
    </row>
    <row r="2193" spans="1:7" x14ac:dyDescent="0.3">
      <c r="A2193" s="18">
        <v>46169</v>
      </c>
      <c r="B2193" s="18" t="s">
        <v>134</v>
      </c>
      <c r="C2193" s="18" t="s">
        <v>950</v>
      </c>
      <c r="D2193" s="6" t="s">
        <v>352</v>
      </c>
      <c r="E2193" s="6" t="s">
        <v>47</v>
      </c>
      <c r="F2193" s="6" t="s">
        <v>656</v>
      </c>
      <c r="G2193" s="7">
        <v>56.15</v>
      </c>
    </row>
    <row r="2194" spans="1:7" x14ac:dyDescent="0.3">
      <c r="A2194" s="18">
        <v>46170</v>
      </c>
      <c r="B2194" s="18" t="s">
        <v>134</v>
      </c>
      <c r="C2194" s="18" t="s">
        <v>950</v>
      </c>
      <c r="D2194" s="6" t="s">
        <v>352</v>
      </c>
      <c r="E2194" s="6" t="s">
        <v>47</v>
      </c>
      <c r="F2194" s="6" t="s">
        <v>656</v>
      </c>
      <c r="G2194" s="7">
        <v>131.78</v>
      </c>
    </row>
    <row r="2195" spans="1:7" x14ac:dyDescent="0.3">
      <c r="A2195" s="18">
        <v>46171</v>
      </c>
      <c r="B2195" s="18" t="s">
        <v>134</v>
      </c>
      <c r="C2195" s="18" t="s">
        <v>950</v>
      </c>
      <c r="D2195" s="6" t="s">
        <v>352</v>
      </c>
      <c r="E2195" s="6" t="s">
        <v>47</v>
      </c>
      <c r="F2195" s="6" t="s">
        <v>656</v>
      </c>
      <c r="G2195" s="7">
        <v>157.11000000000001</v>
      </c>
    </row>
    <row r="2196" spans="1:7" x14ac:dyDescent="0.3">
      <c r="A2196" s="18">
        <v>46183</v>
      </c>
      <c r="B2196" s="18" t="s">
        <v>134</v>
      </c>
      <c r="C2196" s="18" t="s">
        <v>950</v>
      </c>
      <c r="D2196" s="6" t="s">
        <v>352</v>
      </c>
      <c r="E2196" s="6" t="s">
        <v>47</v>
      </c>
      <c r="F2196" s="6" t="s">
        <v>656</v>
      </c>
      <c r="G2196" s="7">
        <v>121.04</v>
      </c>
    </row>
    <row r="2197" spans="1:7" x14ac:dyDescent="0.3">
      <c r="A2197" s="18">
        <v>46183</v>
      </c>
      <c r="B2197" s="18" t="s">
        <v>134</v>
      </c>
      <c r="C2197" s="18" t="s">
        <v>950</v>
      </c>
      <c r="D2197" s="6" t="s">
        <v>352</v>
      </c>
      <c r="E2197" s="6" t="s">
        <v>47</v>
      </c>
      <c r="F2197" s="6" t="s">
        <v>656</v>
      </c>
      <c r="G2197" s="7">
        <v>46.69</v>
      </c>
    </row>
    <row r="2198" spans="1:7" x14ac:dyDescent="0.3">
      <c r="A2198" s="18">
        <v>46184</v>
      </c>
      <c r="B2198" s="18" t="s">
        <v>134</v>
      </c>
      <c r="C2198" s="18" t="s">
        <v>950</v>
      </c>
      <c r="D2198" s="6" t="s">
        <v>352</v>
      </c>
      <c r="E2198" s="6" t="s">
        <v>47</v>
      </c>
      <c r="F2198" s="6" t="s">
        <v>656</v>
      </c>
      <c r="G2198" s="7">
        <v>104.53</v>
      </c>
    </row>
    <row r="2199" spans="1:7" x14ac:dyDescent="0.3">
      <c r="A2199" s="18">
        <v>46196</v>
      </c>
      <c r="B2199" s="18" t="s">
        <v>134</v>
      </c>
      <c r="C2199" s="18" t="s">
        <v>950</v>
      </c>
      <c r="D2199" s="6" t="s">
        <v>352</v>
      </c>
      <c r="E2199" s="6" t="s">
        <v>47</v>
      </c>
      <c r="F2199" s="6" t="s">
        <v>656</v>
      </c>
      <c r="G2199" s="7">
        <v>168.72</v>
      </c>
    </row>
    <row r="2200" spans="1:7" x14ac:dyDescent="0.3">
      <c r="A2200" s="18">
        <v>46198</v>
      </c>
      <c r="B2200" s="18" t="s">
        <v>134</v>
      </c>
      <c r="C2200" s="18" t="s">
        <v>950</v>
      </c>
      <c r="D2200" s="6" t="s">
        <v>352</v>
      </c>
      <c r="E2200" s="6" t="s">
        <v>47</v>
      </c>
      <c r="F2200" s="6" t="s">
        <v>656</v>
      </c>
      <c r="G2200" s="7">
        <v>22.09</v>
      </c>
    </row>
    <row r="2201" spans="1:7" x14ac:dyDescent="0.3">
      <c r="A2201" s="18">
        <v>46198</v>
      </c>
      <c r="B2201" s="18" t="s">
        <v>134</v>
      </c>
      <c r="C2201" s="18" t="s">
        <v>950</v>
      </c>
      <c r="D2201" s="6" t="s">
        <v>352</v>
      </c>
      <c r="E2201" s="6" t="s">
        <v>47</v>
      </c>
      <c r="F2201" s="6" t="s">
        <v>656</v>
      </c>
      <c r="G2201" s="7">
        <v>110.45</v>
      </c>
    </row>
    <row r="2202" spans="1:7" x14ac:dyDescent="0.3">
      <c r="A2202" s="18">
        <v>46199</v>
      </c>
      <c r="B2202" s="18" t="s">
        <v>134</v>
      </c>
      <c r="C2202" s="18" t="s">
        <v>950</v>
      </c>
      <c r="D2202" s="6" t="s">
        <v>352</v>
      </c>
      <c r="E2202" s="6" t="s">
        <v>47</v>
      </c>
      <c r="F2202" s="6" t="s">
        <v>656</v>
      </c>
      <c r="G2202" s="7">
        <v>285.92</v>
      </c>
    </row>
    <row r="2203" spans="1:7" x14ac:dyDescent="0.3">
      <c r="A2203" s="18">
        <v>46201</v>
      </c>
      <c r="B2203" s="18" t="s">
        <v>134</v>
      </c>
      <c r="C2203" s="18" t="s">
        <v>950</v>
      </c>
      <c r="D2203" s="6" t="s">
        <v>352</v>
      </c>
      <c r="E2203" s="6" t="s">
        <v>47</v>
      </c>
      <c r="F2203" s="6" t="s">
        <v>656</v>
      </c>
      <c r="G2203" s="7">
        <v>235.74</v>
      </c>
    </row>
    <row r="2204" spans="1:7" x14ac:dyDescent="0.3">
      <c r="A2204" s="18">
        <v>46201</v>
      </c>
      <c r="B2204" s="18" t="s">
        <v>134</v>
      </c>
      <c r="C2204" s="18" t="s">
        <v>950</v>
      </c>
      <c r="D2204" s="6" t="s">
        <v>352</v>
      </c>
      <c r="E2204" s="6" t="s">
        <v>47</v>
      </c>
      <c r="F2204" s="6" t="s">
        <v>656</v>
      </c>
      <c r="G2204" s="7">
        <v>187.68</v>
      </c>
    </row>
    <row r="2205" spans="1:7" x14ac:dyDescent="0.3">
      <c r="A2205" s="18">
        <v>46201</v>
      </c>
      <c r="B2205" s="18" t="s">
        <v>134</v>
      </c>
      <c r="C2205" s="18" t="s">
        <v>950</v>
      </c>
      <c r="D2205" s="6" t="s">
        <v>352</v>
      </c>
      <c r="E2205" s="6" t="s">
        <v>47</v>
      </c>
      <c r="F2205" s="6" t="s">
        <v>656</v>
      </c>
      <c r="G2205" s="7">
        <v>695.87</v>
      </c>
    </row>
    <row r="2206" spans="1:7" x14ac:dyDescent="0.3">
      <c r="A2206" s="18">
        <v>46201</v>
      </c>
      <c r="B2206" s="18" t="s">
        <v>134</v>
      </c>
      <c r="C2206" s="18" t="s">
        <v>950</v>
      </c>
      <c r="D2206" s="6" t="s">
        <v>352</v>
      </c>
      <c r="E2206" s="6" t="s">
        <v>47</v>
      </c>
      <c r="F2206" s="6" t="s">
        <v>656</v>
      </c>
      <c r="G2206" s="7">
        <v>204.68</v>
      </c>
    </row>
    <row r="2207" spans="1:7" x14ac:dyDescent="0.3">
      <c r="A2207" s="18">
        <v>46036</v>
      </c>
      <c r="B2207" s="18" t="s">
        <v>134</v>
      </c>
      <c r="C2207" s="18" t="s">
        <v>653</v>
      </c>
      <c r="D2207" s="6" t="s">
        <v>375</v>
      </c>
      <c r="E2207" s="6" t="s">
        <v>47</v>
      </c>
      <c r="F2207" s="6" t="s">
        <v>656</v>
      </c>
      <c r="G2207" s="7">
        <v>13074.55</v>
      </c>
    </row>
    <row r="2208" spans="1:7" x14ac:dyDescent="0.3">
      <c r="A2208" s="18">
        <v>46113</v>
      </c>
      <c r="B2208" s="18" t="s">
        <v>134</v>
      </c>
      <c r="C2208" s="18" t="s">
        <v>653</v>
      </c>
      <c r="D2208" s="6" t="s">
        <v>745</v>
      </c>
      <c r="E2208" s="6" t="s">
        <v>57</v>
      </c>
      <c r="F2208" s="6" t="s">
        <v>656</v>
      </c>
      <c r="G2208" s="7">
        <v>1836.885</v>
      </c>
    </row>
    <row r="2209" spans="1:7" x14ac:dyDescent="0.3">
      <c r="A2209" s="18">
        <v>46113</v>
      </c>
      <c r="B2209" s="18" t="s">
        <v>134</v>
      </c>
      <c r="C2209" s="18" t="s">
        <v>653</v>
      </c>
      <c r="D2209" s="6" t="s">
        <v>745</v>
      </c>
      <c r="E2209" s="6" t="s">
        <v>42</v>
      </c>
      <c r="F2209" s="6" t="s">
        <v>656</v>
      </c>
      <c r="G2209" s="7">
        <v>1836.885</v>
      </c>
    </row>
    <row r="2210" spans="1:7" x14ac:dyDescent="0.3">
      <c r="A2210" s="18">
        <v>46143</v>
      </c>
      <c r="B2210" s="18" t="s">
        <v>134</v>
      </c>
      <c r="C2210" s="18" t="s">
        <v>653</v>
      </c>
      <c r="D2210" s="6" t="s">
        <v>745</v>
      </c>
      <c r="E2210" s="6" t="s">
        <v>57</v>
      </c>
      <c r="F2210" s="6" t="s">
        <v>656</v>
      </c>
      <c r="G2210" s="7">
        <v>1836.885</v>
      </c>
    </row>
    <row r="2211" spans="1:7" x14ac:dyDescent="0.3">
      <c r="A2211" s="18">
        <v>46143</v>
      </c>
      <c r="B2211" s="18" t="s">
        <v>134</v>
      </c>
      <c r="C2211" s="18" t="s">
        <v>653</v>
      </c>
      <c r="D2211" s="6" t="s">
        <v>745</v>
      </c>
      <c r="E2211" s="6" t="s">
        <v>42</v>
      </c>
      <c r="F2211" s="6" t="s">
        <v>656</v>
      </c>
      <c r="G2211" s="7">
        <v>1836.885</v>
      </c>
    </row>
    <row r="2212" spans="1:7" x14ac:dyDescent="0.3">
      <c r="A2212" s="18">
        <v>46174</v>
      </c>
      <c r="B2212" s="18" t="s">
        <v>134</v>
      </c>
      <c r="C2212" s="18" t="s">
        <v>653</v>
      </c>
      <c r="D2212" s="6" t="s">
        <v>745</v>
      </c>
      <c r="E2212" s="6" t="s">
        <v>57</v>
      </c>
      <c r="F2212" s="6" t="s">
        <v>656</v>
      </c>
      <c r="G2212" s="7">
        <v>1836.885</v>
      </c>
    </row>
    <row r="2213" spans="1:7" x14ac:dyDescent="0.3">
      <c r="A2213" s="18">
        <v>46174</v>
      </c>
      <c r="B2213" s="18" t="s">
        <v>134</v>
      </c>
      <c r="C2213" s="18" t="s">
        <v>653</v>
      </c>
      <c r="D2213" s="6" t="s">
        <v>745</v>
      </c>
      <c r="E2213" s="6" t="s">
        <v>42</v>
      </c>
      <c r="F2213" s="6" t="s">
        <v>656</v>
      </c>
      <c r="G2213" s="7">
        <v>1836.885</v>
      </c>
    </row>
    <row r="2214" spans="1:7" x14ac:dyDescent="0.3">
      <c r="A2214" s="18">
        <v>46086</v>
      </c>
      <c r="B2214" s="18" t="s">
        <v>134</v>
      </c>
      <c r="C2214" s="18" t="s">
        <v>653</v>
      </c>
      <c r="D2214" s="6" t="s">
        <v>151</v>
      </c>
      <c r="E2214" s="6" t="s">
        <v>47</v>
      </c>
      <c r="F2214" s="6" t="s">
        <v>661</v>
      </c>
      <c r="G2214" s="7">
        <v>1886.5</v>
      </c>
    </row>
    <row r="2215" spans="1:7" x14ac:dyDescent="0.3">
      <c r="A2215" s="18">
        <v>46117</v>
      </c>
      <c r="B2215" s="18" t="s">
        <v>134</v>
      </c>
      <c r="C2215" s="18" t="s">
        <v>653</v>
      </c>
      <c r="D2215" s="6" t="s">
        <v>151</v>
      </c>
      <c r="E2215" s="6" t="s">
        <v>47</v>
      </c>
      <c r="F2215" s="6" t="s">
        <v>661</v>
      </c>
      <c r="G2215" s="7">
        <v>1886.5</v>
      </c>
    </row>
    <row r="2216" spans="1:7" x14ac:dyDescent="0.3">
      <c r="A2216" s="18">
        <v>46147</v>
      </c>
      <c r="B2216" s="18" t="s">
        <v>134</v>
      </c>
      <c r="C2216" s="18" t="s">
        <v>653</v>
      </c>
      <c r="D2216" s="6" t="s">
        <v>151</v>
      </c>
      <c r="E2216" s="6" t="s">
        <v>47</v>
      </c>
      <c r="F2216" s="6" t="s">
        <v>661</v>
      </c>
      <c r="G2216" s="7">
        <v>1886.5</v>
      </c>
    </row>
    <row r="2217" spans="1:7" x14ac:dyDescent="0.3">
      <c r="A2217" s="18">
        <v>46174</v>
      </c>
      <c r="B2217" s="18" t="s">
        <v>134</v>
      </c>
      <c r="C2217" s="18" t="s">
        <v>653</v>
      </c>
      <c r="D2217" s="6" t="s">
        <v>151</v>
      </c>
      <c r="E2217" s="6" t="s">
        <v>47</v>
      </c>
      <c r="F2217" s="6" t="s">
        <v>661</v>
      </c>
      <c r="G2217" s="7">
        <v>1886.5</v>
      </c>
    </row>
    <row r="2218" spans="1:7" x14ac:dyDescent="0.3">
      <c r="A2218" s="18">
        <v>46071</v>
      </c>
      <c r="B2218" s="18" t="s">
        <v>134</v>
      </c>
      <c r="C2218" s="18" t="s">
        <v>653</v>
      </c>
      <c r="D2218" s="6" t="s">
        <v>151</v>
      </c>
      <c r="E2218" s="6" t="s">
        <v>47</v>
      </c>
      <c r="F2218" s="6" t="s">
        <v>656</v>
      </c>
      <c r="G2218" s="7">
        <v>5640.96</v>
      </c>
    </row>
    <row r="2219" spans="1:7" x14ac:dyDescent="0.3">
      <c r="A2219" s="18">
        <v>46023</v>
      </c>
      <c r="B2219" s="18" t="s">
        <v>134</v>
      </c>
      <c r="C2219" s="18" t="s">
        <v>653</v>
      </c>
      <c r="D2219" s="6" t="s">
        <v>151</v>
      </c>
      <c r="E2219" s="6" t="s">
        <v>47</v>
      </c>
      <c r="F2219" s="6" t="s">
        <v>656</v>
      </c>
      <c r="G2219" s="7">
        <v>18528.12</v>
      </c>
    </row>
    <row r="2220" spans="1:7" x14ac:dyDescent="0.3">
      <c r="A2220" s="18">
        <v>46054</v>
      </c>
      <c r="B2220" s="18" t="s">
        <v>134</v>
      </c>
      <c r="C2220" s="18" t="s">
        <v>653</v>
      </c>
      <c r="D2220" s="6" t="s">
        <v>151</v>
      </c>
      <c r="E2220" s="6" t="s">
        <v>47</v>
      </c>
      <c r="F2220" s="6" t="s">
        <v>656</v>
      </c>
      <c r="G2220" s="7">
        <v>18528.12</v>
      </c>
    </row>
    <row r="2221" spans="1:7" x14ac:dyDescent="0.3">
      <c r="A2221" s="18">
        <v>46082</v>
      </c>
      <c r="B2221" s="18" t="s">
        <v>134</v>
      </c>
      <c r="C2221" s="18" t="s">
        <v>653</v>
      </c>
      <c r="D2221" s="6" t="s">
        <v>151</v>
      </c>
      <c r="E2221" s="6" t="s">
        <v>47</v>
      </c>
      <c r="F2221" s="6" t="s">
        <v>656</v>
      </c>
      <c r="G2221" s="7">
        <v>18528.12</v>
      </c>
    </row>
    <row r="2222" spans="1:7" x14ac:dyDescent="0.3">
      <c r="A2222" s="18">
        <v>46065</v>
      </c>
      <c r="B2222" s="18" t="s">
        <v>134</v>
      </c>
      <c r="C2222" s="18" t="s">
        <v>653</v>
      </c>
      <c r="D2222" s="6" t="s">
        <v>151</v>
      </c>
      <c r="E2222" s="6" t="s">
        <v>47</v>
      </c>
      <c r="F2222" s="6" t="s">
        <v>661</v>
      </c>
      <c r="G2222" s="7">
        <v>1886.5</v>
      </c>
    </row>
    <row r="2223" spans="1:7" x14ac:dyDescent="0.3">
      <c r="A2223" s="18">
        <v>46177</v>
      </c>
      <c r="B2223" s="18" t="s">
        <v>134</v>
      </c>
      <c r="C2223" s="18" t="s">
        <v>653</v>
      </c>
      <c r="D2223" s="6" t="s">
        <v>1042</v>
      </c>
      <c r="E2223" s="6" t="s">
        <v>57</v>
      </c>
      <c r="F2223" s="6" t="s">
        <v>656</v>
      </c>
      <c r="G2223" s="7">
        <v>469.1</v>
      </c>
    </row>
    <row r="2224" spans="1:7" x14ac:dyDescent="0.3">
      <c r="A2224" s="18">
        <v>46177</v>
      </c>
      <c r="B2224" s="18" t="s">
        <v>134</v>
      </c>
      <c r="C2224" s="18" t="s">
        <v>653</v>
      </c>
      <c r="D2224" s="6" t="s">
        <v>1042</v>
      </c>
      <c r="E2224" s="6" t="s">
        <v>42</v>
      </c>
      <c r="F2224" s="6" t="s">
        <v>656</v>
      </c>
      <c r="G2224" s="7">
        <v>469.1</v>
      </c>
    </row>
    <row r="2225" spans="1:8" x14ac:dyDescent="0.3">
      <c r="A2225" s="18">
        <v>46113</v>
      </c>
      <c r="B2225" s="18" t="s">
        <v>134</v>
      </c>
      <c r="C2225" s="18" t="s">
        <v>653</v>
      </c>
      <c r="D2225" s="6" t="s">
        <v>791</v>
      </c>
      <c r="E2225" s="6" t="s">
        <v>57</v>
      </c>
      <c r="F2225" s="6" t="s">
        <v>659</v>
      </c>
      <c r="G2225" s="7">
        <v>12350</v>
      </c>
    </row>
    <row r="2226" spans="1:8" x14ac:dyDescent="0.3">
      <c r="A2226" s="18">
        <v>46113</v>
      </c>
      <c r="B2226" s="18" t="s">
        <v>134</v>
      </c>
      <c r="C2226" s="18" t="s">
        <v>653</v>
      </c>
      <c r="D2226" s="6" t="s">
        <v>791</v>
      </c>
      <c r="E2226" s="6" t="s">
        <v>13</v>
      </c>
      <c r="F2226" s="6" t="s">
        <v>659</v>
      </c>
      <c r="G2226" s="7">
        <v>12350</v>
      </c>
    </row>
    <row r="2227" spans="1:8" x14ac:dyDescent="0.3">
      <c r="A2227" s="18">
        <v>46175</v>
      </c>
      <c r="B2227" s="18" t="s">
        <v>134</v>
      </c>
      <c r="C2227" s="18" t="s">
        <v>653</v>
      </c>
      <c r="D2227" s="6" t="s">
        <v>1030</v>
      </c>
      <c r="E2227" s="6" t="s">
        <v>57</v>
      </c>
      <c r="F2227" s="6" t="s">
        <v>656</v>
      </c>
      <c r="G2227" s="7">
        <v>23456.52</v>
      </c>
    </row>
    <row r="2228" spans="1:8" x14ac:dyDescent="0.3">
      <c r="A2228" s="18">
        <v>46175</v>
      </c>
      <c r="B2228" s="18" t="s">
        <v>134</v>
      </c>
      <c r="C2228" s="18" t="s">
        <v>653</v>
      </c>
      <c r="D2228" s="6" t="s">
        <v>1030</v>
      </c>
      <c r="E2228" s="6" t="s">
        <v>42</v>
      </c>
      <c r="F2228" s="6" t="s">
        <v>656</v>
      </c>
      <c r="G2228" s="7">
        <v>23456.52</v>
      </c>
    </row>
    <row r="2229" spans="1:8" x14ac:dyDescent="0.3">
      <c r="A2229" s="18">
        <v>46113</v>
      </c>
      <c r="B2229" s="18" t="s">
        <v>134</v>
      </c>
      <c r="C2229" s="18" t="s">
        <v>653</v>
      </c>
      <c r="D2229" s="6" t="s">
        <v>763</v>
      </c>
      <c r="E2229" s="6" t="s">
        <v>57</v>
      </c>
      <c r="F2229" s="6" t="s">
        <v>656</v>
      </c>
      <c r="G2229" s="7">
        <v>2400.8850000000002</v>
      </c>
    </row>
    <row r="2230" spans="1:8" x14ac:dyDescent="0.3">
      <c r="A2230" s="18">
        <v>46113</v>
      </c>
      <c r="B2230" s="18" t="s">
        <v>134</v>
      </c>
      <c r="C2230" s="18" t="s">
        <v>653</v>
      </c>
      <c r="D2230" s="6" t="s">
        <v>763</v>
      </c>
      <c r="E2230" s="6" t="s">
        <v>42</v>
      </c>
      <c r="F2230" s="6" t="s">
        <v>656</v>
      </c>
      <c r="G2230" s="7">
        <v>2400.8850000000002</v>
      </c>
    </row>
    <row r="2231" spans="1:8" x14ac:dyDescent="0.3">
      <c r="A2231" s="18">
        <v>46177</v>
      </c>
      <c r="B2231" s="18" t="s">
        <v>134</v>
      </c>
      <c r="C2231" s="18" t="s">
        <v>653</v>
      </c>
      <c r="D2231" s="6" t="s">
        <v>1135</v>
      </c>
      <c r="E2231" s="6" t="s">
        <v>57</v>
      </c>
      <c r="F2231" s="6" t="s">
        <v>656</v>
      </c>
      <c r="G2231" s="7">
        <v>427.22</v>
      </c>
    </row>
    <row r="2232" spans="1:8" x14ac:dyDescent="0.3">
      <c r="A2232" s="18">
        <v>46177</v>
      </c>
      <c r="B2232" s="18" t="s">
        <v>134</v>
      </c>
      <c r="C2232" s="18" t="s">
        <v>653</v>
      </c>
      <c r="D2232" s="6" t="s">
        <v>1135</v>
      </c>
      <c r="E2232" s="6" t="s">
        <v>42</v>
      </c>
      <c r="F2232" s="6" t="s">
        <v>656</v>
      </c>
      <c r="G2232" s="7">
        <v>427.22</v>
      </c>
    </row>
    <row r="2233" spans="1:8" x14ac:dyDescent="0.3">
      <c r="A2233" s="18">
        <v>46100</v>
      </c>
      <c r="B2233" s="18" t="s">
        <v>134</v>
      </c>
      <c r="C2233" s="18" t="s">
        <v>653</v>
      </c>
      <c r="D2233" s="6" t="s">
        <v>567</v>
      </c>
      <c r="E2233" s="6" t="s">
        <v>57</v>
      </c>
      <c r="F2233" s="6" t="s">
        <v>656</v>
      </c>
      <c r="G2233" s="7">
        <v>1515.37</v>
      </c>
    </row>
    <row r="2234" spans="1:8" x14ac:dyDescent="0.3">
      <c r="A2234" s="18">
        <v>46100</v>
      </c>
      <c r="B2234" s="18" t="s">
        <v>134</v>
      </c>
      <c r="C2234" s="18" t="s">
        <v>653</v>
      </c>
      <c r="D2234" s="6" t="s">
        <v>567</v>
      </c>
      <c r="E2234" s="6" t="s">
        <v>42</v>
      </c>
      <c r="F2234" s="6" t="s">
        <v>656</v>
      </c>
      <c r="G2234" s="7">
        <v>1515.37</v>
      </c>
      <c r="H2234">
        <f>G2234/2</f>
        <v>757.68499999999995</v>
      </c>
    </row>
    <row r="2235" spans="1:8" x14ac:dyDescent="0.3">
      <c r="A2235" s="18">
        <v>46106</v>
      </c>
      <c r="B2235" s="18" t="s">
        <v>134</v>
      </c>
      <c r="C2235" s="18" t="s">
        <v>653</v>
      </c>
      <c r="D2235" s="6" t="s">
        <v>567</v>
      </c>
      <c r="E2235" s="6" t="s">
        <v>57</v>
      </c>
      <c r="F2235" s="6" t="s">
        <v>656</v>
      </c>
      <c r="G2235" s="7">
        <v>9477.2350000000006</v>
      </c>
    </row>
    <row r="2236" spans="1:8" x14ac:dyDescent="0.3">
      <c r="A2236" s="18">
        <v>46107</v>
      </c>
      <c r="B2236" s="18" t="s">
        <v>134</v>
      </c>
      <c r="C2236" s="18" t="s">
        <v>653</v>
      </c>
      <c r="D2236" s="6" t="s">
        <v>567</v>
      </c>
      <c r="E2236" s="6" t="s">
        <v>42</v>
      </c>
      <c r="F2236" s="6" t="s">
        <v>656</v>
      </c>
      <c r="G2236" s="7">
        <v>9477.2350000000006</v>
      </c>
    </row>
    <row r="2237" spans="1:8" x14ac:dyDescent="0.3">
      <c r="A2237" s="18">
        <v>46168</v>
      </c>
      <c r="B2237" s="18" t="s">
        <v>134</v>
      </c>
      <c r="C2237" s="18" t="s">
        <v>653</v>
      </c>
      <c r="D2237" s="6" t="s">
        <v>917</v>
      </c>
      <c r="E2237" s="6" t="s">
        <v>57</v>
      </c>
      <c r="F2237" s="6" t="s">
        <v>656</v>
      </c>
      <c r="G2237" s="7">
        <v>5136.2</v>
      </c>
    </row>
    <row r="2238" spans="1:8" x14ac:dyDescent="0.3">
      <c r="A2238" s="18">
        <v>46168</v>
      </c>
      <c r="B2238" s="18" t="s">
        <v>134</v>
      </c>
      <c r="C2238" s="18" t="s">
        <v>653</v>
      </c>
      <c r="D2238" s="6" t="s">
        <v>917</v>
      </c>
      <c r="E2238" s="6" t="s">
        <v>42</v>
      </c>
      <c r="F2238" s="6" t="s">
        <v>656</v>
      </c>
      <c r="G2238" s="7">
        <v>5136.2</v>
      </c>
    </row>
    <row r="2239" spans="1:8" x14ac:dyDescent="0.3">
      <c r="A2239" s="18">
        <v>46181</v>
      </c>
      <c r="B2239" s="18" t="s">
        <v>134</v>
      </c>
      <c r="C2239" s="18" t="s">
        <v>653</v>
      </c>
      <c r="D2239" s="6" t="s">
        <v>1075</v>
      </c>
      <c r="E2239" s="6" t="s">
        <v>57</v>
      </c>
      <c r="F2239" s="6" t="s">
        <v>656</v>
      </c>
      <c r="G2239" s="7">
        <v>16345.11</v>
      </c>
    </row>
    <row r="2240" spans="1:8" x14ac:dyDescent="0.3">
      <c r="A2240" s="18">
        <v>46181</v>
      </c>
      <c r="B2240" s="18" t="s">
        <v>134</v>
      </c>
      <c r="C2240" s="18" t="s">
        <v>653</v>
      </c>
      <c r="D2240" s="6" t="s">
        <v>1075</v>
      </c>
      <c r="E2240" s="6" t="s">
        <v>42</v>
      </c>
      <c r="F2240" s="6" t="s">
        <v>656</v>
      </c>
      <c r="G2240" s="7">
        <v>16345.11</v>
      </c>
    </row>
    <row r="2241" spans="1:7" x14ac:dyDescent="0.3">
      <c r="A2241" s="18">
        <v>46182</v>
      </c>
      <c r="B2241" s="18" t="s">
        <v>134</v>
      </c>
      <c r="C2241" s="18" t="s">
        <v>653</v>
      </c>
      <c r="D2241" s="6" t="s">
        <v>1076</v>
      </c>
      <c r="E2241" s="6" t="s">
        <v>57</v>
      </c>
      <c r="F2241" s="6" t="s">
        <v>656</v>
      </c>
      <c r="G2241" s="7">
        <v>6372.92</v>
      </c>
    </row>
    <row r="2242" spans="1:7" x14ac:dyDescent="0.3">
      <c r="A2242" s="18">
        <v>46182</v>
      </c>
      <c r="B2242" s="18" t="s">
        <v>134</v>
      </c>
      <c r="C2242" s="18" t="s">
        <v>653</v>
      </c>
      <c r="D2242" s="6" t="s">
        <v>1076</v>
      </c>
      <c r="E2242" s="6" t="s">
        <v>42</v>
      </c>
      <c r="F2242" s="6" t="s">
        <v>656</v>
      </c>
      <c r="G2242" s="7">
        <v>6372.92</v>
      </c>
    </row>
    <row r="2243" spans="1:7" x14ac:dyDescent="0.3">
      <c r="A2243" s="18">
        <v>46168</v>
      </c>
      <c r="B2243" s="18" t="s">
        <v>134</v>
      </c>
      <c r="C2243" s="18" t="s">
        <v>647</v>
      </c>
      <c r="D2243" s="6" t="s">
        <v>918</v>
      </c>
      <c r="E2243" s="6" t="s">
        <v>57</v>
      </c>
      <c r="F2243" s="6" t="s">
        <v>656</v>
      </c>
      <c r="G2243" s="7">
        <v>987.96</v>
      </c>
    </row>
    <row r="2244" spans="1:7" x14ac:dyDescent="0.3">
      <c r="A2244" s="18">
        <v>46168</v>
      </c>
      <c r="B2244" s="18" t="s">
        <v>134</v>
      </c>
      <c r="C2244" s="18" t="s">
        <v>647</v>
      </c>
      <c r="D2244" s="6" t="s">
        <v>918</v>
      </c>
      <c r="E2244" s="6" t="s">
        <v>42</v>
      </c>
      <c r="F2244" s="6" t="s">
        <v>656</v>
      </c>
      <c r="G2244" s="7">
        <v>987.96</v>
      </c>
    </row>
    <row r="2245" spans="1:7" x14ac:dyDescent="0.3">
      <c r="A2245" s="18">
        <v>46172</v>
      </c>
      <c r="B2245" s="18" t="s">
        <v>134</v>
      </c>
      <c r="C2245" s="18" t="s">
        <v>652</v>
      </c>
      <c r="D2245" s="6" t="s">
        <v>939</v>
      </c>
      <c r="E2245" s="6" t="s">
        <v>47</v>
      </c>
      <c r="F2245" s="6" t="s">
        <v>656</v>
      </c>
      <c r="G2245" s="7">
        <v>5770.15</v>
      </c>
    </row>
    <row r="2246" spans="1:7" x14ac:dyDescent="0.3">
      <c r="A2246" s="18">
        <v>46181</v>
      </c>
      <c r="B2246" s="18" t="s">
        <v>134</v>
      </c>
      <c r="C2246" s="18" t="s">
        <v>652</v>
      </c>
      <c r="D2246" s="6" t="s">
        <v>939</v>
      </c>
      <c r="E2246" s="6" t="s">
        <v>57</v>
      </c>
      <c r="F2246" s="6" t="s">
        <v>656</v>
      </c>
      <c r="G2246" s="7">
        <v>756.75</v>
      </c>
    </row>
    <row r="2247" spans="1:7" x14ac:dyDescent="0.3">
      <c r="A2247" s="18">
        <v>46181</v>
      </c>
      <c r="B2247" s="18" t="s">
        <v>134</v>
      </c>
      <c r="C2247" s="18" t="s">
        <v>652</v>
      </c>
      <c r="D2247" s="6" t="s">
        <v>939</v>
      </c>
      <c r="E2247" s="6" t="s">
        <v>42</v>
      </c>
      <c r="F2247" s="6" t="s">
        <v>656</v>
      </c>
      <c r="G2247" s="7">
        <v>756.75</v>
      </c>
    </row>
    <row r="2248" spans="1:7" x14ac:dyDescent="0.3">
      <c r="A2248" s="18">
        <v>46175</v>
      </c>
      <c r="B2248" s="18" t="s">
        <v>134</v>
      </c>
      <c r="C2248" s="18" t="s">
        <v>652</v>
      </c>
      <c r="D2248" s="6" t="s">
        <v>1032</v>
      </c>
      <c r="E2248" s="6" t="s">
        <v>47</v>
      </c>
      <c r="F2248" s="6" t="s">
        <v>656</v>
      </c>
      <c r="G2248" s="7">
        <v>1559.85</v>
      </c>
    </row>
    <row r="2249" spans="1:7" x14ac:dyDescent="0.3">
      <c r="A2249" s="18">
        <v>46023</v>
      </c>
      <c r="B2249" s="18" t="s">
        <v>134</v>
      </c>
      <c r="C2249" s="18" t="s">
        <v>652</v>
      </c>
      <c r="D2249" s="6" t="s">
        <v>427</v>
      </c>
      <c r="E2249" s="6" t="s">
        <v>47</v>
      </c>
      <c r="F2249" s="6" t="s">
        <v>656</v>
      </c>
      <c r="G2249" s="7">
        <v>399.91</v>
      </c>
    </row>
    <row r="2250" spans="1:7" x14ac:dyDescent="0.3">
      <c r="A2250" s="18">
        <v>46172</v>
      </c>
      <c r="B2250" s="18" t="s">
        <v>134</v>
      </c>
      <c r="C2250" s="18" t="s">
        <v>652</v>
      </c>
      <c r="D2250" s="6" t="s">
        <v>1019</v>
      </c>
      <c r="E2250" s="6" t="s">
        <v>47</v>
      </c>
      <c r="F2250" s="6" t="s">
        <v>656</v>
      </c>
      <c r="G2250" s="7">
        <v>3148.48</v>
      </c>
    </row>
    <row r="2251" spans="1:7" x14ac:dyDescent="0.3">
      <c r="A2251" s="18">
        <v>46023</v>
      </c>
      <c r="B2251" s="18" t="s">
        <v>134</v>
      </c>
      <c r="C2251" s="18" t="s">
        <v>650</v>
      </c>
      <c r="D2251" s="6" t="s">
        <v>651</v>
      </c>
      <c r="E2251" s="6" t="s">
        <v>57</v>
      </c>
      <c r="F2251" s="6" t="s">
        <v>656</v>
      </c>
      <c r="G2251" s="7">
        <v>3714.6366666666668</v>
      </c>
    </row>
    <row r="2252" spans="1:7" x14ac:dyDescent="0.3">
      <c r="A2252" s="18">
        <v>46023</v>
      </c>
      <c r="B2252" s="18" t="s">
        <v>134</v>
      </c>
      <c r="C2252" s="18" t="s">
        <v>650</v>
      </c>
      <c r="D2252" s="6" t="s">
        <v>651</v>
      </c>
      <c r="E2252" s="6" t="s">
        <v>50</v>
      </c>
      <c r="F2252" s="6" t="s">
        <v>656</v>
      </c>
      <c r="G2252" s="7">
        <v>3714.6366666666668</v>
      </c>
    </row>
    <row r="2253" spans="1:7" x14ac:dyDescent="0.3">
      <c r="A2253" s="18">
        <v>46023</v>
      </c>
      <c r="B2253" s="18" t="s">
        <v>134</v>
      </c>
      <c r="C2253" s="18" t="s">
        <v>650</v>
      </c>
      <c r="D2253" s="6" t="s">
        <v>651</v>
      </c>
      <c r="E2253" s="6" t="s">
        <v>13</v>
      </c>
      <c r="F2253" s="6" t="s">
        <v>656</v>
      </c>
      <c r="G2253" s="7">
        <v>3714.6366666666668</v>
      </c>
    </row>
    <row r="2254" spans="1:7" x14ac:dyDescent="0.3">
      <c r="A2254" s="18">
        <v>46054</v>
      </c>
      <c r="B2254" s="18" t="s">
        <v>134</v>
      </c>
      <c r="C2254" s="18" t="s">
        <v>650</v>
      </c>
      <c r="D2254" s="6" t="s">
        <v>651</v>
      </c>
      <c r="E2254" s="6" t="s">
        <v>57</v>
      </c>
      <c r="F2254" s="6" t="s">
        <v>656</v>
      </c>
      <c r="G2254" s="7">
        <v>3714.6366666666668</v>
      </c>
    </row>
    <row r="2255" spans="1:7" x14ac:dyDescent="0.3">
      <c r="A2255" s="18">
        <v>46054</v>
      </c>
      <c r="B2255" s="18" t="s">
        <v>134</v>
      </c>
      <c r="C2255" s="18" t="s">
        <v>650</v>
      </c>
      <c r="D2255" s="6" t="s">
        <v>651</v>
      </c>
      <c r="E2255" s="6" t="s">
        <v>50</v>
      </c>
      <c r="F2255" s="6" t="s">
        <v>656</v>
      </c>
      <c r="G2255" s="7">
        <v>3714.6366666666668</v>
      </c>
    </row>
    <row r="2256" spans="1:7" x14ac:dyDescent="0.3">
      <c r="A2256" s="18">
        <v>46054</v>
      </c>
      <c r="B2256" s="18" t="s">
        <v>134</v>
      </c>
      <c r="C2256" s="18" t="s">
        <v>650</v>
      </c>
      <c r="D2256" s="6" t="s">
        <v>651</v>
      </c>
      <c r="E2256" s="6" t="s">
        <v>13</v>
      </c>
      <c r="F2256" s="6" t="s">
        <v>656</v>
      </c>
      <c r="G2256" s="7">
        <v>3714.6366666666668</v>
      </c>
    </row>
    <row r="2257" spans="1:7" x14ac:dyDescent="0.3">
      <c r="A2257" s="18">
        <v>46185</v>
      </c>
      <c r="B2257" s="18" t="s">
        <v>134</v>
      </c>
      <c r="C2257" s="18" t="s">
        <v>649</v>
      </c>
      <c r="D2257" s="6" t="s">
        <v>374</v>
      </c>
      <c r="E2257" s="6" t="s">
        <v>57</v>
      </c>
      <c r="F2257" s="6" t="s">
        <v>656</v>
      </c>
      <c r="G2257" s="7">
        <v>253.6</v>
      </c>
    </row>
    <row r="2258" spans="1:7" x14ac:dyDescent="0.3">
      <c r="A2258" s="18">
        <v>46185</v>
      </c>
      <c r="B2258" s="18" t="s">
        <v>134</v>
      </c>
      <c r="C2258" s="18" t="s">
        <v>649</v>
      </c>
      <c r="D2258" s="6" t="s">
        <v>374</v>
      </c>
      <c r="E2258" s="6" t="s">
        <v>42</v>
      </c>
      <c r="F2258" s="6" t="s">
        <v>656</v>
      </c>
      <c r="G2258" s="7">
        <v>253.6</v>
      </c>
    </row>
    <row r="2259" spans="1:7" x14ac:dyDescent="0.3">
      <c r="A2259" s="18">
        <v>46113</v>
      </c>
      <c r="B2259" s="18" t="s">
        <v>134</v>
      </c>
      <c r="C2259" s="18" t="s">
        <v>649</v>
      </c>
      <c r="D2259" s="6" t="s">
        <v>759</v>
      </c>
      <c r="E2259" s="6" t="s">
        <v>57</v>
      </c>
      <c r="F2259" s="6" t="s">
        <v>656</v>
      </c>
      <c r="G2259" s="7">
        <v>484.86</v>
      </c>
    </row>
    <row r="2260" spans="1:7" x14ac:dyDescent="0.3">
      <c r="A2260" s="18">
        <v>46113</v>
      </c>
      <c r="B2260" s="18" t="s">
        <v>134</v>
      </c>
      <c r="C2260" s="18" t="s">
        <v>649</v>
      </c>
      <c r="D2260" s="6" t="s">
        <v>759</v>
      </c>
      <c r="E2260" s="6" t="s">
        <v>42</v>
      </c>
      <c r="F2260" s="6" t="s">
        <v>656</v>
      </c>
      <c r="G2260" s="7">
        <v>484.86</v>
      </c>
    </row>
    <row r="2261" spans="1:7" x14ac:dyDescent="0.3">
      <c r="A2261" s="18">
        <v>46143</v>
      </c>
      <c r="B2261" s="18" t="s">
        <v>134</v>
      </c>
      <c r="C2261" s="18" t="s">
        <v>649</v>
      </c>
      <c r="D2261" s="6" t="s">
        <v>759</v>
      </c>
      <c r="E2261" s="6" t="s">
        <v>57</v>
      </c>
      <c r="F2261" s="6" t="s">
        <v>656</v>
      </c>
      <c r="G2261" s="7">
        <v>484.86</v>
      </c>
    </row>
    <row r="2262" spans="1:7" x14ac:dyDescent="0.3">
      <c r="A2262" s="18">
        <v>46143</v>
      </c>
      <c r="B2262" s="18" t="s">
        <v>134</v>
      </c>
      <c r="C2262" s="18" t="s">
        <v>649</v>
      </c>
      <c r="D2262" s="6" t="s">
        <v>759</v>
      </c>
      <c r="E2262" s="6" t="s">
        <v>42</v>
      </c>
      <c r="F2262" s="6" t="s">
        <v>656</v>
      </c>
      <c r="G2262" s="7">
        <v>484.86</v>
      </c>
    </row>
    <row r="2263" spans="1:7" x14ac:dyDescent="0.3">
      <c r="A2263" s="18">
        <v>46174</v>
      </c>
      <c r="B2263" s="18" t="s">
        <v>134</v>
      </c>
      <c r="C2263" s="18" t="s">
        <v>649</v>
      </c>
      <c r="D2263" s="6" t="s">
        <v>759</v>
      </c>
      <c r="E2263" s="6" t="s">
        <v>57</v>
      </c>
      <c r="F2263" s="6" t="s">
        <v>656</v>
      </c>
      <c r="G2263" s="7">
        <v>484.86</v>
      </c>
    </row>
    <row r="2264" spans="1:7" x14ac:dyDescent="0.3">
      <c r="A2264" s="18">
        <v>46174</v>
      </c>
      <c r="B2264" s="18" t="s">
        <v>134</v>
      </c>
      <c r="C2264" s="18" t="s">
        <v>649</v>
      </c>
      <c r="D2264" s="6" t="s">
        <v>759</v>
      </c>
      <c r="E2264" s="6" t="s">
        <v>42</v>
      </c>
      <c r="F2264" s="6" t="s">
        <v>656</v>
      </c>
      <c r="G2264" s="7">
        <v>484.86</v>
      </c>
    </row>
    <row r="2265" spans="1:7" x14ac:dyDescent="0.3">
      <c r="A2265" s="18">
        <v>46038</v>
      </c>
      <c r="B2265" s="18" t="s">
        <v>134</v>
      </c>
      <c r="C2265" s="18" t="s">
        <v>649</v>
      </c>
      <c r="D2265" s="6" t="s">
        <v>522</v>
      </c>
      <c r="E2265" s="6" t="s">
        <v>47</v>
      </c>
      <c r="F2265" s="6" t="s">
        <v>656</v>
      </c>
      <c r="G2265" s="7">
        <v>288.16000000000003</v>
      </c>
    </row>
    <row r="2266" spans="1:7" x14ac:dyDescent="0.3">
      <c r="A2266" s="18">
        <v>46038</v>
      </c>
      <c r="B2266" s="18" t="s">
        <v>134</v>
      </c>
      <c r="C2266" s="18" t="s">
        <v>649</v>
      </c>
      <c r="D2266" s="6" t="s">
        <v>522</v>
      </c>
      <c r="E2266" s="6" t="s">
        <v>47</v>
      </c>
      <c r="F2266" s="6" t="s">
        <v>656</v>
      </c>
      <c r="G2266" s="7">
        <v>325.75</v>
      </c>
    </row>
    <row r="2267" spans="1:7" x14ac:dyDescent="0.3">
      <c r="A2267" s="18">
        <v>46038</v>
      </c>
      <c r="B2267" s="18" t="s">
        <v>134</v>
      </c>
      <c r="C2267" s="18" t="s">
        <v>649</v>
      </c>
      <c r="D2267" s="6" t="s">
        <v>522</v>
      </c>
      <c r="E2267" s="6" t="s">
        <v>47</v>
      </c>
      <c r="F2267" s="6" t="s">
        <v>656</v>
      </c>
      <c r="G2267" s="7">
        <v>538.46</v>
      </c>
    </row>
    <row r="2268" spans="1:7" x14ac:dyDescent="0.3">
      <c r="A2268" s="18">
        <v>46037</v>
      </c>
      <c r="B2268" s="18" t="s">
        <v>134</v>
      </c>
      <c r="C2268" s="18" t="s">
        <v>649</v>
      </c>
      <c r="D2268" s="6" t="s">
        <v>522</v>
      </c>
      <c r="E2268" s="6" t="s">
        <v>47</v>
      </c>
      <c r="F2268" s="6" t="s">
        <v>656</v>
      </c>
      <c r="G2268" s="7">
        <v>651.70000000000005</v>
      </c>
    </row>
    <row r="2269" spans="1:7" x14ac:dyDescent="0.3">
      <c r="A2269" s="18">
        <v>46054</v>
      </c>
      <c r="B2269" s="18" t="s">
        <v>134</v>
      </c>
      <c r="C2269" s="18" t="s">
        <v>649</v>
      </c>
      <c r="D2269" s="6" t="s">
        <v>522</v>
      </c>
      <c r="E2269" s="6" t="s">
        <v>13</v>
      </c>
      <c r="F2269" s="6" t="s">
        <v>656</v>
      </c>
      <c r="G2269" s="7">
        <v>735.34</v>
      </c>
    </row>
    <row r="2270" spans="1:7" x14ac:dyDescent="0.3">
      <c r="A2270" s="18">
        <v>46035</v>
      </c>
      <c r="B2270" s="18" t="s">
        <v>134</v>
      </c>
      <c r="C2270" s="18" t="s">
        <v>649</v>
      </c>
      <c r="D2270" s="6" t="s">
        <v>522</v>
      </c>
      <c r="E2270" s="6" t="s">
        <v>57</v>
      </c>
      <c r="F2270" s="6" t="s">
        <v>656</v>
      </c>
      <c r="G2270" s="7">
        <v>1039.4000000000001</v>
      </c>
    </row>
    <row r="2271" spans="1:7" x14ac:dyDescent="0.3">
      <c r="A2271" s="18">
        <v>46035</v>
      </c>
      <c r="B2271" s="18" t="s">
        <v>134</v>
      </c>
      <c r="C2271" s="18" t="s">
        <v>649</v>
      </c>
      <c r="D2271" s="6" t="s">
        <v>522</v>
      </c>
      <c r="E2271" s="6" t="s">
        <v>42</v>
      </c>
      <c r="F2271" s="6" t="s">
        <v>656</v>
      </c>
      <c r="G2271" s="7">
        <v>1039.4000000000001</v>
      </c>
    </row>
    <row r="2272" spans="1:7" x14ac:dyDescent="0.3">
      <c r="A2272" s="18">
        <v>46042</v>
      </c>
      <c r="B2272" s="18" t="s">
        <v>134</v>
      </c>
      <c r="C2272" s="18" t="s">
        <v>649</v>
      </c>
      <c r="D2272" s="6" t="s">
        <v>522</v>
      </c>
      <c r="E2272" s="6" t="s">
        <v>47</v>
      </c>
      <c r="F2272" s="6" t="s">
        <v>656</v>
      </c>
      <c r="G2272" s="7">
        <v>1295</v>
      </c>
    </row>
    <row r="2273" spans="1:7" x14ac:dyDescent="0.3">
      <c r="A2273" s="18">
        <v>46104</v>
      </c>
      <c r="B2273" s="18" t="s">
        <v>134</v>
      </c>
      <c r="C2273" s="18" t="s">
        <v>649</v>
      </c>
      <c r="D2273" s="6" t="s">
        <v>522</v>
      </c>
      <c r="E2273" s="6" t="s">
        <v>42</v>
      </c>
      <c r="F2273" s="6" t="s">
        <v>656</v>
      </c>
      <c r="G2273" s="7">
        <v>1393.64</v>
      </c>
    </row>
    <row r="2274" spans="1:7" x14ac:dyDescent="0.3">
      <c r="A2274" s="18">
        <v>46036</v>
      </c>
      <c r="B2274" s="18" t="s">
        <v>134</v>
      </c>
      <c r="C2274" s="18" t="s">
        <v>649</v>
      </c>
      <c r="D2274" s="6" t="s">
        <v>522</v>
      </c>
      <c r="E2274" s="6" t="s">
        <v>47</v>
      </c>
      <c r="F2274" s="6" t="s">
        <v>656</v>
      </c>
      <c r="G2274" s="7">
        <v>1398</v>
      </c>
    </row>
    <row r="2275" spans="1:7" x14ac:dyDescent="0.3">
      <c r="A2275" s="18">
        <v>46054</v>
      </c>
      <c r="B2275" s="18" t="s">
        <v>134</v>
      </c>
      <c r="C2275" s="18" t="s">
        <v>649</v>
      </c>
      <c r="D2275" s="6" t="s">
        <v>522</v>
      </c>
      <c r="E2275" s="6" t="s">
        <v>47</v>
      </c>
      <c r="F2275" s="6" t="s">
        <v>656</v>
      </c>
      <c r="G2275" s="7">
        <v>1398</v>
      </c>
    </row>
    <row r="2276" spans="1:7" x14ac:dyDescent="0.3">
      <c r="A2276" s="18">
        <v>46082</v>
      </c>
      <c r="B2276" s="18" t="s">
        <v>134</v>
      </c>
      <c r="C2276" s="18" t="s">
        <v>649</v>
      </c>
      <c r="D2276" s="6" t="s">
        <v>522</v>
      </c>
      <c r="E2276" s="6" t="s">
        <v>47</v>
      </c>
      <c r="F2276" s="6" t="s">
        <v>656</v>
      </c>
      <c r="G2276" s="7">
        <v>1398</v>
      </c>
    </row>
    <row r="2277" spans="1:7" x14ac:dyDescent="0.3">
      <c r="A2277" s="18">
        <v>46036</v>
      </c>
      <c r="B2277" s="18" t="s">
        <v>134</v>
      </c>
      <c r="C2277" s="18" t="s">
        <v>649</v>
      </c>
      <c r="D2277" s="6" t="s">
        <v>522</v>
      </c>
      <c r="E2277" s="6" t="s">
        <v>47</v>
      </c>
      <c r="F2277" s="6" t="s">
        <v>656</v>
      </c>
      <c r="G2277" s="7">
        <v>1438</v>
      </c>
    </row>
    <row r="2278" spans="1:7" x14ac:dyDescent="0.3">
      <c r="A2278" s="18">
        <v>46054</v>
      </c>
      <c r="B2278" s="18" t="s">
        <v>134</v>
      </c>
      <c r="C2278" s="18" t="s">
        <v>649</v>
      </c>
      <c r="D2278" s="6" t="s">
        <v>522</v>
      </c>
      <c r="E2278" s="6" t="s">
        <v>47</v>
      </c>
      <c r="F2278" s="6" t="s">
        <v>656</v>
      </c>
      <c r="G2278" s="7">
        <v>1438</v>
      </c>
    </row>
    <row r="2279" spans="1:7" x14ac:dyDescent="0.3">
      <c r="A2279" s="18">
        <v>46082</v>
      </c>
      <c r="B2279" s="18" t="s">
        <v>134</v>
      </c>
      <c r="C2279" s="18" t="s">
        <v>649</v>
      </c>
      <c r="D2279" s="6" t="s">
        <v>522</v>
      </c>
      <c r="E2279" s="6" t="s">
        <v>47</v>
      </c>
      <c r="F2279" s="6" t="s">
        <v>656</v>
      </c>
      <c r="G2279" s="7">
        <v>1438</v>
      </c>
    </row>
    <row r="2280" spans="1:7" x14ac:dyDescent="0.3">
      <c r="A2280" s="18">
        <v>46037</v>
      </c>
      <c r="B2280" s="18" t="s">
        <v>134</v>
      </c>
      <c r="C2280" s="18" t="s">
        <v>649</v>
      </c>
      <c r="D2280" s="6" t="s">
        <v>522</v>
      </c>
      <c r="E2280" s="6" t="s">
        <v>47</v>
      </c>
      <c r="F2280" s="6" t="s">
        <v>656</v>
      </c>
      <c r="G2280" s="7">
        <v>3158.6</v>
      </c>
    </row>
    <row r="2281" spans="1:7" x14ac:dyDescent="0.3">
      <c r="A2281" s="18">
        <v>46035</v>
      </c>
      <c r="B2281" s="18" t="s">
        <v>134</v>
      </c>
      <c r="C2281" s="18" t="s">
        <v>649</v>
      </c>
      <c r="D2281" s="6" t="s">
        <v>522</v>
      </c>
      <c r="E2281" s="6" t="s">
        <v>57</v>
      </c>
      <c r="F2281" s="6" t="s">
        <v>656</v>
      </c>
      <c r="G2281" s="7">
        <v>5035.3</v>
      </c>
    </row>
    <row r="2282" spans="1:7" x14ac:dyDescent="0.3">
      <c r="A2282" s="18">
        <v>46035</v>
      </c>
      <c r="B2282" s="18" t="s">
        <v>134</v>
      </c>
      <c r="C2282" s="18" t="s">
        <v>649</v>
      </c>
      <c r="D2282" s="6" t="s">
        <v>522</v>
      </c>
      <c r="E2282" s="6" t="s">
        <v>42</v>
      </c>
      <c r="F2282" s="6" t="s">
        <v>656</v>
      </c>
      <c r="G2282" s="7">
        <v>5035.3</v>
      </c>
    </row>
    <row r="2283" spans="1:7" x14ac:dyDescent="0.3">
      <c r="A2283" s="18">
        <v>46054</v>
      </c>
      <c r="B2283" s="18" t="s">
        <v>134</v>
      </c>
      <c r="C2283" s="18" t="s">
        <v>649</v>
      </c>
      <c r="D2283" s="6" t="s">
        <v>522</v>
      </c>
      <c r="E2283" s="6" t="s">
        <v>47</v>
      </c>
      <c r="F2283" s="6" t="s">
        <v>656</v>
      </c>
      <c r="G2283" s="7">
        <v>7424.26</v>
      </c>
    </row>
    <row r="2284" spans="1:7" x14ac:dyDescent="0.3">
      <c r="A2284" s="18">
        <v>46082</v>
      </c>
      <c r="B2284" s="18" t="s">
        <v>134</v>
      </c>
      <c r="C2284" s="18" t="s">
        <v>649</v>
      </c>
      <c r="D2284" s="6" t="s">
        <v>522</v>
      </c>
      <c r="E2284" s="6" t="s">
        <v>47</v>
      </c>
      <c r="F2284" s="6" t="s">
        <v>656</v>
      </c>
      <c r="G2284" s="7">
        <v>7424.26</v>
      </c>
    </row>
    <row r="2285" spans="1:7" x14ac:dyDescent="0.3">
      <c r="A2285" s="18">
        <v>46104</v>
      </c>
      <c r="B2285" s="18" t="s">
        <v>134</v>
      </c>
      <c r="C2285" s="18" t="s">
        <v>649</v>
      </c>
      <c r="D2285" s="6" t="s">
        <v>522</v>
      </c>
      <c r="E2285" s="6" t="s">
        <v>42</v>
      </c>
      <c r="F2285" s="6" t="s">
        <v>656</v>
      </c>
      <c r="G2285" s="7">
        <v>9507.23</v>
      </c>
    </row>
    <row r="2286" spans="1:7" x14ac:dyDescent="0.3">
      <c r="A2286" s="18">
        <v>46023</v>
      </c>
      <c r="B2286" s="18" t="s">
        <v>134</v>
      </c>
      <c r="C2286" s="18" t="s">
        <v>649</v>
      </c>
      <c r="D2286" s="6" t="s">
        <v>522</v>
      </c>
      <c r="E2286" s="6" t="s">
        <v>47</v>
      </c>
      <c r="F2286" s="6" t="s">
        <v>656</v>
      </c>
      <c r="G2286" s="7">
        <v>11221.72</v>
      </c>
    </row>
    <row r="2287" spans="1:7" x14ac:dyDescent="0.3">
      <c r="A2287" s="18">
        <v>46104</v>
      </c>
      <c r="B2287" s="18" t="s">
        <v>134</v>
      </c>
      <c r="C2287" s="18" t="s">
        <v>649</v>
      </c>
      <c r="D2287" s="6" t="s">
        <v>522</v>
      </c>
      <c r="E2287" s="6" t="s">
        <v>57</v>
      </c>
      <c r="F2287" s="6" t="s">
        <v>656</v>
      </c>
      <c r="G2287" s="7">
        <v>18409.759999999998</v>
      </c>
    </row>
    <row r="2288" spans="1:7" x14ac:dyDescent="0.3">
      <c r="A2288" s="18">
        <v>46113</v>
      </c>
      <c r="B2288" s="18" t="s">
        <v>134</v>
      </c>
      <c r="C2288" s="18" t="s">
        <v>649</v>
      </c>
      <c r="D2288" s="6" t="s">
        <v>522</v>
      </c>
      <c r="E2288" s="6" t="s">
        <v>47</v>
      </c>
      <c r="F2288" s="6" t="s">
        <v>656</v>
      </c>
      <c r="G2288" s="7">
        <v>7424.26</v>
      </c>
    </row>
    <row r="2289" spans="1:7" x14ac:dyDescent="0.3">
      <c r="A2289" s="18">
        <v>46113</v>
      </c>
      <c r="B2289" s="18" t="s">
        <v>134</v>
      </c>
      <c r="C2289" s="18" t="s">
        <v>649</v>
      </c>
      <c r="D2289" s="6" t="s">
        <v>522</v>
      </c>
      <c r="E2289" s="6" t="s">
        <v>47</v>
      </c>
      <c r="F2289" s="6" t="s">
        <v>656</v>
      </c>
      <c r="G2289" s="7">
        <v>1398</v>
      </c>
    </row>
    <row r="2290" spans="1:7" x14ac:dyDescent="0.3">
      <c r="A2290" s="18">
        <v>46113</v>
      </c>
      <c r="B2290" s="18" t="s">
        <v>134</v>
      </c>
      <c r="C2290" s="18" t="s">
        <v>649</v>
      </c>
      <c r="D2290" s="6" t="s">
        <v>522</v>
      </c>
      <c r="E2290" s="6" t="s">
        <v>47</v>
      </c>
      <c r="F2290" s="6" t="s">
        <v>656</v>
      </c>
      <c r="G2290" s="7">
        <v>1438</v>
      </c>
    </row>
    <row r="2291" spans="1:7" x14ac:dyDescent="0.3">
      <c r="A2291" s="18">
        <v>46143</v>
      </c>
      <c r="B2291" s="18" t="s">
        <v>134</v>
      </c>
      <c r="C2291" s="18" t="s">
        <v>649</v>
      </c>
      <c r="D2291" s="6" t="s">
        <v>522</v>
      </c>
      <c r="E2291" s="6" t="s">
        <v>47</v>
      </c>
      <c r="F2291" s="6" t="s">
        <v>656</v>
      </c>
      <c r="G2291" s="7">
        <v>1398</v>
      </c>
    </row>
    <row r="2292" spans="1:7" x14ac:dyDescent="0.3">
      <c r="A2292" s="18">
        <v>46143</v>
      </c>
      <c r="B2292" s="18" t="s">
        <v>134</v>
      </c>
      <c r="C2292" s="18" t="s">
        <v>649</v>
      </c>
      <c r="D2292" s="6" t="s">
        <v>522</v>
      </c>
      <c r="E2292" s="6" t="s">
        <v>47</v>
      </c>
      <c r="F2292" s="6" t="s">
        <v>656</v>
      </c>
      <c r="G2292" s="7">
        <v>1438</v>
      </c>
    </row>
    <row r="2293" spans="1:7" x14ac:dyDescent="0.3">
      <c r="A2293" s="18">
        <v>46143</v>
      </c>
      <c r="B2293" s="18" t="s">
        <v>134</v>
      </c>
      <c r="C2293" s="18" t="s">
        <v>649</v>
      </c>
      <c r="D2293" s="6" t="s">
        <v>522</v>
      </c>
      <c r="E2293" s="6" t="s">
        <v>42</v>
      </c>
      <c r="F2293" s="6" t="s">
        <v>656</v>
      </c>
      <c r="G2293" s="7">
        <v>1393.64</v>
      </c>
    </row>
    <row r="2294" spans="1:7" x14ac:dyDescent="0.3">
      <c r="A2294" s="18">
        <v>46113</v>
      </c>
      <c r="B2294" s="18" t="s">
        <v>134</v>
      </c>
      <c r="C2294" s="18" t="s">
        <v>649</v>
      </c>
      <c r="D2294" s="6" t="s">
        <v>522</v>
      </c>
      <c r="E2294" s="6" t="s">
        <v>42</v>
      </c>
      <c r="F2294" s="6" t="s">
        <v>656</v>
      </c>
      <c r="G2294" s="7">
        <v>1393.64</v>
      </c>
    </row>
    <row r="2295" spans="1:7" x14ac:dyDescent="0.3">
      <c r="A2295" s="18">
        <v>46174</v>
      </c>
      <c r="B2295" s="18" t="s">
        <v>134</v>
      </c>
      <c r="C2295" s="18" t="s">
        <v>649</v>
      </c>
      <c r="D2295" s="6" t="s">
        <v>522</v>
      </c>
      <c r="E2295" s="6" t="s">
        <v>42</v>
      </c>
      <c r="F2295" s="6" t="s">
        <v>656</v>
      </c>
      <c r="G2295" s="7">
        <v>1393.64</v>
      </c>
    </row>
    <row r="2296" spans="1:7" x14ac:dyDescent="0.3">
      <c r="A2296" s="18">
        <v>46198</v>
      </c>
      <c r="B2296" s="18" t="s">
        <v>134</v>
      </c>
      <c r="C2296" s="18" t="s">
        <v>649</v>
      </c>
      <c r="D2296" s="6" t="s">
        <v>1144</v>
      </c>
      <c r="E2296" s="6" t="s">
        <v>57</v>
      </c>
      <c r="F2296" s="6" t="s">
        <v>656</v>
      </c>
      <c r="G2296" s="7">
        <v>3159.22</v>
      </c>
    </row>
    <row r="2297" spans="1:7" x14ac:dyDescent="0.3">
      <c r="A2297" s="18">
        <v>46198</v>
      </c>
      <c r="B2297" s="18" t="s">
        <v>134</v>
      </c>
      <c r="C2297" s="18" t="s">
        <v>649</v>
      </c>
      <c r="D2297" s="6" t="s">
        <v>1144</v>
      </c>
      <c r="E2297" s="6" t="s">
        <v>13</v>
      </c>
      <c r="F2297" s="6" t="s">
        <v>656</v>
      </c>
      <c r="G2297" s="7">
        <v>3159.22</v>
      </c>
    </row>
    <row r="2298" spans="1:7" x14ac:dyDescent="0.3">
      <c r="A2298" s="18">
        <v>46113</v>
      </c>
      <c r="B2298" s="18" t="s">
        <v>134</v>
      </c>
      <c r="C2298" s="18" t="s">
        <v>649</v>
      </c>
      <c r="D2298" s="6" t="s">
        <v>764</v>
      </c>
      <c r="E2298" s="6" t="s">
        <v>57</v>
      </c>
      <c r="F2298" s="6" t="s">
        <v>656</v>
      </c>
      <c r="G2298" s="7">
        <v>3525.5749999999998</v>
      </c>
    </row>
    <row r="2299" spans="1:7" x14ac:dyDescent="0.3">
      <c r="A2299" s="18">
        <v>46113</v>
      </c>
      <c r="B2299" s="18" t="s">
        <v>134</v>
      </c>
      <c r="C2299" s="18" t="s">
        <v>649</v>
      </c>
      <c r="D2299" s="6" t="s">
        <v>764</v>
      </c>
      <c r="E2299" s="6" t="s">
        <v>42</v>
      </c>
      <c r="F2299" s="6" t="s">
        <v>656</v>
      </c>
      <c r="G2299" s="7">
        <v>3525.5749999999998</v>
      </c>
    </row>
    <row r="2300" spans="1:7" x14ac:dyDescent="0.3">
      <c r="A2300" s="18">
        <v>46198</v>
      </c>
      <c r="B2300" s="18" t="s">
        <v>134</v>
      </c>
      <c r="C2300" s="18" t="s">
        <v>649</v>
      </c>
      <c r="D2300" s="6" t="s">
        <v>1145</v>
      </c>
      <c r="E2300" s="6" t="s">
        <v>57</v>
      </c>
      <c r="F2300" s="6" t="s">
        <v>656</v>
      </c>
      <c r="G2300" s="7">
        <v>838.93</v>
      </c>
    </row>
    <row r="2301" spans="1:7" x14ac:dyDescent="0.3">
      <c r="A2301" s="18">
        <v>46198</v>
      </c>
      <c r="B2301" s="18" t="s">
        <v>134</v>
      </c>
      <c r="C2301" s="18" t="s">
        <v>649</v>
      </c>
      <c r="D2301" s="6" t="s">
        <v>1145</v>
      </c>
      <c r="E2301" s="6" t="s">
        <v>13</v>
      </c>
      <c r="F2301" s="6" t="s">
        <v>656</v>
      </c>
      <c r="G2301" s="7">
        <v>838.93</v>
      </c>
    </row>
    <row r="2302" spans="1:7" x14ac:dyDescent="0.3">
      <c r="A2302" s="18">
        <v>46056</v>
      </c>
      <c r="B2302" s="18" t="s">
        <v>134</v>
      </c>
      <c r="C2302" s="18" t="s">
        <v>649</v>
      </c>
      <c r="D2302" s="6" t="s">
        <v>523</v>
      </c>
      <c r="E2302" s="6" t="s">
        <v>57</v>
      </c>
      <c r="F2302" s="6" t="s">
        <v>656</v>
      </c>
      <c r="G2302" s="7">
        <v>798</v>
      </c>
    </row>
    <row r="2303" spans="1:7" x14ac:dyDescent="0.3">
      <c r="A2303" s="18">
        <v>46056</v>
      </c>
      <c r="B2303" s="18" t="s">
        <v>134</v>
      </c>
      <c r="C2303" s="18" t="s">
        <v>649</v>
      </c>
      <c r="D2303" s="6" t="s">
        <v>523</v>
      </c>
      <c r="E2303" s="6" t="s">
        <v>42</v>
      </c>
      <c r="F2303" s="6" t="s">
        <v>656</v>
      </c>
      <c r="G2303" s="7">
        <v>798</v>
      </c>
    </row>
    <row r="2304" spans="1:7" x14ac:dyDescent="0.3">
      <c r="A2304" s="18">
        <v>46056</v>
      </c>
      <c r="B2304" s="18" t="s">
        <v>134</v>
      </c>
      <c r="C2304" s="18" t="s">
        <v>649</v>
      </c>
      <c r="D2304" s="6" t="s">
        <v>523</v>
      </c>
      <c r="E2304" s="6" t="s">
        <v>50</v>
      </c>
      <c r="F2304" s="6" t="s">
        <v>656</v>
      </c>
      <c r="G2304" s="7">
        <v>798</v>
      </c>
    </row>
    <row r="2305" spans="1:7" x14ac:dyDescent="0.3">
      <c r="A2305" s="18">
        <v>46056</v>
      </c>
      <c r="B2305" s="18" t="s">
        <v>134</v>
      </c>
      <c r="C2305" s="18" t="s">
        <v>649</v>
      </c>
      <c r="D2305" s="6" t="s">
        <v>523</v>
      </c>
      <c r="E2305" s="6" t="s">
        <v>13</v>
      </c>
      <c r="F2305" s="6" t="s">
        <v>656</v>
      </c>
      <c r="G2305" s="7">
        <v>798</v>
      </c>
    </row>
    <row r="2306" spans="1:7" x14ac:dyDescent="0.3">
      <c r="A2306" s="18">
        <v>46082</v>
      </c>
      <c r="B2306" s="18" t="s">
        <v>134</v>
      </c>
      <c r="C2306" s="18" t="s">
        <v>649</v>
      </c>
      <c r="D2306" s="6" t="s">
        <v>523</v>
      </c>
      <c r="E2306" s="6" t="s">
        <v>57</v>
      </c>
      <c r="F2306" s="6" t="s">
        <v>656</v>
      </c>
      <c r="G2306" s="7">
        <v>798</v>
      </c>
    </row>
    <row r="2307" spans="1:7" x14ac:dyDescent="0.3">
      <c r="A2307" s="18">
        <v>46082</v>
      </c>
      <c r="B2307" s="18" t="s">
        <v>134</v>
      </c>
      <c r="C2307" s="18" t="s">
        <v>649</v>
      </c>
      <c r="D2307" s="6" t="s">
        <v>523</v>
      </c>
      <c r="E2307" s="6" t="s">
        <v>42</v>
      </c>
      <c r="F2307" s="6" t="s">
        <v>656</v>
      </c>
      <c r="G2307" s="7">
        <v>798</v>
      </c>
    </row>
    <row r="2308" spans="1:7" x14ac:dyDescent="0.3">
      <c r="A2308" s="18">
        <v>46082</v>
      </c>
      <c r="B2308" s="18" t="s">
        <v>134</v>
      </c>
      <c r="C2308" s="18" t="s">
        <v>649</v>
      </c>
      <c r="D2308" s="6" t="s">
        <v>523</v>
      </c>
      <c r="E2308" s="6" t="s">
        <v>50</v>
      </c>
      <c r="F2308" s="6" t="s">
        <v>656</v>
      </c>
      <c r="G2308" s="7">
        <v>798</v>
      </c>
    </row>
    <row r="2309" spans="1:7" x14ac:dyDescent="0.3">
      <c r="A2309" s="18">
        <v>46082</v>
      </c>
      <c r="B2309" s="18" t="s">
        <v>134</v>
      </c>
      <c r="C2309" s="18" t="s">
        <v>649</v>
      </c>
      <c r="D2309" s="6" t="s">
        <v>523</v>
      </c>
      <c r="E2309" s="6" t="s">
        <v>13</v>
      </c>
      <c r="F2309" s="6" t="s">
        <v>656</v>
      </c>
      <c r="G2309" s="7">
        <v>798</v>
      </c>
    </row>
    <row r="2310" spans="1:7" x14ac:dyDescent="0.3">
      <c r="A2310" s="18">
        <v>46113</v>
      </c>
      <c r="B2310" s="18" t="s">
        <v>134</v>
      </c>
      <c r="C2310" s="18" t="s">
        <v>649</v>
      </c>
      <c r="D2310" s="6" t="s">
        <v>523</v>
      </c>
      <c r="E2310" s="6" t="s">
        <v>57</v>
      </c>
      <c r="F2310" s="6" t="s">
        <v>656</v>
      </c>
      <c r="G2310" s="7">
        <v>798</v>
      </c>
    </row>
    <row r="2311" spans="1:7" x14ac:dyDescent="0.3">
      <c r="A2311" s="18">
        <v>46113</v>
      </c>
      <c r="B2311" s="18" t="s">
        <v>134</v>
      </c>
      <c r="C2311" s="18" t="s">
        <v>649</v>
      </c>
      <c r="D2311" s="6" t="s">
        <v>523</v>
      </c>
      <c r="E2311" s="6" t="s">
        <v>42</v>
      </c>
      <c r="F2311" s="6" t="s">
        <v>656</v>
      </c>
      <c r="G2311" s="7">
        <v>798</v>
      </c>
    </row>
    <row r="2312" spans="1:7" x14ac:dyDescent="0.3">
      <c r="A2312" s="18">
        <v>46113</v>
      </c>
      <c r="B2312" s="18" t="s">
        <v>134</v>
      </c>
      <c r="C2312" s="18" t="s">
        <v>649</v>
      </c>
      <c r="D2312" s="6" t="s">
        <v>523</v>
      </c>
      <c r="E2312" s="6" t="s">
        <v>50</v>
      </c>
      <c r="F2312" s="6" t="s">
        <v>656</v>
      </c>
      <c r="G2312" s="7">
        <v>798</v>
      </c>
    </row>
    <row r="2313" spans="1:7" x14ac:dyDescent="0.3">
      <c r="A2313" s="18">
        <v>46113</v>
      </c>
      <c r="B2313" s="18" t="s">
        <v>134</v>
      </c>
      <c r="C2313" s="18" t="s">
        <v>649</v>
      </c>
      <c r="D2313" s="6" t="s">
        <v>523</v>
      </c>
      <c r="E2313" s="6" t="s">
        <v>13</v>
      </c>
      <c r="F2313" s="6" t="s">
        <v>656</v>
      </c>
      <c r="G2313" s="7">
        <v>798</v>
      </c>
    </row>
    <row r="2314" spans="1:7" x14ac:dyDescent="0.3">
      <c r="A2314" s="18">
        <v>46143</v>
      </c>
      <c r="B2314" s="18" t="s">
        <v>134</v>
      </c>
      <c r="C2314" s="18" t="s">
        <v>649</v>
      </c>
      <c r="D2314" s="6" t="s">
        <v>523</v>
      </c>
      <c r="E2314" s="6" t="s">
        <v>57</v>
      </c>
      <c r="F2314" s="6" t="s">
        <v>656</v>
      </c>
      <c r="G2314" s="7">
        <v>798</v>
      </c>
    </row>
    <row r="2315" spans="1:7" x14ac:dyDescent="0.3">
      <c r="A2315" s="18">
        <v>46143</v>
      </c>
      <c r="B2315" s="18" t="s">
        <v>134</v>
      </c>
      <c r="C2315" s="18" t="s">
        <v>649</v>
      </c>
      <c r="D2315" s="6" t="s">
        <v>523</v>
      </c>
      <c r="E2315" s="6" t="s">
        <v>42</v>
      </c>
      <c r="F2315" s="6" t="s">
        <v>656</v>
      </c>
      <c r="G2315" s="7">
        <v>798</v>
      </c>
    </row>
    <row r="2316" spans="1:7" x14ac:dyDescent="0.3">
      <c r="A2316" s="18">
        <v>46143</v>
      </c>
      <c r="B2316" s="18" t="s">
        <v>134</v>
      </c>
      <c r="C2316" s="18" t="s">
        <v>649</v>
      </c>
      <c r="D2316" s="6" t="s">
        <v>523</v>
      </c>
      <c r="E2316" s="6" t="s">
        <v>50</v>
      </c>
      <c r="F2316" s="6" t="s">
        <v>656</v>
      </c>
      <c r="G2316" s="7">
        <v>798</v>
      </c>
    </row>
    <row r="2317" spans="1:7" x14ac:dyDescent="0.3">
      <c r="A2317" s="18">
        <v>46143</v>
      </c>
      <c r="B2317" s="18" t="s">
        <v>134</v>
      </c>
      <c r="C2317" s="18" t="s">
        <v>649</v>
      </c>
      <c r="D2317" s="6" t="s">
        <v>523</v>
      </c>
      <c r="E2317" s="6" t="s">
        <v>13</v>
      </c>
      <c r="F2317" s="6" t="s">
        <v>656</v>
      </c>
      <c r="G2317" s="7">
        <v>798</v>
      </c>
    </row>
    <row r="2318" spans="1:7" x14ac:dyDescent="0.3">
      <c r="A2318" s="18">
        <v>46174</v>
      </c>
      <c r="B2318" s="18" t="s">
        <v>134</v>
      </c>
      <c r="C2318" s="18" t="s">
        <v>649</v>
      </c>
      <c r="D2318" s="6" t="s">
        <v>523</v>
      </c>
      <c r="E2318" s="6" t="s">
        <v>57</v>
      </c>
      <c r="F2318" s="6" t="s">
        <v>656</v>
      </c>
      <c r="G2318" s="7">
        <v>798</v>
      </c>
    </row>
    <row r="2319" spans="1:7" x14ac:dyDescent="0.3">
      <c r="A2319" s="18">
        <v>46174</v>
      </c>
      <c r="B2319" s="18" t="s">
        <v>134</v>
      </c>
      <c r="C2319" s="18" t="s">
        <v>649</v>
      </c>
      <c r="D2319" s="6" t="s">
        <v>523</v>
      </c>
      <c r="E2319" s="6" t="s">
        <v>42</v>
      </c>
      <c r="F2319" s="6" t="s">
        <v>656</v>
      </c>
      <c r="G2319" s="7">
        <v>798</v>
      </c>
    </row>
    <row r="2320" spans="1:7" x14ac:dyDescent="0.3">
      <c r="A2320" s="18">
        <v>46174</v>
      </c>
      <c r="B2320" s="18" t="s">
        <v>134</v>
      </c>
      <c r="C2320" s="18" t="s">
        <v>649</v>
      </c>
      <c r="D2320" s="6" t="s">
        <v>523</v>
      </c>
      <c r="E2320" s="6" t="s">
        <v>50</v>
      </c>
      <c r="F2320" s="6" t="s">
        <v>656</v>
      </c>
      <c r="G2320" s="7">
        <v>798</v>
      </c>
    </row>
    <row r="2321" spans="1:7" x14ac:dyDescent="0.3">
      <c r="A2321" s="18">
        <v>46174</v>
      </c>
      <c r="B2321" s="18" t="s">
        <v>134</v>
      </c>
      <c r="C2321" s="18" t="s">
        <v>649</v>
      </c>
      <c r="D2321" s="6" t="s">
        <v>523</v>
      </c>
      <c r="E2321" s="6" t="s">
        <v>13</v>
      </c>
      <c r="F2321" s="6" t="s">
        <v>656</v>
      </c>
      <c r="G2321" s="7">
        <v>798</v>
      </c>
    </row>
    <row r="2322" spans="1:7" x14ac:dyDescent="0.3">
      <c r="A2322" s="18">
        <v>46023</v>
      </c>
      <c r="B2322" s="18" t="s">
        <v>134</v>
      </c>
      <c r="C2322" s="18" t="s">
        <v>649</v>
      </c>
      <c r="D2322" s="6" t="s">
        <v>524</v>
      </c>
      <c r="E2322" s="6" t="s">
        <v>47</v>
      </c>
      <c r="F2322" s="6" t="s">
        <v>656</v>
      </c>
      <c r="G2322" s="7">
        <v>1687.81</v>
      </c>
    </row>
    <row r="2323" spans="1:7" x14ac:dyDescent="0.3">
      <c r="A2323" s="18">
        <v>46054</v>
      </c>
      <c r="B2323" s="18" t="s">
        <v>134</v>
      </c>
      <c r="C2323" s="18" t="s">
        <v>649</v>
      </c>
      <c r="D2323" s="6" t="s">
        <v>524</v>
      </c>
      <c r="E2323" s="6" t="s">
        <v>47</v>
      </c>
      <c r="F2323" s="6" t="s">
        <v>656</v>
      </c>
      <c r="G2323" s="7">
        <v>1687.81</v>
      </c>
    </row>
    <row r="2324" spans="1:7" x14ac:dyDescent="0.3">
      <c r="A2324" s="18">
        <v>46082</v>
      </c>
      <c r="B2324" s="18" t="s">
        <v>134</v>
      </c>
      <c r="C2324" s="18" t="s">
        <v>649</v>
      </c>
      <c r="D2324" s="6" t="s">
        <v>524</v>
      </c>
      <c r="E2324" s="6" t="s">
        <v>47</v>
      </c>
      <c r="F2324" s="6" t="s">
        <v>656</v>
      </c>
      <c r="G2324" s="7">
        <v>1687.81</v>
      </c>
    </row>
    <row r="2325" spans="1:7" x14ac:dyDescent="0.3">
      <c r="A2325" s="18">
        <v>46064</v>
      </c>
      <c r="B2325" s="18" t="s">
        <v>134</v>
      </c>
      <c r="C2325" s="18" t="s">
        <v>649</v>
      </c>
      <c r="D2325" s="6" t="s">
        <v>669</v>
      </c>
      <c r="E2325" s="6" t="s">
        <v>47</v>
      </c>
      <c r="F2325" s="6" t="s">
        <v>661</v>
      </c>
      <c r="G2325" s="7">
        <v>50000</v>
      </c>
    </row>
    <row r="2326" spans="1:7" x14ac:dyDescent="0.3">
      <c r="A2326" s="18">
        <v>46077</v>
      </c>
      <c r="B2326" s="18" t="s">
        <v>134</v>
      </c>
      <c r="C2326" s="18" t="s">
        <v>649</v>
      </c>
      <c r="D2326" s="6" t="s">
        <v>509</v>
      </c>
      <c r="E2326" s="6" t="s">
        <v>47</v>
      </c>
      <c r="F2326" s="6" t="s">
        <v>656</v>
      </c>
      <c r="G2326" s="7">
        <v>7000</v>
      </c>
    </row>
    <row r="2327" spans="1:7" x14ac:dyDescent="0.3">
      <c r="A2327" s="18">
        <v>46113</v>
      </c>
      <c r="B2327" s="18" t="s">
        <v>134</v>
      </c>
      <c r="C2327" s="18" t="s">
        <v>649</v>
      </c>
      <c r="D2327" s="6" t="s">
        <v>760</v>
      </c>
      <c r="E2327" s="6" t="s">
        <v>57</v>
      </c>
      <c r="F2327" s="6" t="s">
        <v>656</v>
      </c>
      <c r="G2327" s="7">
        <v>790.06</v>
      </c>
    </row>
    <row r="2328" spans="1:7" x14ac:dyDescent="0.3">
      <c r="A2328" s="18">
        <v>46113</v>
      </c>
      <c r="B2328" s="18" t="s">
        <v>134</v>
      </c>
      <c r="C2328" s="18" t="s">
        <v>649</v>
      </c>
      <c r="D2328" s="6" t="s">
        <v>760</v>
      </c>
      <c r="E2328" s="6" t="s">
        <v>57</v>
      </c>
      <c r="F2328" s="6" t="s">
        <v>656</v>
      </c>
      <c r="G2328" s="7">
        <v>443.28</v>
      </c>
    </row>
    <row r="2329" spans="1:7" x14ac:dyDescent="0.3">
      <c r="A2329" s="18">
        <v>46113</v>
      </c>
      <c r="B2329" s="18" t="s">
        <v>134</v>
      </c>
      <c r="C2329" s="18" t="s">
        <v>649</v>
      </c>
      <c r="D2329" s="6" t="s">
        <v>760</v>
      </c>
      <c r="E2329" s="6" t="s">
        <v>42</v>
      </c>
      <c r="F2329" s="6" t="s">
        <v>656</v>
      </c>
      <c r="G2329" s="7">
        <v>790.06</v>
      </c>
    </row>
    <row r="2330" spans="1:7" x14ac:dyDescent="0.3">
      <c r="A2330" s="18">
        <v>46113</v>
      </c>
      <c r="B2330" s="18" t="s">
        <v>134</v>
      </c>
      <c r="C2330" s="18" t="s">
        <v>649</v>
      </c>
      <c r="D2330" s="6" t="s">
        <v>760</v>
      </c>
      <c r="E2330" s="6" t="s">
        <v>57</v>
      </c>
      <c r="F2330" s="6" t="s">
        <v>656</v>
      </c>
      <c r="G2330" s="7">
        <v>183.63</v>
      </c>
    </row>
    <row r="2331" spans="1:7" x14ac:dyDescent="0.3">
      <c r="A2331" s="18">
        <v>46113</v>
      </c>
      <c r="B2331" s="18" t="s">
        <v>134</v>
      </c>
      <c r="C2331" s="18" t="s">
        <v>649</v>
      </c>
      <c r="D2331" s="6" t="s">
        <v>760</v>
      </c>
      <c r="E2331" s="6" t="s">
        <v>42</v>
      </c>
      <c r="F2331" s="6" t="s">
        <v>656</v>
      </c>
      <c r="G2331" s="7">
        <v>443.28</v>
      </c>
    </row>
    <row r="2332" spans="1:7" x14ac:dyDescent="0.3">
      <c r="A2332" s="18">
        <v>46113</v>
      </c>
      <c r="B2332" s="18" t="s">
        <v>134</v>
      </c>
      <c r="C2332" s="18" t="s">
        <v>649</v>
      </c>
      <c r="D2332" s="6" t="s">
        <v>760</v>
      </c>
      <c r="E2332" s="6" t="s">
        <v>42</v>
      </c>
      <c r="F2332" s="6" t="s">
        <v>656</v>
      </c>
      <c r="G2332" s="7">
        <v>183.63</v>
      </c>
    </row>
    <row r="2333" spans="1:7" x14ac:dyDescent="0.3">
      <c r="A2333" s="18">
        <v>46113</v>
      </c>
      <c r="B2333" s="18" t="s">
        <v>134</v>
      </c>
      <c r="C2333" s="18" t="s">
        <v>649</v>
      </c>
      <c r="D2333" s="6" t="s">
        <v>760</v>
      </c>
      <c r="E2333" s="6" t="s">
        <v>57</v>
      </c>
      <c r="F2333" s="6" t="s">
        <v>656</v>
      </c>
      <c r="G2333" s="7">
        <v>171</v>
      </c>
    </row>
    <row r="2334" spans="1:7" x14ac:dyDescent="0.3">
      <c r="A2334" s="18">
        <v>46113</v>
      </c>
      <c r="B2334" s="18" t="s">
        <v>134</v>
      </c>
      <c r="C2334" s="18" t="s">
        <v>649</v>
      </c>
      <c r="D2334" s="6" t="s">
        <v>760</v>
      </c>
      <c r="E2334" s="6" t="s">
        <v>42</v>
      </c>
      <c r="F2334" s="6" t="s">
        <v>656</v>
      </c>
      <c r="G2334" s="7">
        <v>171</v>
      </c>
    </row>
    <row r="2335" spans="1:7" x14ac:dyDescent="0.3">
      <c r="A2335" s="18">
        <v>46064</v>
      </c>
      <c r="B2335" s="18" t="s">
        <v>134</v>
      </c>
      <c r="C2335" s="18" t="s">
        <v>649</v>
      </c>
      <c r="D2335" s="6" t="s">
        <v>525</v>
      </c>
      <c r="E2335" s="6" t="s">
        <v>57</v>
      </c>
      <c r="F2335" s="6" t="s">
        <v>661</v>
      </c>
      <c r="G2335" s="7">
        <v>1254.395</v>
      </c>
    </row>
    <row r="2336" spans="1:7" x14ac:dyDescent="0.3">
      <c r="A2336" s="18">
        <v>46064</v>
      </c>
      <c r="B2336" s="18" t="s">
        <v>134</v>
      </c>
      <c r="C2336" s="18" t="s">
        <v>649</v>
      </c>
      <c r="D2336" s="6" t="s">
        <v>525</v>
      </c>
      <c r="E2336" s="6" t="s">
        <v>42</v>
      </c>
      <c r="F2336" s="6" t="s">
        <v>661</v>
      </c>
      <c r="G2336" s="7">
        <v>1254.395</v>
      </c>
    </row>
    <row r="2337" spans="1:7" x14ac:dyDescent="0.3">
      <c r="A2337" s="18">
        <v>46086</v>
      </c>
      <c r="B2337" s="18" t="s">
        <v>134</v>
      </c>
      <c r="C2337" s="18" t="s">
        <v>649</v>
      </c>
      <c r="D2337" s="6" t="s">
        <v>525</v>
      </c>
      <c r="E2337" s="6" t="s">
        <v>57</v>
      </c>
      <c r="F2337" s="6" t="s">
        <v>661</v>
      </c>
      <c r="G2337" s="7">
        <v>1254.395</v>
      </c>
    </row>
    <row r="2338" spans="1:7" x14ac:dyDescent="0.3">
      <c r="A2338" s="18">
        <v>46086</v>
      </c>
      <c r="B2338" s="18" t="s">
        <v>134</v>
      </c>
      <c r="C2338" s="18" t="s">
        <v>649</v>
      </c>
      <c r="D2338" s="6" t="s">
        <v>525</v>
      </c>
      <c r="E2338" s="6" t="s">
        <v>42</v>
      </c>
      <c r="F2338" s="6" t="s">
        <v>661</v>
      </c>
      <c r="G2338" s="7">
        <v>1254.395</v>
      </c>
    </row>
    <row r="2339" spans="1:7" x14ac:dyDescent="0.3">
      <c r="A2339" s="18">
        <v>46113</v>
      </c>
      <c r="B2339" s="18" t="s">
        <v>134</v>
      </c>
      <c r="C2339" s="18" t="s">
        <v>649</v>
      </c>
      <c r="D2339" s="6" t="s">
        <v>525</v>
      </c>
      <c r="E2339" s="6" t="s">
        <v>57</v>
      </c>
      <c r="F2339" s="6" t="s">
        <v>661</v>
      </c>
      <c r="G2339" s="7">
        <v>1254.395</v>
      </c>
    </row>
    <row r="2340" spans="1:7" x14ac:dyDescent="0.3">
      <c r="A2340" s="18">
        <v>46113</v>
      </c>
      <c r="B2340" s="18" t="s">
        <v>134</v>
      </c>
      <c r="C2340" s="18" t="s">
        <v>649</v>
      </c>
      <c r="D2340" s="6" t="s">
        <v>525</v>
      </c>
      <c r="E2340" s="6" t="s">
        <v>42</v>
      </c>
      <c r="F2340" s="6" t="s">
        <v>661</v>
      </c>
      <c r="G2340" s="7">
        <v>1254.395</v>
      </c>
    </row>
    <row r="2341" spans="1:7" x14ac:dyDescent="0.3">
      <c r="A2341" s="18">
        <v>46143</v>
      </c>
      <c r="B2341" s="18" t="s">
        <v>134</v>
      </c>
      <c r="C2341" s="18" t="s">
        <v>649</v>
      </c>
      <c r="D2341" s="6" t="s">
        <v>525</v>
      </c>
      <c r="E2341" s="6" t="s">
        <v>57</v>
      </c>
      <c r="F2341" s="6" t="s">
        <v>661</v>
      </c>
      <c r="G2341" s="7">
        <v>1254.395</v>
      </c>
    </row>
    <row r="2342" spans="1:7" x14ac:dyDescent="0.3">
      <c r="A2342" s="18">
        <v>46143</v>
      </c>
      <c r="B2342" s="18" t="s">
        <v>134</v>
      </c>
      <c r="C2342" s="18" t="s">
        <v>649</v>
      </c>
      <c r="D2342" s="6" t="s">
        <v>525</v>
      </c>
      <c r="E2342" s="6" t="s">
        <v>42</v>
      </c>
      <c r="F2342" s="6" t="s">
        <v>661</v>
      </c>
      <c r="G2342" s="7">
        <v>1254.395</v>
      </c>
    </row>
    <row r="2343" spans="1:7" x14ac:dyDescent="0.3">
      <c r="A2343" s="18">
        <v>46113</v>
      </c>
      <c r="B2343" s="18" t="s">
        <v>134</v>
      </c>
      <c r="C2343" s="18" t="s">
        <v>649</v>
      </c>
      <c r="D2343" s="6" t="s">
        <v>456</v>
      </c>
      <c r="E2343" s="6" t="s">
        <v>57</v>
      </c>
      <c r="F2343" s="6" t="s">
        <v>656</v>
      </c>
      <c r="G2343" s="7">
        <v>313.64</v>
      </c>
    </row>
    <row r="2344" spans="1:7" x14ac:dyDescent="0.3">
      <c r="A2344" s="18">
        <v>46064</v>
      </c>
      <c r="B2344" s="18" t="s">
        <v>134</v>
      </c>
      <c r="C2344" s="18" t="s">
        <v>649</v>
      </c>
      <c r="D2344" s="6" t="s">
        <v>521</v>
      </c>
      <c r="E2344" s="6" t="s">
        <v>57</v>
      </c>
      <c r="F2344" s="6" t="s">
        <v>656</v>
      </c>
      <c r="G2344" s="7">
        <v>1243.28</v>
      </c>
    </row>
    <row r="2345" spans="1:7" x14ac:dyDescent="0.3">
      <c r="A2345" s="18">
        <v>46064</v>
      </c>
      <c r="B2345" s="18" t="s">
        <v>134</v>
      </c>
      <c r="C2345" s="18" t="s">
        <v>649</v>
      </c>
      <c r="D2345" s="6" t="s">
        <v>521</v>
      </c>
      <c r="E2345" s="6" t="s">
        <v>42</v>
      </c>
      <c r="F2345" s="6" t="s">
        <v>656</v>
      </c>
      <c r="G2345" s="7">
        <v>1243.28</v>
      </c>
    </row>
    <row r="2346" spans="1:7" x14ac:dyDescent="0.3">
      <c r="A2346" s="18">
        <v>46106</v>
      </c>
      <c r="B2346" s="18" t="s">
        <v>134</v>
      </c>
      <c r="C2346" s="18" t="s">
        <v>649</v>
      </c>
      <c r="D2346" s="6" t="s">
        <v>582</v>
      </c>
      <c r="E2346" s="6" t="s">
        <v>57</v>
      </c>
      <c r="F2346" s="6" t="s">
        <v>656</v>
      </c>
      <c r="G2346" s="7">
        <v>8208</v>
      </c>
    </row>
    <row r="2347" spans="1:7" x14ac:dyDescent="0.3">
      <c r="A2347" s="18">
        <v>46106</v>
      </c>
      <c r="B2347" s="18" t="s">
        <v>134</v>
      </c>
      <c r="C2347" s="18" t="s">
        <v>649</v>
      </c>
      <c r="D2347" s="6" t="s">
        <v>582</v>
      </c>
      <c r="E2347" s="6" t="s">
        <v>42</v>
      </c>
      <c r="F2347" s="6" t="s">
        <v>656</v>
      </c>
      <c r="G2347" s="7">
        <v>8208</v>
      </c>
    </row>
    <row r="2348" spans="1:7" x14ac:dyDescent="0.3">
      <c r="A2348" s="18">
        <v>46113</v>
      </c>
      <c r="B2348" s="18" t="s">
        <v>134</v>
      </c>
      <c r="C2348" s="18" t="s">
        <v>649</v>
      </c>
      <c r="D2348" s="6" t="s">
        <v>765</v>
      </c>
      <c r="E2348" s="6" t="s">
        <v>57</v>
      </c>
      <c r="F2348" s="6" t="s">
        <v>656</v>
      </c>
      <c r="G2348" s="7">
        <v>1009.415</v>
      </c>
    </row>
    <row r="2349" spans="1:7" x14ac:dyDescent="0.3">
      <c r="A2349" s="18">
        <v>46113</v>
      </c>
      <c r="B2349" s="18" t="s">
        <v>134</v>
      </c>
      <c r="C2349" s="18" t="s">
        <v>649</v>
      </c>
      <c r="D2349" s="6" t="s">
        <v>765</v>
      </c>
      <c r="E2349" s="6" t="s">
        <v>42</v>
      </c>
      <c r="F2349" s="6" t="s">
        <v>656</v>
      </c>
      <c r="G2349" s="7">
        <v>1009.415</v>
      </c>
    </row>
    <row r="2350" spans="1:7" x14ac:dyDescent="0.3">
      <c r="A2350" s="18">
        <v>46198</v>
      </c>
      <c r="B2350" s="44" t="s">
        <v>134</v>
      </c>
      <c r="C2350" s="44" t="s">
        <v>49</v>
      </c>
      <c r="D2350" s="6" t="s">
        <v>104</v>
      </c>
      <c r="E2350" s="6" t="s">
        <v>47</v>
      </c>
      <c r="F2350" s="6" t="s">
        <v>659</v>
      </c>
      <c r="G2350" s="3">
        <v>17000</v>
      </c>
    </row>
    <row r="2351" spans="1:7" x14ac:dyDescent="0.3">
      <c r="A2351" s="18">
        <v>46197</v>
      </c>
      <c r="B2351" s="47" t="s">
        <v>134</v>
      </c>
      <c r="C2351" s="47" t="s">
        <v>1004</v>
      </c>
      <c r="D2351" s="8" t="s">
        <v>981</v>
      </c>
      <c r="E2351" s="8" t="s">
        <v>47</v>
      </c>
      <c r="F2351" s="6" t="s">
        <v>659</v>
      </c>
      <c r="G2351" s="9">
        <v>3000</v>
      </c>
    </row>
    <row r="2352" spans="1:7" x14ac:dyDescent="0.3">
      <c r="A2352" s="18">
        <v>46184</v>
      </c>
      <c r="B2352" s="18" t="s">
        <v>134</v>
      </c>
      <c r="C2352" s="18" t="s">
        <v>1004</v>
      </c>
      <c r="D2352" s="6" t="s">
        <v>1136</v>
      </c>
      <c r="E2352" s="6" t="s">
        <v>47</v>
      </c>
      <c r="F2352" s="6" t="s">
        <v>656</v>
      </c>
      <c r="G2352" s="7">
        <v>5099.96</v>
      </c>
    </row>
    <row r="2353" spans="1:7" x14ac:dyDescent="0.3">
      <c r="A2353" s="18">
        <v>46052</v>
      </c>
      <c r="B2353" s="18" t="s">
        <v>134</v>
      </c>
      <c r="C2353" s="18" t="s">
        <v>171</v>
      </c>
      <c r="D2353" s="6" t="s">
        <v>171</v>
      </c>
      <c r="E2353" s="6" t="s">
        <v>47</v>
      </c>
      <c r="F2353" s="6" t="s">
        <v>659</v>
      </c>
      <c r="G2353" s="7">
        <v>5000</v>
      </c>
    </row>
    <row r="2355" spans="1:7" x14ac:dyDescent="0.3">
      <c r="G2355">
        <f>1596/2</f>
        <v>798</v>
      </c>
    </row>
  </sheetData>
  <autoFilter ref="A1:G2353" xr:uid="{20DF3470-566D-4EBF-AEE3-DC0ACC1BA4B1}">
    <sortState xmlns:xlrd2="http://schemas.microsoft.com/office/spreadsheetml/2017/richdata2" ref="A678:G681">
      <sortCondition ref="C1:C2353"/>
    </sortState>
  </autoFilter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706F-9570-4F26-A1CD-7F043C59A887}">
  <dimension ref="A1:Y216"/>
  <sheetViews>
    <sheetView topLeftCell="A167" workbookViewId="0">
      <selection activeCell="D176" sqref="D176"/>
    </sheetView>
  </sheetViews>
  <sheetFormatPr defaultRowHeight="14.4" x14ac:dyDescent="0.3"/>
  <cols>
    <col min="1" max="1" width="9.6640625" style="30" customWidth="1"/>
    <col min="2" max="2" width="17.5546875" customWidth="1"/>
    <col min="3" max="3" width="19.6640625" customWidth="1"/>
    <col min="4" max="4" width="31.77734375" bestFit="1" customWidth="1"/>
    <col min="5" max="5" width="13.109375" style="11" bestFit="1" customWidth="1"/>
    <col min="6" max="6" width="13.44140625" customWidth="1"/>
    <col min="7" max="7" width="10.21875" bestFit="1" customWidth="1"/>
  </cols>
  <sheetData>
    <row r="1" spans="1:6" s="1" customFormat="1" x14ac:dyDescent="0.3">
      <c r="A1" s="31" t="s">
        <v>28</v>
      </c>
      <c r="B1" s="12" t="s">
        <v>30</v>
      </c>
      <c r="C1" s="12" t="s">
        <v>31</v>
      </c>
      <c r="D1" s="12" t="s">
        <v>29</v>
      </c>
      <c r="E1" s="13" t="s">
        <v>32</v>
      </c>
      <c r="F1" s="12" t="s">
        <v>33</v>
      </c>
    </row>
    <row r="2" spans="1:6" s="1" customFormat="1" x14ac:dyDescent="0.3">
      <c r="A2" s="22">
        <v>46023</v>
      </c>
      <c r="B2" s="8" t="s">
        <v>38</v>
      </c>
      <c r="C2" s="8" t="s">
        <v>107</v>
      </c>
      <c r="D2" s="8" t="s">
        <v>623</v>
      </c>
      <c r="E2" s="8" t="s">
        <v>47</v>
      </c>
      <c r="F2" s="9">
        <v>3104.35</v>
      </c>
    </row>
    <row r="3" spans="1:6" s="1" customFormat="1" x14ac:dyDescent="0.3">
      <c r="A3" s="22">
        <v>46028</v>
      </c>
      <c r="B3" s="21" t="s">
        <v>38</v>
      </c>
      <c r="C3" s="21" t="s">
        <v>107</v>
      </c>
      <c r="D3" s="8" t="s">
        <v>173</v>
      </c>
      <c r="E3" s="8" t="s">
        <v>47</v>
      </c>
      <c r="F3" s="9">
        <v>75400</v>
      </c>
    </row>
    <row r="4" spans="1:6" s="1" customFormat="1" x14ac:dyDescent="0.3">
      <c r="A4" s="17">
        <v>46028</v>
      </c>
      <c r="B4" s="19" t="s">
        <v>38</v>
      </c>
      <c r="C4" s="21" t="s">
        <v>252</v>
      </c>
      <c r="D4" s="8" t="s">
        <v>637</v>
      </c>
      <c r="E4" s="8" t="s">
        <v>47</v>
      </c>
      <c r="F4" s="9">
        <f>25137.45</f>
        <v>25137.45</v>
      </c>
    </row>
    <row r="5" spans="1:6" s="1" customFormat="1" x14ac:dyDescent="0.3">
      <c r="A5" s="17">
        <v>46028</v>
      </c>
      <c r="B5" s="19" t="s">
        <v>38</v>
      </c>
      <c r="C5" s="21" t="s">
        <v>252</v>
      </c>
      <c r="D5" s="13" t="s">
        <v>636</v>
      </c>
      <c r="E5" s="8" t="s">
        <v>47</v>
      </c>
      <c r="F5" s="9">
        <f>954166</f>
        <v>954166</v>
      </c>
    </row>
    <row r="6" spans="1:6" s="1" customFormat="1" x14ac:dyDescent="0.3">
      <c r="A6" s="17">
        <v>46189</v>
      </c>
      <c r="B6" s="19" t="s">
        <v>38</v>
      </c>
      <c r="C6" s="21" t="s">
        <v>252</v>
      </c>
      <c r="D6" s="8" t="s">
        <v>637</v>
      </c>
      <c r="E6" s="8" t="s">
        <v>47</v>
      </c>
      <c r="F6" s="9">
        <f>25137.45</f>
        <v>25137.45</v>
      </c>
    </row>
    <row r="7" spans="1:6" s="1" customFormat="1" x14ac:dyDescent="0.3">
      <c r="A7" s="17">
        <v>46189</v>
      </c>
      <c r="B7" s="19" t="s">
        <v>38</v>
      </c>
      <c r="C7" s="21" t="s">
        <v>252</v>
      </c>
      <c r="D7" s="13" t="s">
        <v>636</v>
      </c>
      <c r="E7" s="8" t="s">
        <v>47</v>
      </c>
      <c r="F7" s="9">
        <f>954166</f>
        <v>954166</v>
      </c>
    </row>
    <row r="8" spans="1:6" s="1" customFormat="1" x14ac:dyDescent="0.3">
      <c r="A8" s="17">
        <v>46029</v>
      </c>
      <c r="B8" s="19" t="s">
        <v>38</v>
      </c>
      <c r="C8" s="19" t="s">
        <v>107</v>
      </c>
      <c r="D8" s="8" t="s">
        <v>174</v>
      </c>
      <c r="E8" s="8" t="s">
        <v>47</v>
      </c>
      <c r="F8" s="9">
        <v>4799.67</v>
      </c>
    </row>
    <row r="9" spans="1:6" s="1" customFormat="1" x14ac:dyDescent="0.3">
      <c r="A9" s="17">
        <v>46030</v>
      </c>
      <c r="B9" s="8" t="s">
        <v>38</v>
      </c>
      <c r="C9" s="8" t="s">
        <v>107</v>
      </c>
      <c r="D9" s="8" t="s">
        <v>305</v>
      </c>
      <c r="E9" s="8" t="s">
        <v>47</v>
      </c>
      <c r="F9" s="9">
        <v>1254</v>
      </c>
    </row>
    <row r="10" spans="1:6" s="1" customFormat="1" x14ac:dyDescent="0.3">
      <c r="A10" s="23">
        <v>46030</v>
      </c>
      <c r="B10" s="18" t="s">
        <v>38</v>
      </c>
      <c r="C10" s="18" t="s">
        <v>109</v>
      </c>
      <c r="D10" s="5" t="s">
        <v>635</v>
      </c>
      <c r="E10" s="5" t="s">
        <v>47</v>
      </c>
      <c r="F10" s="3">
        <f>80000*0.3</f>
        <v>24000</v>
      </c>
    </row>
    <row r="11" spans="1:6" s="1" customFormat="1" x14ac:dyDescent="0.3">
      <c r="A11" s="17">
        <v>46032</v>
      </c>
      <c r="B11" s="19" t="s">
        <v>38</v>
      </c>
      <c r="C11" s="19" t="s">
        <v>107</v>
      </c>
      <c r="D11" s="8" t="s">
        <v>180</v>
      </c>
      <c r="E11" s="8" t="s">
        <v>47</v>
      </c>
      <c r="F11" s="9">
        <v>2138.1</v>
      </c>
    </row>
    <row r="12" spans="1:6" s="1" customFormat="1" x14ac:dyDescent="0.3">
      <c r="A12" s="17">
        <v>46032</v>
      </c>
      <c r="B12" s="19" t="s">
        <v>38</v>
      </c>
      <c r="C12" s="19" t="s">
        <v>107</v>
      </c>
      <c r="D12" s="8" t="s">
        <v>313</v>
      </c>
      <c r="E12" s="8" t="s">
        <v>47</v>
      </c>
      <c r="F12" s="9">
        <v>5838.01</v>
      </c>
    </row>
    <row r="13" spans="1:6" s="1" customFormat="1" x14ac:dyDescent="0.3">
      <c r="A13" s="17">
        <v>46034</v>
      </c>
      <c r="B13" s="19" t="s">
        <v>38</v>
      </c>
      <c r="C13" s="19" t="s">
        <v>107</v>
      </c>
      <c r="D13" s="8" t="s">
        <v>184</v>
      </c>
      <c r="E13" s="8" t="s">
        <v>47</v>
      </c>
      <c r="F13" s="9">
        <v>10000</v>
      </c>
    </row>
    <row r="14" spans="1:6" s="1" customFormat="1" x14ac:dyDescent="0.3">
      <c r="A14" s="22">
        <v>46034</v>
      </c>
      <c r="B14" s="21" t="s">
        <v>38</v>
      </c>
      <c r="C14" s="21" t="s">
        <v>109</v>
      </c>
      <c r="D14" s="8" t="s">
        <v>633</v>
      </c>
      <c r="E14" s="10" t="s">
        <v>47</v>
      </c>
      <c r="F14" s="3">
        <v>2014.4</v>
      </c>
    </row>
    <row r="15" spans="1:6" s="1" customFormat="1" x14ac:dyDescent="0.3">
      <c r="A15" s="17">
        <v>46034</v>
      </c>
      <c r="B15" s="19" t="s">
        <v>38</v>
      </c>
      <c r="C15" s="19" t="s">
        <v>109</v>
      </c>
      <c r="D15" s="8" t="s">
        <v>633</v>
      </c>
      <c r="E15" s="8" t="s">
        <v>47</v>
      </c>
      <c r="F15" s="9">
        <v>9585.6</v>
      </c>
    </row>
    <row r="16" spans="1:6" s="1" customFormat="1" x14ac:dyDescent="0.3">
      <c r="A16" s="22">
        <v>46036</v>
      </c>
      <c r="B16" s="21" t="s">
        <v>38</v>
      </c>
      <c r="C16" s="21" t="s">
        <v>107</v>
      </c>
      <c r="D16" s="10" t="s">
        <v>629</v>
      </c>
      <c r="E16" s="10" t="s">
        <v>47</v>
      </c>
      <c r="F16" s="3">
        <f>24383/2</f>
        <v>12191.5</v>
      </c>
    </row>
    <row r="17" spans="1:6" s="1" customFormat="1" x14ac:dyDescent="0.3">
      <c r="A17" s="17">
        <v>46037</v>
      </c>
      <c r="B17" s="19" t="s">
        <v>38</v>
      </c>
      <c r="C17" s="19" t="s">
        <v>109</v>
      </c>
      <c r="D17" s="6" t="s">
        <v>162</v>
      </c>
      <c r="E17" s="6" t="s">
        <v>47</v>
      </c>
      <c r="F17" s="7">
        <v>2000</v>
      </c>
    </row>
    <row r="18" spans="1:6" s="1" customFormat="1" x14ac:dyDescent="0.3">
      <c r="A18" s="17">
        <v>46037</v>
      </c>
      <c r="B18" s="19" t="s">
        <v>38</v>
      </c>
      <c r="C18" s="19" t="s">
        <v>109</v>
      </c>
      <c r="D18" s="6" t="s">
        <v>191</v>
      </c>
      <c r="E18" s="6" t="s">
        <v>47</v>
      </c>
      <c r="F18" s="7">
        <v>76.84</v>
      </c>
    </row>
    <row r="19" spans="1:6" s="1" customFormat="1" x14ac:dyDescent="0.3">
      <c r="A19" s="17">
        <v>46038</v>
      </c>
      <c r="B19" s="8" t="s">
        <v>38</v>
      </c>
      <c r="C19" s="8" t="s">
        <v>107</v>
      </c>
      <c r="D19" s="8" t="s">
        <v>305</v>
      </c>
      <c r="E19" s="8" t="s">
        <v>47</v>
      </c>
      <c r="F19" s="9">
        <v>672.3</v>
      </c>
    </row>
    <row r="20" spans="1:6" s="1" customFormat="1" x14ac:dyDescent="0.3">
      <c r="A20" s="17">
        <v>46174</v>
      </c>
      <c r="B20" s="8" t="s">
        <v>38</v>
      </c>
      <c r="C20" s="8" t="s">
        <v>107</v>
      </c>
      <c r="D20" s="8" t="s">
        <v>305</v>
      </c>
      <c r="E20" s="8" t="s">
        <v>47</v>
      </c>
      <c r="F20" s="9">
        <v>672.3</v>
      </c>
    </row>
    <row r="21" spans="1:6" s="1" customFormat="1" x14ac:dyDescent="0.3">
      <c r="A21" s="17">
        <v>46041</v>
      </c>
      <c r="B21" s="19" t="s">
        <v>38</v>
      </c>
      <c r="C21" s="19" t="s">
        <v>107</v>
      </c>
      <c r="D21" s="8" t="s">
        <v>630</v>
      </c>
      <c r="E21" s="8" t="s">
        <v>47</v>
      </c>
      <c r="F21" s="9">
        <v>2500</v>
      </c>
    </row>
    <row r="22" spans="1:6" s="1" customFormat="1" x14ac:dyDescent="0.3">
      <c r="A22" s="17">
        <v>46041</v>
      </c>
      <c r="B22" s="19" t="s">
        <v>38</v>
      </c>
      <c r="C22" s="21" t="s">
        <v>252</v>
      </c>
      <c r="D22" s="8" t="s">
        <v>197</v>
      </c>
      <c r="E22" s="8" t="s">
        <v>47</v>
      </c>
      <c r="F22" s="9">
        <v>36985.300000000003</v>
      </c>
    </row>
    <row r="23" spans="1:6" s="1" customFormat="1" x14ac:dyDescent="0.3">
      <c r="A23" s="17">
        <v>46042</v>
      </c>
      <c r="B23" s="19" t="s">
        <v>38</v>
      </c>
      <c r="C23" s="19" t="s">
        <v>107</v>
      </c>
      <c r="D23" s="8" t="s">
        <v>201</v>
      </c>
      <c r="E23" s="8" t="s">
        <v>47</v>
      </c>
      <c r="F23" s="9">
        <v>4469</v>
      </c>
    </row>
    <row r="24" spans="1:6" s="1" customFormat="1" x14ac:dyDescent="0.3">
      <c r="A24" s="17">
        <v>46044</v>
      </c>
      <c r="B24" s="19" t="s">
        <v>38</v>
      </c>
      <c r="C24" s="19" t="s">
        <v>109</v>
      </c>
      <c r="D24" s="8" t="s">
        <v>633</v>
      </c>
      <c r="E24" s="8" t="s">
        <v>47</v>
      </c>
      <c r="F24" s="9">
        <f>450+923</f>
        <v>1373</v>
      </c>
    </row>
    <row r="25" spans="1:6" s="1" customFormat="1" x14ac:dyDescent="0.3">
      <c r="A25" s="17">
        <v>46048</v>
      </c>
      <c r="B25" s="19" t="s">
        <v>38</v>
      </c>
      <c r="C25" s="19" t="s">
        <v>109</v>
      </c>
      <c r="D25" s="8" t="s">
        <v>206</v>
      </c>
      <c r="E25" s="8" t="s">
        <v>47</v>
      </c>
      <c r="F25" s="9">
        <v>5000</v>
      </c>
    </row>
    <row r="26" spans="1:6" s="1" customFormat="1" x14ac:dyDescent="0.3">
      <c r="A26" s="17">
        <v>46054</v>
      </c>
      <c r="B26" s="8" t="s">
        <v>38</v>
      </c>
      <c r="C26" s="8" t="s">
        <v>107</v>
      </c>
      <c r="D26" s="8" t="s">
        <v>623</v>
      </c>
      <c r="E26" s="8" t="s">
        <v>47</v>
      </c>
      <c r="F26" s="9">
        <v>3104.35</v>
      </c>
    </row>
    <row r="27" spans="1:6" s="1" customFormat="1" x14ac:dyDescent="0.3">
      <c r="A27" s="17">
        <v>46054</v>
      </c>
      <c r="B27" s="8" t="s">
        <v>38</v>
      </c>
      <c r="C27" s="8" t="s">
        <v>107</v>
      </c>
      <c r="D27" s="8" t="s">
        <v>305</v>
      </c>
      <c r="E27" s="8" t="s">
        <v>47</v>
      </c>
      <c r="F27" s="9">
        <v>672.3</v>
      </c>
    </row>
    <row r="28" spans="1:6" s="1" customFormat="1" x14ac:dyDescent="0.3">
      <c r="A28" s="17">
        <v>46055</v>
      </c>
      <c r="B28" s="21" t="s">
        <v>38</v>
      </c>
      <c r="C28" s="21" t="s">
        <v>107</v>
      </c>
      <c r="D28" s="10" t="s">
        <v>629</v>
      </c>
      <c r="E28" s="10" t="s">
        <v>47</v>
      </c>
      <c r="F28" s="3">
        <f>24383/2</f>
        <v>12191.5</v>
      </c>
    </row>
    <row r="29" spans="1:6" s="1" customFormat="1" x14ac:dyDescent="0.3">
      <c r="A29" s="17">
        <v>46058</v>
      </c>
      <c r="B29" s="19" t="s">
        <v>38</v>
      </c>
      <c r="C29" s="19" t="s">
        <v>109</v>
      </c>
      <c r="D29" s="8" t="s">
        <v>632</v>
      </c>
      <c r="E29" s="10" t="s">
        <v>47</v>
      </c>
      <c r="F29" s="7">
        <v>31666.68</v>
      </c>
    </row>
    <row r="30" spans="1:6" s="1" customFormat="1" x14ac:dyDescent="0.3">
      <c r="A30" s="17">
        <v>46059</v>
      </c>
      <c r="B30" s="8" t="s">
        <v>38</v>
      </c>
      <c r="C30" s="8" t="s">
        <v>107</v>
      </c>
      <c r="D30" s="8" t="s">
        <v>626</v>
      </c>
      <c r="E30" s="8" t="s">
        <v>47</v>
      </c>
      <c r="F30" s="9">
        <v>4616.66</v>
      </c>
    </row>
    <row r="31" spans="1:6" s="1" customFormat="1" x14ac:dyDescent="0.3">
      <c r="A31" s="17">
        <v>46062</v>
      </c>
      <c r="B31" s="8" t="s">
        <v>38</v>
      </c>
      <c r="C31" s="8" t="s">
        <v>107</v>
      </c>
      <c r="D31" s="8" t="s">
        <v>448</v>
      </c>
      <c r="E31" s="8" t="s">
        <v>47</v>
      </c>
      <c r="F31" s="9">
        <v>1536</v>
      </c>
    </row>
    <row r="32" spans="1:6" s="1" customFormat="1" x14ac:dyDescent="0.3">
      <c r="A32" s="17">
        <v>46065</v>
      </c>
      <c r="B32" s="19" t="s">
        <v>38</v>
      </c>
      <c r="C32" s="19" t="s">
        <v>109</v>
      </c>
      <c r="D32" s="8" t="s">
        <v>633</v>
      </c>
      <c r="E32" s="10" t="s">
        <v>47</v>
      </c>
      <c r="F32" s="3">
        <v>2014.4</v>
      </c>
    </row>
    <row r="33" spans="1:6" s="1" customFormat="1" x14ac:dyDescent="0.3">
      <c r="A33" s="17">
        <v>46065</v>
      </c>
      <c r="B33" s="19" t="s">
        <v>38</v>
      </c>
      <c r="C33" s="19" t="s">
        <v>109</v>
      </c>
      <c r="D33" s="8" t="s">
        <v>633</v>
      </c>
      <c r="E33" s="10" t="s">
        <v>47</v>
      </c>
      <c r="F33" s="24">
        <v>9585.6</v>
      </c>
    </row>
    <row r="34" spans="1:6" s="1" customFormat="1" x14ac:dyDescent="0.3">
      <c r="A34" s="17">
        <v>46071</v>
      </c>
      <c r="B34" s="21" t="s">
        <v>38</v>
      </c>
      <c r="C34" s="21" t="s">
        <v>252</v>
      </c>
      <c r="D34" s="8" t="s">
        <v>637</v>
      </c>
      <c r="E34" s="8" t="s">
        <v>47</v>
      </c>
      <c r="F34" s="3">
        <f>25137.45</f>
        <v>25137.45</v>
      </c>
    </row>
    <row r="35" spans="1:6" s="1" customFormat="1" x14ac:dyDescent="0.3">
      <c r="A35" s="17">
        <v>46071</v>
      </c>
      <c r="B35" s="21" t="s">
        <v>38</v>
      </c>
      <c r="C35" s="21" t="s">
        <v>252</v>
      </c>
      <c r="D35" s="13" t="s">
        <v>636</v>
      </c>
      <c r="E35" s="10" t="s">
        <v>47</v>
      </c>
      <c r="F35" s="20">
        <f>954166</f>
        <v>954166</v>
      </c>
    </row>
    <row r="36" spans="1:6" s="1" customFormat="1" x14ac:dyDescent="0.3">
      <c r="A36" s="17">
        <v>46072</v>
      </c>
      <c r="B36" s="19" t="s">
        <v>38</v>
      </c>
      <c r="C36" s="19" t="s">
        <v>107</v>
      </c>
      <c r="D36" s="8" t="s">
        <v>630</v>
      </c>
      <c r="E36" s="10" t="s">
        <v>47</v>
      </c>
      <c r="F36" s="9">
        <v>2500</v>
      </c>
    </row>
    <row r="37" spans="1:6" s="1" customFormat="1" x14ac:dyDescent="0.3">
      <c r="A37" s="17">
        <v>46082</v>
      </c>
      <c r="B37" s="8" t="s">
        <v>38</v>
      </c>
      <c r="C37" s="8" t="s">
        <v>107</v>
      </c>
      <c r="D37" s="8" t="s">
        <v>305</v>
      </c>
      <c r="E37" s="8" t="s">
        <v>47</v>
      </c>
      <c r="F37" s="9">
        <v>672.3</v>
      </c>
    </row>
    <row r="38" spans="1:6" s="1" customFormat="1" x14ac:dyDescent="0.3">
      <c r="A38" s="17">
        <v>46082</v>
      </c>
      <c r="B38" s="8" t="s">
        <v>38</v>
      </c>
      <c r="C38" s="8" t="s">
        <v>107</v>
      </c>
      <c r="D38" s="8" t="s">
        <v>626</v>
      </c>
      <c r="E38" s="8" t="s">
        <v>47</v>
      </c>
      <c r="F38" s="9">
        <v>4616.66</v>
      </c>
    </row>
    <row r="39" spans="1:6" s="1" customFormat="1" x14ac:dyDescent="0.3">
      <c r="A39" s="17">
        <v>46083</v>
      </c>
      <c r="B39" s="6" t="s">
        <v>38</v>
      </c>
      <c r="C39" s="6" t="s">
        <v>107</v>
      </c>
      <c r="D39" s="6" t="s">
        <v>102</v>
      </c>
      <c r="E39" s="6" t="s">
        <v>47</v>
      </c>
      <c r="F39" s="3">
        <v>400</v>
      </c>
    </row>
    <row r="40" spans="1:6" s="1" customFormat="1" x14ac:dyDescent="0.3">
      <c r="A40" s="17">
        <v>46084</v>
      </c>
      <c r="B40" s="8" t="s">
        <v>38</v>
      </c>
      <c r="C40" s="8" t="s">
        <v>109</v>
      </c>
      <c r="D40" s="8" t="s">
        <v>634</v>
      </c>
      <c r="E40" s="8" t="s">
        <v>47</v>
      </c>
      <c r="F40" s="9">
        <v>6230</v>
      </c>
    </row>
    <row r="41" spans="1:6" s="1" customFormat="1" x14ac:dyDescent="0.3">
      <c r="A41" s="17">
        <v>46086</v>
      </c>
      <c r="B41" s="8" t="s">
        <v>38</v>
      </c>
      <c r="C41" s="8" t="s">
        <v>109</v>
      </c>
      <c r="D41" s="8" t="s">
        <v>632</v>
      </c>
      <c r="E41" s="8" t="s">
        <v>47</v>
      </c>
      <c r="F41" s="9">
        <v>31666.68</v>
      </c>
    </row>
    <row r="42" spans="1:6" s="1" customFormat="1" x14ac:dyDescent="0.3">
      <c r="A42" s="17">
        <v>46090</v>
      </c>
      <c r="B42" s="8" t="s">
        <v>38</v>
      </c>
      <c r="C42" s="8" t="s">
        <v>107</v>
      </c>
      <c r="D42" s="8" t="s">
        <v>628</v>
      </c>
      <c r="E42" s="8" t="s">
        <v>47</v>
      </c>
      <c r="F42" s="9">
        <v>3000</v>
      </c>
    </row>
    <row r="43" spans="1:6" s="1" customFormat="1" x14ac:dyDescent="0.3">
      <c r="A43" s="17">
        <v>46091</v>
      </c>
      <c r="B43" s="8" t="s">
        <v>38</v>
      </c>
      <c r="C43" s="8" t="s">
        <v>109</v>
      </c>
      <c r="D43" s="8" t="s">
        <v>633</v>
      </c>
      <c r="E43" s="8" t="s">
        <v>47</v>
      </c>
      <c r="F43" s="9">
        <v>2014.4</v>
      </c>
    </row>
    <row r="44" spans="1:6" s="1" customFormat="1" x14ac:dyDescent="0.3">
      <c r="A44" s="17">
        <v>46092</v>
      </c>
      <c r="B44" s="25" t="s">
        <v>38</v>
      </c>
      <c r="C44" s="25" t="s">
        <v>109</v>
      </c>
      <c r="D44" s="8" t="s">
        <v>633</v>
      </c>
      <c r="E44" s="8" t="s">
        <v>47</v>
      </c>
      <c r="F44" s="9">
        <v>9585.6</v>
      </c>
    </row>
    <row r="45" spans="1:6" s="1" customFormat="1" x14ac:dyDescent="0.3">
      <c r="A45" s="17">
        <v>46097</v>
      </c>
      <c r="B45" s="25" t="s">
        <v>38</v>
      </c>
      <c r="C45" s="25" t="s">
        <v>107</v>
      </c>
      <c r="D45" s="8" t="s">
        <v>115</v>
      </c>
      <c r="E45" s="8" t="s">
        <v>47</v>
      </c>
      <c r="F45" s="9">
        <v>302.5</v>
      </c>
    </row>
    <row r="46" spans="1:6" s="1" customFormat="1" x14ac:dyDescent="0.3">
      <c r="A46" s="17">
        <v>46097</v>
      </c>
      <c r="B46" s="25" t="s">
        <v>38</v>
      </c>
      <c r="C46" s="22" t="s">
        <v>252</v>
      </c>
      <c r="D46" s="8" t="s">
        <v>637</v>
      </c>
      <c r="E46" s="8" t="s">
        <v>47</v>
      </c>
      <c r="F46" s="9">
        <v>14137.45</v>
      </c>
    </row>
    <row r="47" spans="1:6" s="1" customFormat="1" x14ac:dyDescent="0.3">
      <c r="A47" s="17">
        <v>46097</v>
      </c>
      <c r="B47" s="8" t="s">
        <v>38</v>
      </c>
      <c r="C47" s="21" t="s">
        <v>252</v>
      </c>
      <c r="D47" s="13" t="s">
        <v>636</v>
      </c>
      <c r="E47" s="8" t="s">
        <v>47</v>
      </c>
      <c r="F47" s="9">
        <v>954166</v>
      </c>
    </row>
    <row r="48" spans="1:6" s="1" customFormat="1" x14ac:dyDescent="0.3">
      <c r="A48" s="17">
        <v>46113</v>
      </c>
      <c r="B48" s="25" t="s">
        <v>38</v>
      </c>
      <c r="C48" s="25" t="s">
        <v>107</v>
      </c>
      <c r="D48" s="8" t="s">
        <v>305</v>
      </c>
      <c r="E48" s="8" t="s">
        <v>47</v>
      </c>
      <c r="F48" s="9">
        <v>672.3</v>
      </c>
    </row>
    <row r="49" spans="1:6" s="1" customFormat="1" x14ac:dyDescent="0.3">
      <c r="A49" s="17">
        <v>46113</v>
      </c>
      <c r="B49" s="25" t="s">
        <v>38</v>
      </c>
      <c r="C49" s="25" t="s">
        <v>107</v>
      </c>
      <c r="D49" s="8" t="s">
        <v>626</v>
      </c>
      <c r="E49" s="8" t="s">
        <v>47</v>
      </c>
      <c r="F49" s="9">
        <v>4616.66</v>
      </c>
    </row>
    <row r="50" spans="1:6" s="1" customFormat="1" x14ac:dyDescent="0.3">
      <c r="A50" s="17">
        <v>46114</v>
      </c>
      <c r="B50" s="25" t="s">
        <v>38</v>
      </c>
      <c r="C50" s="25" t="s">
        <v>107</v>
      </c>
      <c r="D50" s="8" t="s">
        <v>305</v>
      </c>
      <c r="E50" s="8" t="s">
        <v>47</v>
      </c>
      <c r="F50" s="9">
        <v>1020</v>
      </c>
    </row>
    <row r="51" spans="1:6" s="1" customFormat="1" x14ac:dyDescent="0.3">
      <c r="A51" s="17">
        <v>46174</v>
      </c>
      <c r="B51" s="25" t="s">
        <v>38</v>
      </c>
      <c r="C51" s="25" t="s">
        <v>107</v>
      </c>
      <c r="D51" s="8" t="s">
        <v>305</v>
      </c>
      <c r="E51" s="8" t="s">
        <v>47</v>
      </c>
      <c r="F51" s="9">
        <v>1020</v>
      </c>
    </row>
    <row r="52" spans="1:6" s="1" customFormat="1" x14ac:dyDescent="0.3">
      <c r="A52" s="17">
        <v>46115</v>
      </c>
      <c r="B52" s="25" t="s">
        <v>38</v>
      </c>
      <c r="C52" s="25" t="s">
        <v>107</v>
      </c>
      <c r="D52" s="8" t="s">
        <v>633</v>
      </c>
      <c r="E52" s="4" t="s">
        <v>47</v>
      </c>
      <c r="F52" s="9">
        <v>583</v>
      </c>
    </row>
    <row r="53" spans="1:6" s="1" customFormat="1" x14ac:dyDescent="0.3">
      <c r="A53" s="17">
        <v>46116</v>
      </c>
      <c r="B53" s="25" t="s">
        <v>38</v>
      </c>
      <c r="C53" s="25" t="s">
        <v>109</v>
      </c>
      <c r="D53" s="8" t="s">
        <v>632</v>
      </c>
      <c r="E53" s="4" t="s">
        <v>47</v>
      </c>
      <c r="F53" s="9">
        <v>31666.66</v>
      </c>
    </row>
    <row r="54" spans="1:6" s="1" customFormat="1" x14ac:dyDescent="0.3">
      <c r="A54" s="17">
        <v>46117</v>
      </c>
      <c r="B54" s="25" t="s">
        <v>38</v>
      </c>
      <c r="C54" s="25" t="s">
        <v>107</v>
      </c>
      <c r="D54" s="8" t="s">
        <v>684</v>
      </c>
      <c r="E54" s="4" t="s">
        <v>47</v>
      </c>
      <c r="F54" s="9">
        <v>2501.1</v>
      </c>
    </row>
    <row r="55" spans="1:6" s="1" customFormat="1" x14ac:dyDescent="0.3">
      <c r="A55" s="17">
        <v>46118</v>
      </c>
      <c r="B55" s="25" t="s">
        <v>38</v>
      </c>
      <c r="C55" s="25" t="s">
        <v>107</v>
      </c>
      <c r="D55" s="8" t="s">
        <v>688</v>
      </c>
      <c r="E55" s="4" t="s">
        <v>47</v>
      </c>
      <c r="F55" s="9">
        <v>500</v>
      </c>
    </row>
    <row r="56" spans="1:6" s="1" customFormat="1" x14ac:dyDescent="0.3">
      <c r="A56" s="17">
        <v>46128</v>
      </c>
      <c r="B56" s="17" t="s">
        <v>38</v>
      </c>
      <c r="C56" s="22" t="s">
        <v>252</v>
      </c>
      <c r="D56" s="8" t="s">
        <v>637</v>
      </c>
      <c r="E56" s="8" t="s">
        <v>47</v>
      </c>
      <c r="F56" s="9">
        <f>25137.45</f>
        <v>25137.45</v>
      </c>
    </row>
    <row r="57" spans="1:6" s="1" customFormat="1" x14ac:dyDescent="0.3">
      <c r="A57" s="17">
        <v>46128</v>
      </c>
      <c r="B57" s="17" t="s">
        <v>38</v>
      </c>
      <c r="C57" s="22" t="s">
        <v>252</v>
      </c>
      <c r="D57" s="13" t="s">
        <v>636</v>
      </c>
      <c r="E57" s="8" t="s">
        <v>47</v>
      </c>
      <c r="F57" s="9">
        <v>926166</v>
      </c>
    </row>
    <row r="58" spans="1:6" s="1" customFormat="1" x14ac:dyDescent="0.3">
      <c r="A58" s="17">
        <v>46143</v>
      </c>
      <c r="B58" s="25" t="s">
        <v>38</v>
      </c>
      <c r="C58" s="25" t="s">
        <v>107</v>
      </c>
      <c r="D58" s="8" t="s">
        <v>305</v>
      </c>
      <c r="E58" s="8" t="s">
        <v>47</v>
      </c>
      <c r="F58" s="9">
        <v>672.3</v>
      </c>
    </row>
    <row r="59" spans="1:6" s="1" customFormat="1" x14ac:dyDescent="0.3">
      <c r="A59" s="17">
        <v>46143</v>
      </c>
      <c r="B59" s="8" t="s">
        <v>38</v>
      </c>
      <c r="C59" s="8" t="s">
        <v>107</v>
      </c>
      <c r="D59" s="8" t="s">
        <v>305</v>
      </c>
      <c r="E59" s="8" t="s">
        <v>47</v>
      </c>
      <c r="F59" s="9">
        <v>1020</v>
      </c>
    </row>
    <row r="60" spans="1:6" s="1" customFormat="1" x14ac:dyDescent="0.3">
      <c r="A60" s="17">
        <v>46146</v>
      </c>
      <c r="B60" s="8" t="s">
        <v>38</v>
      </c>
      <c r="C60" s="8" t="s">
        <v>107</v>
      </c>
      <c r="D60" s="6" t="s">
        <v>10</v>
      </c>
      <c r="E60" s="6" t="s">
        <v>47</v>
      </c>
      <c r="F60" s="3">
        <v>4300</v>
      </c>
    </row>
    <row r="61" spans="1:6" s="1" customFormat="1" x14ac:dyDescent="0.3">
      <c r="A61" s="17">
        <v>46149</v>
      </c>
      <c r="B61" s="8" t="s">
        <v>38</v>
      </c>
      <c r="C61" s="8" t="s">
        <v>107</v>
      </c>
      <c r="D61" s="6" t="s">
        <v>848</v>
      </c>
      <c r="E61" s="6" t="s">
        <v>47</v>
      </c>
      <c r="F61" s="3">
        <v>5500</v>
      </c>
    </row>
    <row r="62" spans="1:6" s="1" customFormat="1" x14ac:dyDescent="0.3">
      <c r="A62" s="17">
        <v>46160</v>
      </c>
      <c r="B62" s="22" t="s">
        <v>38</v>
      </c>
      <c r="C62" s="22" t="s">
        <v>252</v>
      </c>
      <c r="D62" s="8" t="s">
        <v>637</v>
      </c>
      <c r="E62" s="8" t="s">
        <v>47</v>
      </c>
      <c r="F62" s="3">
        <f>25137.45</f>
        <v>25137.45</v>
      </c>
    </row>
    <row r="63" spans="1:6" s="1" customFormat="1" x14ac:dyDescent="0.3">
      <c r="A63" s="17">
        <v>46160</v>
      </c>
      <c r="B63" s="22" t="s">
        <v>38</v>
      </c>
      <c r="C63" s="22" t="s">
        <v>252</v>
      </c>
      <c r="D63" s="13" t="s">
        <v>636</v>
      </c>
      <c r="E63" s="10" t="s">
        <v>47</v>
      </c>
      <c r="F63" s="20">
        <f>954166</f>
        <v>954166</v>
      </c>
    </row>
    <row r="64" spans="1:6" s="1" customFormat="1" x14ac:dyDescent="0.3">
      <c r="A64" s="17">
        <v>46164</v>
      </c>
      <c r="B64" s="25" t="s">
        <v>38</v>
      </c>
      <c r="C64" s="25" t="s">
        <v>107</v>
      </c>
      <c r="D64" s="6" t="s">
        <v>848</v>
      </c>
      <c r="E64" s="6" t="s">
        <v>47</v>
      </c>
      <c r="F64" s="3">
        <v>5500</v>
      </c>
    </row>
    <row r="65" spans="1:6" s="1" customFormat="1" ht="13.8" customHeight="1" x14ac:dyDescent="0.3">
      <c r="A65" s="17">
        <v>46164</v>
      </c>
      <c r="B65" s="25" t="s">
        <v>38</v>
      </c>
      <c r="C65" s="25" t="s">
        <v>107</v>
      </c>
      <c r="D65" s="6" t="s">
        <v>848</v>
      </c>
      <c r="E65" s="6" t="s">
        <v>47</v>
      </c>
      <c r="F65" s="3">
        <v>550</v>
      </c>
    </row>
    <row r="66" spans="1:6" s="1" customFormat="1" x14ac:dyDescent="0.3">
      <c r="A66" s="17">
        <v>46195</v>
      </c>
      <c r="B66" s="17" t="s">
        <v>38</v>
      </c>
      <c r="C66" s="17" t="s">
        <v>1011</v>
      </c>
      <c r="D66" s="8" t="s">
        <v>1013</v>
      </c>
      <c r="E66" s="8" t="s">
        <v>47</v>
      </c>
      <c r="F66" s="9">
        <v>13500</v>
      </c>
    </row>
    <row r="67" spans="1:6" s="1" customFormat="1" x14ac:dyDescent="0.3">
      <c r="A67" s="17">
        <v>46195</v>
      </c>
      <c r="B67" s="17" t="s">
        <v>38</v>
      </c>
      <c r="C67" s="17" t="s">
        <v>1011</v>
      </c>
      <c r="D67" s="8" t="s">
        <v>684</v>
      </c>
      <c r="E67" s="8" t="s">
        <v>47</v>
      </c>
      <c r="F67" s="9">
        <v>2102</v>
      </c>
    </row>
    <row r="68" spans="1:6" s="1" customFormat="1" x14ac:dyDescent="0.3">
      <c r="A68" s="17">
        <v>46189</v>
      </c>
      <c r="B68" s="17" t="s">
        <v>38</v>
      </c>
      <c r="C68" s="17" t="s">
        <v>1011</v>
      </c>
      <c r="D68" s="8" t="s">
        <v>1157</v>
      </c>
      <c r="E68" s="8" t="s">
        <v>47</v>
      </c>
      <c r="F68" s="9">
        <v>2400</v>
      </c>
    </row>
    <row r="69" spans="1:6" s="1" customFormat="1" x14ac:dyDescent="0.3">
      <c r="A69" s="17">
        <v>46175</v>
      </c>
      <c r="B69" s="17" t="s">
        <v>38</v>
      </c>
      <c r="C69" s="17" t="s">
        <v>132</v>
      </c>
      <c r="D69" s="8" t="s">
        <v>1017</v>
      </c>
      <c r="E69" s="8" t="s">
        <v>47</v>
      </c>
      <c r="F69" s="9">
        <v>11500</v>
      </c>
    </row>
    <row r="70" spans="1:6" s="1" customFormat="1" x14ac:dyDescent="0.3">
      <c r="A70" s="17">
        <v>46149</v>
      </c>
      <c r="B70" s="25" t="s">
        <v>122</v>
      </c>
      <c r="C70" s="25" t="s">
        <v>638</v>
      </c>
      <c r="D70" s="8" t="s">
        <v>110</v>
      </c>
      <c r="E70" s="8" t="s">
        <v>122</v>
      </c>
      <c r="F70" s="9">
        <v>360000</v>
      </c>
    </row>
    <row r="71" spans="1:6" s="1" customFormat="1" x14ac:dyDescent="0.3">
      <c r="A71" s="17">
        <v>46086</v>
      </c>
      <c r="B71" s="25" t="s">
        <v>122</v>
      </c>
      <c r="C71" s="25" t="s">
        <v>638</v>
      </c>
      <c r="D71" s="8" t="s">
        <v>110</v>
      </c>
      <c r="E71" s="8" t="s">
        <v>122</v>
      </c>
      <c r="F71" s="9">
        <v>50000</v>
      </c>
    </row>
    <row r="72" spans="1:6" s="1" customFormat="1" x14ac:dyDescent="0.3">
      <c r="A72" s="17">
        <v>46087</v>
      </c>
      <c r="B72" s="25" t="s">
        <v>122</v>
      </c>
      <c r="C72" s="25" t="s">
        <v>638</v>
      </c>
      <c r="D72" s="8" t="s">
        <v>110</v>
      </c>
      <c r="E72" s="8" t="s">
        <v>122</v>
      </c>
      <c r="F72" s="9">
        <v>50000</v>
      </c>
    </row>
    <row r="73" spans="1:6" s="1" customFormat="1" x14ac:dyDescent="0.3">
      <c r="A73" s="17">
        <v>46091</v>
      </c>
      <c r="B73" s="25" t="s">
        <v>122</v>
      </c>
      <c r="C73" s="25" t="s">
        <v>638</v>
      </c>
      <c r="D73" s="8" t="s">
        <v>110</v>
      </c>
      <c r="E73" s="8" t="s">
        <v>122</v>
      </c>
      <c r="F73" s="9">
        <v>50000</v>
      </c>
    </row>
    <row r="74" spans="1:6" s="1" customFormat="1" x14ac:dyDescent="0.3">
      <c r="A74" s="17">
        <v>46023</v>
      </c>
      <c r="B74" s="25" t="s">
        <v>44</v>
      </c>
      <c r="C74" s="25" t="s">
        <v>107</v>
      </c>
      <c r="D74" s="8" t="s">
        <v>309</v>
      </c>
      <c r="E74" s="8" t="s">
        <v>47</v>
      </c>
      <c r="F74" s="9">
        <v>1607.8</v>
      </c>
    </row>
    <row r="75" spans="1:6" s="1" customFormat="1" x14ac:dyDescent="0.3">
      <c r="A75" s="17">
        <v>46023</v>
      </c>
      <c r="B75" s="25" t="s">
        <v>44</v>
      </c>
      <c r="C75" s="25" t="s">
        <v>107</v>
      </c>
      <c r="D75" s="8" t="s">
        <v>622</v>
      </c>
      <c r="E75" s="8" t="s">
        <v>47</v>
      </c>
      <c r="F75" s="9">
        <v>3022</v>
      </c>
    </row>
    <row r="76" spans="1:6" s="1" customFormat="1" x14ac:dyDescent="0.3">
      <c r="A76" s="17">
        <v>46023</v>
      </c>
      <c r="B76" s="25" t="s">
        <v>44</v>
      </c>
      <c r="C76" s="25" t="s">
        <v>107</v>
      </c>
      <c r="D76" s="8" t="s">
        <v>313</v>
      </c>
      <c r="E76" s="8" t="s">
        <v>47</v>
      </c>
      <c r="F76" s="9">
        <v>1555.18</v>
      </c>
    </row>
    <row r="77" spans="1:6" s="1" customFormat="1" x14ac:dyDescent="0.3">
      <c r="A77" s="17">
        <v>46023</v>
      </c>
      <c r="B77" s="25" t="s">
        <v>44</v>
      </c>
      <c r="C77" s="25" t="s">
        <v>107</v>
      </c>
      <c r="D77" s="8" t="s">
        <v>624</v>
      </c>
      <c r="E77" s="8" t="s">
        <v>47</v>
      </c>
      <c r="F77" s="9">
        <v>287.98</v>
      </c>
    </row>
    <row r="78" spans="1:6" s="1" customFormat="1" x14ac:dyDescent="0.3">
      <c r="A78" s="17">
        <v>46024</v>
      </c>
      <c r="B78" s="17" t="s">
        <v>44</v>
      </c>
      <c r="C78" s="17" t="s">
        <v>107</v>
      </c>
      <c r="D78" s="5" t="s">
        <v>631</v>
      </c>
      <c r="E78" s="5" t="s">
        <v>47</v>
      </c>
      <c r="F78" s="3">
        <v>10500</v>
      </c>
    </row>
    <row r="79" spans="1:6" s="1" customFormat="1" x14ac:dyDescent="0.3">
      <c r="A79" s="17">
        <v>46027</v>
      </c>
      <c r="B79" s="17" t="s">
        <v>44</v>
      </c>
      <c r="C79" s="17" t="s">
        <v>107</v>
      </c>
      <c r="D79" s="10" t="s">
        <v>639</v>
      </c>
      <c r="E79" s="10" t="s">
        <v>47</v>
      </c>
      <c r="F79" s="20">
        <v>980</v>
      </c>
    </row>
    <row r="80" spans="1:6" s="1" customFormat="1" x14ac:dyDescent="0.3">
      <c r="A80" s="17">
        <v>46027</v>
      </c>
      <c r="B80" s="25" t="s">
        <v>44</v>
      </c>
      <c r="C80" s="25" t="s">
        <v>107</v>
      </c>
      <c r="D80" s="8" t="s">
        <v>304</v>
      </c>
      <c r="E80" s="8" t="s">
        <v>47</v>
      </c>
      <c r="F80" s="9">
        <v>80</v>
      </c>
    </row>
    <row r="81" spans="1:6" s="1" customFormat="1" x14ac:dyDescent="0.3">
      <c r="A81" s="17">
        <v>46027</v>
      </c>
      <c r="B81" s="25" t="s">
        <v>44</v>
      </c>
      <c r="C81" s="23" t="s">
        <v>59</v>
      </c>
      <c r="D81" s="6" t="s">
        <v>214</v>
      </c>
      <c r="E81" s="6" t="s">
        <v>47</v>
      </c>
      <c r="F81" s="7">
        <v>95770.71</v>
      </c>
    </row>
    <row r="82" spans="1:6" s="1" customFormat="1" x14ac:dyDescent="0.3">
      <c r="A82" s="17">
        <v>46030</v>
      </c>
      <c r="B82" s="23" t="s">
        <v>44</v>
      </c>
      <c r="C82" s="23" t="s">
        <v>107</v>
      </c>
      <c r="D82" s="5" t="s">
        <v>177</v>
      </c>
      <c r="E82" s="5" t="s">
        <v>47</v>
      </c>
      <c r="F82" s="3">
        <v>68000</v>
      </c>
    </row>
    <row r="83" spans="1:6" s="1" customFormat="1" x14ac:dyDescent="0.3">
      <c r="A83" s="17">
        <v>46033</v>
      </c>
      <c r="B83" s="25" t="s">
        <v>44</v>
      </c>
      <c r="C83" s="25" t="s">
        <v>107</v>
      </c>
      <c r="D83" s="8" t="s">
        <v>309</v>
      </c>
      <c r="E83" s="8" t="s">
        <v>47</v>
      </c>
      <c r="F83" s="9">
        <v>1664.3</v>
      </c>
    </row>
    <row r="84" spans="1:6" s="1" customFormat="1" x14ac:dyDescent="0.3">
      <c r="A84" s="17">
        <v>46035</v>
      </c>
      <c r="B84" s="25" t="s">
        <v>44</v>
      </c>
      <c r="C84" s="25" t="s">
        <v>107</v>
      </c>
      <c r="D84" s="8" t="s">
        <v>312</v>
      </c>
      <c r="E84" s="8" t="s">
        <v>47</v>
      </c>
      <c r="F84" s="9">
        <v>1132.81</v>
      </c>
    </row>
    <row r="85" spans="1:6" s="1" customFormat="1" x14ac:dyDescent="0.3">
      <c r="A85" s="17">
        <v>46036</v>
      </c>
      <c r="B85" s="25" t="s">
        <v>44</v>
      </c>
      <c r="C85" s="25" t="s">
        <v>107</v>
      </c>
      <c r="D85" s="8" t="s">
        <v>309</v>
      </c>
      <c r="E85" s="8" t="s">
        <v>47</v>
      </c>
      <c r="F85" s="9">
        <v>104.82</v>
      </c>
    </row>
    <row r="86" spans="1:6" s="1" customFormat="1" x14ac:dyDescent="0.3">
      <c r="A86" s="17">
        <v>46036</v>
      </c>
      <c r="B86" s="25" t="s">
        <v>44</v>
      </c>
      <c r="C86" s="25" t="s">
        <v>107</v>
      </c>
      <c r="D86" s="8" t="s">
        <v>313</v>
      </c>
      <c r="E86" s="8" t="s">
        <v>47</v>
      </c>
      <c r="F86" s="9">
        <v>5238</v>
      </c>
    </row>
    <row r="87" spans="1:6" s="1" customFormat="1" x14ac:dyDescent="0.3">
      <c r="A87" s="17">
        <v>46043</v>
      </c>
      <c r="B87" s="17" t="s">
        <v>44</v>
      </c>
      <c r="C87" s="17" t="s">
        <v>107</v>
      </c>
      <c r="D87" s="8" t="s">
        <v>202</v>
      </c>
      <c r="E87" s="8" t="s">
        <v>47</v>
      </c>
      <c r="F87" s="9">
        <v>3292.13</v>
      </c>
    </row>
    <row r="88" spans="1:6" s="1" customFormat="1" x14ac:dyDescent="0.3">
      <c r="A88" s="17">
        <v>46047</v>
      </c>
      <c r="B88" s="25" t="s">
        <v>44</v>
      </c>
      <c r="C88" s="25" t="s">
        <v>107</v>
      </c>
      <c r="D88" s="8" t="s">
        <v>313</v>
      </c>
      <c r="E88" s="13" t="s">
        <v>47</v>
      </c>
      <c r="F88" s="9">
        <v>570.6</v>
      </c>
    </row>
    <row r="89" spans="1:6" s="1" customFormat="1" x14ac:dyDescent="0.3">
      <c r="A89" s="17">
        <v>46054</v>
      </c>
      <c r="B89" s="25" t="s">
        <v>44</v>
      </c>
      <c r="C89" s="25" t="s">
        <v>107</v>
      </c>
      <c r="D89" s="8" t="s">
        <v>309</v>
      </c>
      <c r="E89" s="8" t="s">
        <v>47</v>
      </c>
      <c r="F89" s="9">
        <v>1607.8</v>
      </c>
    </row>
    <row r="90" spans="1:6" s="1" customFormat="1" x14ac:dyDescent="0.3">
      <c r="A90" s="17">
        <v>46054</v>
      </c>
      <c r="B90" s="25" t="s">
        <v>44</v>
      </c>
      <c r="C90" s="25" t="s">
        <v>107</v>
      </c>
      <c r="D90" s="8" t="s">
        <v>624</v>
      </c>
      <c r="E90" s="8" t="s">
        <v>47</v>
      </c>
      <c r="F90" s="9">
        <v>287.98</v>
      </c>
    </row>
    <row r="91" spans="1:6" s="1" customFormat="1" x14ac:dyDescent="0.3">
      <c r="A91" s="17">
        <v>46058</v>
      </c>
      <c r="B91" s="25" t="s">
        <v>44</v>
      </c>
      <c r="C91" s="23" t="s">
        <v>59</v>
      </c>
      <c r="D91" s="6" t="s">
        <v>214</v>
      </c>
      <c r="E91" s="6" t="s">
        <v>47</v>
      </c>
      <c r="F91" s="7">
        <v>95645.67</v>
      </c>
    </row>
    <row r="92" spans="1:6" s="1" customFormat="1" x14ac:dyDescent="0.3">
      <c r="A92" s="17">
        <v>46077</v>
      </c>
      <c r="B92" s="17" t="s">
        <v>44</v>
      </c>
      <c r="C92" s="17" t="s">
        <v>107</v>
      </c>
      <c r="D92" s="8" t="s">
        <v>201</v>
      </c>
      <c r="E92" s="8" t="s">
        <v>47</v>
      </c>
      <c r="F92" s="9">
        <v>1000</v>
      </c>
    </row>
    <row r="93" spans="1:6" s="1" customFormat="1" x14ac:dyDescent="0.3">
      <c r="A93" s="17">
        <v>46078</v>
      </c>
      <c r="B93" s="25" t="s">
        <v>44</v>
      </c>
      <c r="C93" s="25" t="s">
        <v>107</v>
      </c>
      <c r="D93" s="8" t="s">
        <v>313</v>
      </c>
      <c r="E93" s="13" t="s">
        <v>47</v>
      </c>
      <c r="F93" s="9">
        <v>570.6</v>
      </c>
    </row>
    <row r="94" spans="1:6" s="1" customFormat="1" x14ac:dyDescent="0.3">
      <c r="A94" s="17">
        <v>46079</v>
      </c>
      <c r="B94" s="25" t="s">
        <v>44</v>
      </c>
      <c r="C94" s="25" t="s">
        <v>107</v>
      </c>
      <c r="D94" s="8" t="s">
        <v>309</v>
      </c>
      <c r="E94" s="8" t="s">
        <v>47</v>
      </c>
      <c r="F94" s="9">
        <v>144.15</v>
      </c>
    </row>
    <row r="95" spans="1:6" s="1" customFormat="1" x14ac:dyDescent="0.3">
      <c r="A95" s="17">
        <v>46080</v>
      </c>
      <c r="B95" s="19" t="s">
        <v>44</v>
      </c>
      <c r="C95" s="19" t="s">
        <v>107</v>
      </c>
      <c r="D95" s="8" t="s">
        <v>235</v>
      </c>
      <c r="E95" s="8" t="s">
        <v>47</v>
      </c>
      <c r="F95" s="9">
        <v>648</v>
      </c>
    </row>
    <row r="96" spans="1:6" s="1" customFormat="1" x14ac:dyDescent="0.3">
      <c r="A96" s="17">
        <v>46082</v>
      </c>
      <c r="B96" s="8" t="s">
        <v>44</v>
      </c>
      <c r="C96" s="8" t="s">
        <v>107</v>
      </c>
      <c r="D96" s="8" t="s">
        <v>309</v>
      </c>
      <c r="E96" s="8" t="s">
        <v>47</v>
      </c>
      <c r="F96" s="9">
        <v>1607.8</v>
      </c>
    </row>
    <row r="97" spans="1:6" s="1" customFormat="1" x14ac:dyDescent="0.3">
      <c r="A97" s="17">
        <v>46082</v>
      </c>
      <c r="B97" s="25" t="s">
        <v>44</v>
      </c>
      <c r="C97" s="25" t="s">
        <v>107</v>
      </c>
      <c r="D97" s="8" t="s">
        <v>624</v>
      </c>
      <c r="E97" s="8" t="s">
        <v>47</v>
      </c>
      <c r="F97" s="9">
        <v>287.98</v>
      </c>
    </row>
    <row r="98" spans="1:6" s="1" customFormat="1" x14ac:dyDescent="0.3">
      <c r="A98" s="17">
        <v>46084</v>
      </c>
      <c r="B98" s="25" t="s">
        <v>44</v>
      </c>
      <c r="C98" s="25" t="s">
        <v>107</v>
      </c>
      <c r="D98" s="8" t="s">
        <v>529</v>
      </c>
      <c r="E98" s="8" t="s">
        <v>47</v>
      </c>
      <c r="F98" s="9">
        <v>1363.45</v>
      </c>
    </row>
    <row r="99" spans="1:6" s="1" customFormat="1" x14ac:dyDescent="0.3">
      <c r="A99" s="17">
        <v>46085</v>
      </c>
      <c r="B99" s="25" t="s">
        <v>44</v>
      </c>
      <c r="C99" s="25" t="s">
        <v>107</v>
      </c>
      <c r="D99" s="8" t="s">
        <v>108</v>
      </c>
      <c r="E99" s="8" t="s">
        <v>47</v>
      </c>
      <c r="F99" s="9">
        <v>35</v>
      </c>
    </row>
    <row r="100" spans="1:6" s="1" customFormat="1" x14ac:dyDescent="0.3">
      <c r="A100" s="17">
        <v>46085</v>
      </c>
      <c r="B100" s="25" t="s">
        <v>44</v>
      </c>
      <c r="C100" s="25" t="s">
        <v>107</v>
      </c>
      <c r="D100" s="8" t="s">
        <v>528</v>
      </c>
      <c r="E100" s="8" t="s">
        <v>47</v>
      </c>
      <c r="F100" s="9">
        <v>770</v>
      </c>
    </row>
    <row r="101" spans="1:6" s="1" customFormat="1" x14ac:dyDescent="0.3">
      <c r="A101" s="17">
        <v>46085</v>
      </c>
      <c r="B101" s="25" t="s">
        <v>44</v>
      </c>
      <c r="C101" s="25" t="s">
        <v>107</v>
      </c>
      <c r="D101" s="8" t="s">
        <v>529</v>
      </c>
      <c r="E101" s="8" t="s">
        <v>47</v>
      </c>
      <c r="F101" s="9">
        <v>198.9</v>
      </c>
    </row>
    <row r="102" spans="1:6" s="1" customFormat="1" x14ac:dyDescent="0.3">
      <c r="A102" s="17">
        <v>46085</v>
      </c>
      <c r="B102" s="25" t="s">
        <v>44</v>
      </c>
      <c r="C102" s="25" t="s">
        <v>107</v>
      </c>
      <c r="D102" s="8" t="s">
        <v>627</v>
      </c>
      <c r="E102" s="8" t="s">
        <v>47</v>
      </c>
      <c r="F102" s="9">
        <v>662.17</v>
      </c>
    </row>
    <row r="103" spans="1:6" s="1" customFormat="1" x14ac:dyDescent="0.3">
      <c r="A103" s="17">
        <v>46086</v>
      </c>
      <c r="B103" s="25" t="s">
        <v>44</v>
      </c>
      <c r="C103" s="25" t="s">
        <v>107</v>
      </c>
      <c r="D103" s="8" t="s">
        <v>529</v>
      </c>
      <c r="E103" s="8" t="s">
        <v>47</v>
      </c>
      <c r="F103" s="9">
        <v>9</v>
      </c>
    </row>
    <row r="104" spans="1:6" s="1" customFormat="1" x14ac:dyDescent="0.3">
      <c r="A104" s="17">
        <v>46086</v>
      </c>
      <c r="B104" s="25" t="s">
        <v>44</v>
      </c>
      <c r="C104" s="23" t="s">
        <v>59</v>
      </c>
      <c r="D104" s="6" t="s">
        <v>214</v>
      </c>
      <c r="E104" s="6" t="s">
        <v>47</v>
      </c>
      <c r="F104" s="7">
        <v>95553.45</v>
      </c>
    </row>
    <row r="105" spans="1:6" s="1" customFormat="1" x14ac:dyDescent="0.3">
      <c r="A105" s="17">
        <v>46090</v>
      </c>
      <c r="B105" s="25" t="s">
        <v>44</v>
      </c>
      <c r="C105" s="25" t="s">
        <v>107</v>
      </c>
      <c r="D105" s="8" t="s">
        <v>10</v>
      </c>
      <c r="E105" s="8" t="s">
        <v>47</v>
      </c>
      <c r="F105" s="9">
        <v>1320</v>
      </c>
    </row>
    <row r="106" spans="1:6" s="1" customFormat="1" x14ac:dyDescent="0.3">
      <c r="A106" s="17">
        <v>46097</v>
      </c>
      <c r="B106" s="25" t="s">
        <v>44</v>
      </c>
      <c r="C106" s="25" t="s">
        <v>107</v>
      </c>
      <c r="D106" s="8" t="s">
        <v>114</v>
      </c>
      <c r="E106" s="8" t="s">
        <v>47</v>
      </c>
      <c r="F106" s="9">
        <v>300</v>
      </c>
    </row>
    <row r="107" spans="1:6" s="1" customFormat="1" x14ac:dyDescent="0.3">
      <c r="A107" s="17">
        <v>46098</v>
      </c>
      <c r="B107" s="25" t="s">
        <v>44</v>
      </c>
      <c r="C107" s="25" t="s">
        <v>107</v>
      </c>
      <c r="D107" s="8" t="s">
        <v>201</v>
      </c>
      <c r="E107" s="8" t="s">
        <v>47</v>
      </c>
      <c r="F107" s="9">
        <v>1000</v>
      </c>
    </row>
    <row r="108" spans="1:6" s="1" customFormat="1" x14ac:dyDescent="0.3">
      <c r="A108" s="17">
        <v>46101</v>
      </c>
      <c r="B108" s="25" t="s">
        <v>44</v>
      </c>
      <c r="C108" s="25" t="s">
        <v>107</v>
      </c>
      <c r="D108" s="8" t="s">
        <v>114</v>
      </c>
      <c r="E108" s="8" t="s">
        <v>47</v>
      </c>
      <c r="F108" s="9">
        <v>700</v>
      </c>
    </row>
    <row r="109" spans="1:6" s="1" customFormat="1" x14ac:dyDescent="0.3">
      <c r="A109" s="17">
        <v>46104</v>
      </c>
      <c r="B109" s="25" t="s">
        <v>44</v>
      </c>
      <c r="C109" s="25" t="s">
        <v>107</v>
      </c>
      <c r="D109" s="8" t="s">
        <v>120</v>
      </c>
      <c r="E109" s="8" t="s">
        <v>47</v>
      </c>
      <c r="F109" s="9">
        <v>450</v>
      </c>
    </row>
    <row r="110" spans="1:6" s="1" customFormat="1" x14ac:dyDescent="0.3">
      <c r="A110" s="17">
        <v>46105</v>
      </c>
      <c r="B110" s="25" t="s">
        <v>44</v>
      </c>
      <c r="C110" s="25" t="s">
        <v>107</v>
      </c>
      <c r="D110" s="8" t="s">
        <v>121</v>
      </c>
      <c r="E110" s="8" t="s">
        <v>47</v>
      </c>
      <c r="F110" s="9">
        <v>299</v>
      </c>
    </row>
    <row r="111" spans="1:6" s="1" customFormat="1" x14ac:dyDescent="0.3">
      <c r="A111" s="17">
        <v>46106</v>
      </c>
      <c r="B111" s="25" t="s">
        <v>44</v>
      </c>
      <c r="C111" s="25" t="s">
        <v>107</v>
      </c>
      <c r="D111" s="8" t="s">
        <v>313</v>
      </c>
      <c r="E111" s="4" t="s">
        <v>47</v>
      </c>
      <c r="F111" s="9">
        <v>570.6</v>
      </c>
    </row>
    <row r="112" spans="1:6" s="1" customFormat="1" x14ac:dyDescent="0.3">
      <c r="A112" s="17">
        <v>46113</v>
      </c>
      <c r="B112" s="25" t="s">
        <v>44</v>
      </c>
      <c r="C112" s="25" t="s">
        <v>107</v>
      </c>
      <c r="D112" s="8" t="s">
        <v>529</v>
      </c>
      <c r="E112" s="8" t="s">
        <v>47</v>
      </c>
      <c r="F112" s="9">
        <v>1363.45</v>
      </c>
    </row>
    <row r="113" spans="1:6" s="1" customFormat="1" x14ac:dyDescent="0.3">
      <c r="A113" s="17">
        <v>46113</v>
      </c>
      <c r="B113" s="25" t="s">
        <v>44</v>
      </c>
      <c r="C113" s="25" t="s">
        <v>107</v>
      </c>
      <c r="D113" s="8" t="s">
        <v>627</v>
      </c>
      <c r="E113" s="8" t="s">
        <v>47</v>
      </c>
      <c r="F113" s="9">
        <v>662.15</v>
      </c>
    </row>
    <row r="114" spans="1:6" s="1" customFormat="1" x14ac:dyDescent="0.3">
      <c r="A114" s="17">
        <v>46113</v>
      </c>
      <c r="B114" s="25" t="s">
        <v>44</v>
      </c>
      <c r="C114" s="25" t="s">
        <v>107</v>
      </c>
      <c r="D114" s="8" t="s">
        <v>624</v>
      </c>
      <c r="E114" s="8" t="s">
        <v>47</v>
      </c>
      <c r="F114" s="9">
        <v>287.98</v>
      </c>
    </row>
    <row r="115" spans="1:6" s="1" customFormat="1" x14ac:dyDescent="0.3">
      <c r="A115" s="17">
        <v>46114</v>
      </c>
      <c r="B115" s="25" t="s">
        <v>44</v>
      </c>
      <c r="C115" s="25" t="s">
        <v>107</v>
      </c>
      <c r="D115" s="8" t="s">
        <v>309</v>
      </c>
      <c r="E115" s="8" t="s">
        <v>47</v>
      </c>
      <c r="F115" s="9">
        <v>333.79</v>
      </c>
    </row>
    <row r="116" spans="1:6" s="1" customFormat="1" x14ac:dyDescent="0.3">
      <c r="A116" s="17">
        <v>46115</v>
      </c>
      <c r="B116" s="25" t="s">
        <v>44</v>
      </c>
      <c r="C116" s="25" t="s">
        <v>107</v>
      </c>
      <c r="D116" s="8" t="s">
        <v>429</v>
      </c>
      <c r="E116" s="4" t="s">
        <v>47</v>
      </c>
      <c r="F116" s="9">
        <v>6838.99</v>
      </c>
    </row>
    <row r="117" spans="1:6" s="1" customFormat="1" x14ac:dyDescent="0.3">
      <c r="A117" s="17">
        <v>46116</v>
      </c>
      <c r="B117" s="25" t="s">
        <v>44</v>
      </c>
      <c r="C117" s="25" t="s">
        <v>107</v>
      </c>
      <c r="D117" s="14" t="s">
        <v>693</v>
      </c>
      <c r="E117" s="4" t="s">
        <v>47</v>
      </c>
      <c r="F117" s="9">
        <v>2078.1</v>
      </c>
    </row>
    <row r="118" spans="1:6" s="1" customFormat="1" x14ac:dyDescent="0.3">
      <c r="A118" s="17">
        <v>46117</v>
      </c>
      <c r="B118" s="25" t="s">
        <v>44</v>
      </c>
      <c r="C118" s="25" t="s">
        <v>107</v>
      </c>
      <c r="D118" s="8" t="s">
        <v>313</v>
      </c>
      <c r="E118" s="13" t="s">
        <v>47</v>
      </c>
      <c r="F118" s="9">
        <v>570.6</v>
      </c>
    </row>
    <row r="119" spans="1:6" s="1" customFormat="1" x14ac:dyDescent="0.3">
      <c r="A119" s="17">
        <v>46117</v>
      </c>
      <c r="B119" s="25" t="s">
        <v>44</v>
      </c>
      <c r="C119" s="23" t="s">
        <v>59</v>
      </c>
      <c r="D119" s="6" t="s">
        <v>214</v>
      </c>
      <c r="E119" s="6" t="s">
        <v>47</v>
      </c>
      <c r="F119" s="7">
        <v>95496.47</v>
      </c>
    </row>
    <row r="120" spans="1:6" s="1" customFormat="1" x14ac:dyDescent="0.3">
      <c r="A120" s="17">
        <v>46121</v>
      </c>
      <c r="B120" s="25" t="s">
        <v>44</v>
      </c>
      <c r="C120" s="25" t="s">
        <v>107</v>
      </c>
      <c r="D120" s="8" t="s">
        <v>682</v>
      </c>
      <c r="E120" s="4" t="s">
        <v>47</v>
      </c>
      <c r="F120" s="9">
        <v>5464.62</v>
      </c>
    </row>
    <row r="121" spans="1:6" s="1" customFormat="1" x14ac:dyDescent="0.3">
      <c r="A121" s="17">
        <v>46121</v>
      </c>
      <c r="B121" s="25" t="s">
        <v>44</v>
      </c>
      <c r="C121" s="25" t="s">
        <v>107</v>
      </c>
      <c r="D121" s="8" t="s">
        <v>683</v>
      </c>
      <c r="E121" s="4" t="s">
        <v>47</v>
      </c>
      <c r="F121" s="9">
        <v>1615.31</v>
      </c>
    </row>
    <row r="122" spans="1:6" s="1" customFormat="1" x14ac:dyDescent="0.3">
      <c r="A122" s="17">
        <v>46121</v>
      </c>
      <c r="B122" s="25" t="s">
        <v>44</v>
      </c>
      <c r="C122" s="25" t="s">
        <v>107</v>
      </c>
      <c r="D122" s="8" t="s">
        <v>697</v>
      </c>
      <c r="E122" s="4" t="s">
        <v>47</v>
      </c>
      <c r="F122" s="9">
        <v>912</v>
      </c>
    </row>
    <row r="123" spans="1:6" s="1" customFormat="1" x14ac:dyDescent="0.3">
      <c r="A123" s="17">
        <v>46143</v>
      </c>
      <c r="B123" s="25" t="s">
        <v>44</v>
      </c>
      <c r="C123" s="25" t="s">
        <v>107</v>
      </c>
      <c r="D123" s="8" t="s">
        <v>627</v>
      </c>
      <c r="E123" s="8" t="s">
        <v>47</v>
      </c>
      <c r="F123" s="9">
        <v>662.15</v>
      </c>
    </row>
    <row r="124" spans="1:6" s="1" customFormat="1" x14ac:dyDescent="0.3">
      <c r="A124" s="17">
        <v>46146</v>
      </c>
      <c r="B124" s="25" t="s">
        <v>44</v>
      </c>
      <c r="C124" s="25" t="s">
        <v>107</v>
      </c>
      <c r="D124" s="6" t="s">
        <v>845</v>
      </c>
      <c r="E124" s="6" t="s">
        <v>47</v>
      </c>
      <c r="F124" s="3">
        <v>1120</v>
      </c>
    </row>
    <row r="125" spans="1:6" s="1" customFormat="1" x14ac:dyDescent="0.3">
      <c r="A125" s="17">
        <v>46147</v>
      </c>
      <c r="B125" s="25" t="s">
        <v>44</v>
      </c>
      <c r="C125" s="25" t="s">
        <v>107</v>
      </c>
      <c r="D125" s="14" t="s">
        <v>529</v>
      </c>
      <c r="E125" s="8" t="s">
        <v>47</v>
      </c>
      <c r="F125" s="9">
        <v>287.47000000000003</v>
      </c>
    </row>
    <row r="126" spans="1:6" s="1" customFormat="1" x14ac:dyDescent="0.3">
      <c r="A126" s="17">
        <v>46147</v>
      </c>
      <c r="B126" s="25" t="s">
        <v>44</v>
      </c>
      <c r="C126" s="25" t="s">
        <v>107</v>
      </c>
      <c r="D126" s="8" t="s">
        <v>697</v>
      </c>
      <c r="E126" s="4" t="s">
        <v>47</v>
      </c>
      <c r="F126" s="9">
        <v>912</v>
      </c>
    </row>
    <row r="127" spans="1:6" s="1" customFormat="1" x14ac:dyDescent="0.3">
      <c r="A127" s="17">
        <v>46147</v>
      </c>
      <c r="B127" s="25" t="s">
        <v>44</v>
      </c>
      <c r="C127" s="23" t="s">
        <v>59</v>
      </c>
      <c r="D127" s="6" t="s">
        <v>214</v>
      </c>
      <c r="E127" s="6" t="s">
        <v>47</v>
      </c>
      <c r="F127" s="3">
        <v>101735.2</v>
      </c>
    </row>
    <row r="128" spans="1:6" s="1" customFormat="1" x14ac:dyDescent="0.3">
      <c r="A128" s="17">
        <v>46178</v>
      </c>
      <c r="B128" s="25" t="s">
        <v>44</v>
      </c>
      <c r="C128" s="23" t="s">
        <v>59</v>
      </c>
      <c r="D128" s="6" t="s">
        <v>214</v>
      </c>
      <c r="E128" s="6" t="s">
        <v>47</v>
      </c>
      <c r="F128" s="3">
        <v>101669.55</v>
      </c>
    </row>
    <row r="129" spans="1:6" s="1" customFormat="1" x14ac:dyDescent="0.3">
      <c r="A129" s="17">
        <v>46148</v>
      </c>
      <c r="B129" s="25" t="s">
        <v>44</v>
      </c>
      <c r="C129" s="25" t="s">
        <v>107</v>
      </c>
      <c r="D129" s="6" t="s">
        <v>847</v>
      </c>
      <c r="E129" s="6" t="s">
        <v>47</v>
      </c>
      <c r="F129" s="3">
        <v>2300</v>
      </c>
    </row>
    <row r="130" spans="1:6" s="1" customFormat="1" x14ac:dyDescent="0.3">
      <c r="A130" s="17">
        <v>46153</v>
      </c>
      <c r="B130" s="25" t="s">
        <v>44</v>
      </c>
      <c r="C130" s="25" t="s">
        <v>107</v>
      </c>
      <c r="D130" s="8" t="s">
        <v>309</v>
      </c>
      <c r="E130" s="8" t="s">
        <v>47</v>
      </c>
      <c r="F130" s="9">
        <v>341.69</v>
      </c>
    </row>
    <row r="131" spans="1:6" s="1" customFormat="1" x14ac:dyDescent="0.3">
      <c r="A131" s="17">
        <v>46154</v>
      </c>
      <c r="B131" s="25" t="s">
        <v>44</v>
      </c>
      <c r="C131" s="25" t="s">
        <v>107</v>
      </c>
      <c r="D131" s="14" t="s">
        <v>529</v>
      </c>
      <c r="E131" s="8" t="s">
        <v>47</v>
      </c>
      <c r="F131" s="9">
        <v>489.8</v>
      </c>
    </row>
    <row r="132" spans="1:6" s="1" customFormat="1" x14ac:dyDescent="0.3">
      <c r="A132" s="17">
        <v>46161</v>
      </c>
      <c r="B132" s="25" t="s">
        <v>44</v>
      </c>
      <c r="C132" s="25" t="s">
        <v>107</v>
      </c>
      <c r="D132" s="8" t="s">
        <v>849</v>
      </c>
      <c r="E132" s="6" t="s">
        <v>47</v>
      </c>
      <c r="F132" s="3">
        <v>-1565.1</v>
      </c>
    </row>
    <row r="133" spans="1:6" s="1" customFormat="1" x14ac:dyDescent="0.3">
      <c r="A133" s="17">
        <v>46162</v>
      </c>
      <c r="B133" s="25" t="s">
        <v>44</v>
      </c>
      <c r="C133" s="25" t="s">
        <v>107</v>
      </c>
      <c r="D133" s="8" t="s">
        <v>529</v>
      </c>
      <c r="E133" s="8" t="s">
        <v>47</v>
      </c>
      <c r="F133" s="9">
        <v>321.22000000000003</v>
      </c>
    </row>
    <row r="134" spans="1:6" s="1" customFormat="1" x14ac:dyDescent="0.3">
      <c r="A134" s="17">
        <v>46164</v>
      </c>
      <c r="B134" s="25" t="s">
        <v>44</v>
      </c>
      <c r="C134" s="25" t="s">
        <v>107</v>
      </c>
      <c r="D134" s="6" t="s">
        <v>845</v>
      </c>
      <c r="E134" s="6" t="s">
        <v>47</v>
      </c>
      <c r="F134" s="3">
        <v>1120</v>
      </c>
    </row>
    <row r="135" spans="1:6" s="1" customFormat="1" x14ac:dyDescent="0.3">
      <c r="A135" s="17">
        <v>46165</v>
      </c>
      <c r="B135" s="25" t="s">
        <v>44</v>
      </c>
      <c r="C135" s="25" t="s">
        <v>107</v>
      </c>
      <c r="D135" s="8" t="s">
        <v>874</v>
      </c>
      <c r="E135" s="8" t="s">
        <v>47</v>
      </c>
      <c r="F135" s="9">
        <v>550</v>
      </c>
    </row>
    <row r="136" spans="1:6" s="1" customFormat="1" x14ac:dyDescent="0.3">
      <c r="A136" s="23">
        <v>46169</v>
      </c>
      <c r="B136" s="18" t="s">
        <v>44</v>
      </c>
      <c r="C136" s="18" t="s">
        <v>107</v>
      </c>
      <c r="D136" s="37" t="s">
        <v>1150</v>
      </c>
      <c r="E136" s="37" t="s">
        <v>47</v>
      </c>
      <c r="F136" s="9">
        <v>25165</v>
      </c>
    </row>
    <row r="137" spans="1:6" s="1" customFormat="1" x14ac:dyDescent="0.3">
      <c r="A137" s="23">
        <v>46174</v>
      </c>
      <c r="B137" s="18" t="s">
        <v>44</v>
      </c>
      <c r="C137" s="18" t="s">
        <v>107</v>
      </c>
      <c r="D137" s="37" t="s">
        <v>1150</v>
      </c>
      <c r="E137" s="37" t="s">
        <v>47</v>
      </c>
      <c r="F137" s="9">
        <v>25165</v>
      </c>
    </row>
    <row r="138" spans="1:6" s="1" customFormat="1" x14ac:dyDescent="0.3">
      <c r="A138" s="17">
        <v>46188</v>
      </c>
      <c r="B138" s="18" t="s">
        <v>44</v>
      </c>
      <c r="C138" s="19" t="s">
        <v>1011</v>
      </c>
      <c r="D138" s="6" t="s">
        <v>976</v>
      </c>
      <c r="E138" s="8" t="s">
        <v>47</v>
      </c>
      <c r="F138" s="7">
        <v>3000</v>
      </c>
    </row>
    <row r="139" spans="1:6" s="1" customFormat="1" x14ac:dyDescent="0.3">
      <c r="A139" s="17">
        <v>46198</v>
      </c>
      <c r="B139" s="23" t="s">
        <v>44</v>
      </c>
      <c r="C139" s="17" t="s">
        <v>1011</v>
      </c>
      <c r="D139" s="6" t="s">
        <v>982</v>
      </c>
      <c r="E139" s="8" t="s">
        <v>47</v>
      </c>
      <c r="F139" s="3">
        <v>590</v>
      </c>
    </row>
    <row r="140" spans="1:6" x14ac:dyDescent="0.3">
      <c r="A140" s="17">
        <v>46199</v>
      </c>
      <c r="B140" s="18" t="s">
        <v>44</v>
      </c>
      <c r="C140" s="19" t="s">
        <v>1011</v>
      </c>
      <c r="D140" s="6" t="s">
        <v>983</v>
      </c>
      <c r="E140" s="8" t="s">
        <v>47</v>
      </c>
      <c r="F140" s="3">
        <v>1377.96</v>
      </c>
    </row>
    <row r="141" spans="1:6" x14ac:dyDescent="0.3">
      <c r="A141" s="17">
        <v>46197</v>
      </c>
      <c r="B141" s="25" t="s">
        <v>44</v>
      </c>
      <c r="C141" s="25" t="s">
        <v>107</v>
      </c>
      <c r="D141" s="8" t="s">
        <v>902</v>
      </c>
      <c r="E141" s="4" t="s">
        <v>47</v>
      </c>
      <c r="F141" s="9">
        <v>483.72</v>
      </c>
    </row>
    <row r="142" spans="1:6" x14ac:dyDescent="0.3">
      <c r="A142" s="17">
        <v>46190</v>
      </c>
      <c r="B142" s="25" t="s">
        <v>44</v>
      </c>
      <c r="C142" s="25" t="s">
        <v>107</v>
      </c>
      <c r="D142" s="8" t="s">
        <v>529</v>
      </c>
      <c r="E142" s="4" t="s">
        <v>47</v>
      </c>
      <c r="F142" s="9">
        <v>183.42</v>
      </c>
    </row>
    <row r="143" spans="1:6" x14ac:dyDescent="0.3">
      <c r="A143" s="23">
        <v>46167</v>
      </c>
      <c r="B143" s="23" t="s">
        <v>829</v>
      </c>
      <c r="C143" s="23" t="s">
        <v>119</v>
      </c>
      <c r="D143" s="37" t="s">
        <v>814</v>
      </c>
      <c r="E143" s="37" t="s">
        <v>42</v>
      </c>
      <c r="F143" s="9">
        <v>326.61</v>
      </c>
    </row>
    <row r="144" spans="1:6" x14ac:dyDescent="0.3">
      <c r="A144" s="17">
        <v>46113</v>
      </c>
      <c r="B144" s="25" t="s">
        <v>54</v>
      </c>
      <c r="C144" s="25" t="s">
        <v>695</v>
      </c>
      <c r="D144" s="8" t="s">
        <v>696</v>
      </c>
      <c r="E144" s="4" t="s">
        <v>47</v>
      </c>
      <c r="F144" s="9">
        <v>350</v>
      </c>
    </row>
    <row r="145" spans="1:6" x14ac:dyDescent="0.3">
      <c r="A145" s="17">
        <v>46113</v>
      </c>
      <c r="B145" s="25" t="s">
        <v>54</v>
      </c>
      <c r="C145" s="25" t="s">
        <v>695</v>
      </c>
      <c r="D145" s="8" t="s">
        <v>694</v>
      </c>
      <c r="E145" s="4" t="s">
        <v>47</v>
      </c>
      <c r="F145" s="9">
        <v>230</v>
      </c>
    </row>
    <row r="146" spans="1:6" x14ac:dyDescent="0.3">
      <c r="A146" s="17">
        <v>46146</v>
      </c>
      <c r="B146" s="45" t="s">
        <v>54</v>
      </c>
      <c r="C146" s="45" t="s">
        <v>956</v>
      </c>
      <c r="D146" s="6" t="s">
        <v>840</v>
      </c>
      <c r="E146" s="4" t="s">
        <v>47</v>
      </c>
      <c r="F146" s="9">
        <v>-19500</v>
      </c>
    </row>
    <row r="147" spans="1:6" x14ac:dyDescent="0.3">
      <c r="A147" s="17">
        <v>46066</v>
      </c>
      <c r="B147" s="49" t="s">
        <v>54</v>
      </c>
      <c r="C147" s="49" t="s">
        <v>58</v>
      </c>
      <c r="D147" s="8" t="s">
        <v>640</v>
      </c>
      <c r="E147" s="10" t="s">
        <v>47</v>
      </c>
      <c r="F147" s="9">
        <v>1250</v>
      </c>
    </row>
    <row r="148" spans="1:6" x14ac:dyDescent="0.3">
      <c r="A148" s="17">
        <v>46077</v>
      </c>
      <c r="B148" s="17" t="s">
        <v>54</v>
      </c>
      <c r="C148" s="17" t="s">
        <v>58</v>
      </c>
      <c r="D148" s="8" t="s">
        <v>640</v>
      </c>
      <c r="E148" s="8" t="s">
        <v>47</v>
      </c>
      <c r="F148" s="9">
        <v>1250</v>
      </c>
    </row>
    <row r="149" spans="1:6" x14ac:dyDescent="0.3">
      <c r="A149" s="17">
        <v>46178</v>
      </c>
      <c r="B149" s="17" t="s">
        <v>54</v>
      </c>
      <c r="C149" s="17" t="s">
        <v>956</v>
      </c>
      <c r="D149" s="8" t="s">
        <v>125</v>
      </c>
      <c r="E149" s="8" t="s">
        <v>47</v>
      </c>
      <c r="F149" s="9">
        <v>-5480</v>
      </c>
    </row>
    <row r="150" spans="1:6" x14ac:dyDescent="0.3">
      <c r="A150" s="17">
        <v>46117</v>
      </c>
      <c r="B150" s="17" t="s">
        <v>113</v>
      </c>
      <c r="C150" s="25" t="s">
        <v>109</v>
      </c>
      <c r="D150" s="8" t="s">
        <v>203</v>
      </c>
      <c r="E150" s="4" t="s">
        <v>47</v>
      </c>
      <c r="F150" s="9">
        <v>6250</v>
      </c>
    </row>
    <row r="151" spans="1:6" x14ac:dyDescent="0.3">
      <c r="A151" s="17">
        <v>46045</v>
      </c>
      <c r="B151" s="17" t="s">
        <v>113</v>
      </c>
      <c r="C151" s="17" t="s">
        <v>109</v>
      </c>
      <c r="D151" s="8" t="s">
        <v>203</v>
      </c>
      <c r="E151" s="8" t="s">
        <v>47</v>
      </c>
      <c r="F151" s="9">
        <v>6250</v>
      </c>
    </row>
    <row r="152" spans="1:6" x14ac:dyDescent="0.3">
      <c r="A152" s="17">
        <v>46076</v>
      </c>
      <c r="B152" s="17" t="s">
        <v>113</v>
      </c>
      <c r="C152" s="17" t="s">
        <v>109</v>
      </c>
      <c r="D152" s="8" t="s">
        <v>203</v>
      </c>
      <c r="E152" s="8" t="s">
        <v>47</v>
      </c>
      <c r="F152" s="9">
        <v>6250</v>
      </c>
    </row>
    <row r="153" spans="1:6" x14ac:dyDescent="0.3">
      <c r="A153" s="17">
        <v>46097</v>
      </c>
      <c r="B153" s="25" t="s">
        <v>113</v>
      </c>
      <c r="C153" s="25" t="s">
        <v>109</v>
      </c>
      <c r="D153" s="8" t="s">
        <v>203</v>
      </c>
      <c r="E153" s="8" t="s">
        <v>47</v>
      </c>
      <c r="F153" s="9">
        <v>6250</v>
      </c>
    </row>
    <row r="154" spans="1:6" x14ac:dyDescent="0.3">
      <c r="A154" s="17">
        <v>46113</v>
      </c>
      <c r="B154" s="25" t="s">
        <v>61</v>
      </c>
      <c r="C154" s="25" t="s">
        <v>691</v>
      </c>
      <c r="D154" s="8" t="s">
        <v>692</v>
      </c>
      <c r="E154" s="4" t="s">
        <v>581</v>
      </c>
      <c r="F154" s="9">
        <v>1950</v>
      </c>
    </row>
    <row r="155" spans="1:6" x14ac:dyDescent="0.3">
      <c r="A155" s="17">
        <v>46098</v>
      </c>
      <c r="B155" s="25" t="s">
        <v>61</v>
      </c>
      <c r="C155" s="25" t="s">
        <v>116</v>
      </c>
      <c r="D155" s="8" t="s">
        <v>105</v>
      </c>
      <c r="E155" s="8" t="s">
        <v>47</v>
      </c>
      <c r="F155" s="9">
        <v>28865.599999999999</v>
      </c>
    </row>
    <row r="156" spans="1:6" x14ac:dyDescent="0.3">
      <c r="A156" s="17">
        <v>46098</v>
      </c>
      <c r="B156" s="25" t="s">
        <v>61</v>
      </c>
      <c r="C156" s="25" t="s">
        <v>116</v>
      </c>
      <c r="D156" s="8" t="s">
        <v>104</v>
      </c>
      <c r="E156" s="8" t="s">
        <v>47</v>
      </c>
      <c r="F156" s="9">
        <v>16755.53</v>
      </c>
    </row>
    <row r="157" spans="1:6" ht="15" customHeight="1" x14ac:dyDescent="0.3">
      <c r="A157" s="17">
        <v>46100</v>
      </c>
      <c r="B157" s="25" t="s">
        <v>61</v>
      </c>
      <c r="C157" s="25" t="s">
        <v>58</v>
      </c>
      <c r="D157" s="8" t="s">
        <v>117</v>
      </c>
      <c r="E157" s="8" t="s">
        <v>47</v>
      </c>
      <c r="F157" s="9">
        <v>2600</v>
      </c>
    </row>
    <row r="158" spans="1:6" x14ac:dyDescent="0.3">
      <c r="A158" s="17">
        <v>46113</v>
      </c>
      <c r="B158" s="25" t="s">
        <v>61</v>
      </c>
      <c r="C158" s="25" t="s">
        <v>314</v>
      </c>
      <c r="D158" s="8" t="s">
        <v>104</v>
      </c>
      <c r="E158" s="4" t="s">
        <v>57</v>
      </c>
      <c r="F158" s="9">
        <v>3000</v>
      </c>
    </row>
    <row r="159" spans="1:6" x14ac:dyDescent="0.3">
      <c r="A159" s="17">
        <v>46113</v>
      </c>
      <c r="B159" s="25" t="s">
        <v>61</v>
      </c>
      <c r="C159" s="25" t="s">
        <v>314</v>
      </c>
      <c r="D159" s="8" t="s">
        <v>676</v>
      </c>
      <c r="E159" s="4" t="s">
        <v>57</v>
      </c>
      <c r="F159" s="9">
        <v>215000</v>
      </c>
    </row>
    <row r="160" spans="1:6" x14ac:dyDescent="0.3">
      <c r="A160" s="17">
        <v>46104</v>
      </c>
      <c r="B160" s="25" t="s">
        <v>61</v>
      </c>
      <c r="C160" s="25" t="s">
        <v>118</v>
      </c>
      <c r="D160" s="8" t="s">
        <v>119</v>
      </c>
      <c r="E160" s="8" t="s">
        <v>57</v>
      </c>
      <c r="F160" s="9">
        <v>-195000</v>
      </c>
    </row>
    <row r="161" spans="1:6" x14ac:dyDescent="0.3">
      <c r="A161" s="17">
        <v>46113</v>
      </c>
      <c r="B161" s="25" t="s">
        <v>61</v>
      </c>
      <c r="C161" s="25" t="s">
        <v>681</v>
      </c>
      <c r="D161" s="8" t="s">
        <v>680</v>
      </c>
      <c r="E161" s="4" t="s">
        <v>57</v>
      </c>
      <c r="F161" s="9">
        <v>754.2</v>
      </c>
    </row>
    <row r="162" spans="1:6" x14ac:dyDescent="0.3">
      <c r="A162" s="17">
        <v>46113</v>
      </c>
      <c r="B162" s="25" t="s">
        <v>61</v>
      </c>
      <c r="C162" s="25" t="s">
        <v>954</v>
      </c>
      <c r="D162" s="8" t="s">
        <v>687</v>
      </c>
      <c r="E162" s="4" t="s">
        <v>57</v>
      </c>
      <c r="F162" s="9">
        <v>900</v>
      </c>
    </row>
    <row r="163" spans="1:6" x14ac:dyDescent="0.3">
      <c r="A163" s="17">
        <v>46113</v>
      </c>
      <c r="B163" s="25" t="s">
        <v>36</v>
      </c>
      <c r="C163" s="25" t="s">
        <v>677</v>
      </c>
      <c r="D163" s="8" t="s">
        <v>679</v>
      </c>
      <c r="E163" s="4" t="s">
        <v>57</v>
      </c>
      <c r="F163" s="9">
        <v>3800</v>
      </c>
    </row>
    <row r="164" spans="1:6" x14ac:dyDescent="0.3">
      <c r="A164" s="17">
        <v>46113</v>
      </c>
      <c r="B164" s="25" t="s">
        <v>36</v>
      </c>
      <c r="C164" s="25" t="s">
        <v>677</v>
      </c>
      <c r="D164" s="8" t="s">
        <v>690</v>
      </c>
      <c r="E164" s="4" t="s">
        <v>57</v>
      </c>
      <c r="F164" s="9">
        <v>6462.5</v>
      </c>
    </row>
    <row r="165" spans="1:6" x14ac:dyDescent="0.3">
      <c r="A165" s="17">
        <v>46147</v>
      </c>
      <c r="B165" s="25" t="s">
        <v>36</v>
      </c>
      <c r="C165" s="25" t="s">
        <v>677</v>
      </c>
      <c r="D165" s="8" t="s">
        <v>690</v>
      </c>
      <c r="E165" s="4" t="s">
        <v>57</v>
      </c>
      <c r="F165" s="9">
        <v>6462.5</v>
      </c>
    </row>
    <row r="166" spans="1:6" x14ac:dyDescent="0.3">
      <c r="A166" s="17">
        <v>46174</v>
      </c>
      <c r="B166" s="25" t="s">
        <v>36</v>
      </c>
      <c r="C166" s="25" t="s">
        <v>677</v>
      </c>
      <c r="D166" s="8" t="s">
        <v>690</v>
      </c>
      <c r="E166" s="4" t="s">
        <v>57</v>
      </c>
      <c r="F166" s="9">
        <v>6462.5</v>
      </c>
    </row>
    <row r="167" spans="1:6" x14ac:dyDescent="0.3">
      <c r="A167" s="17">
        <v>46113</v>
      </c>
      <c r="B167" s="25" t="s">
        <v>36</v>
      </c>
      <c r="C167" s="25" t="s">
        <v>677</v>
      </c>
      <c r="D167" s="8" t="s">
        <v>689</v>
      </c>
      <c r="E167" s="4" t="s">
        <v>57</v>
      </c>
      <c r="F167" s="9">
        <v>2062.5</v>
      </c>
    </row>
    <row r="168" spans="1:6" x14ac:dyDescent="0.3">
      <c r="A168" s="17">
        <v>46147</v>
      </c>
      <c r="B168" s="25" t="s">
        <v>36</v>
      </c>
      <c r="C168" s="25" t="s">
        <v>677</v>
      </c>
      <c r="D168" s="8" t="s">
        <v>689</v>
      </c>
      <c r="E168" s="4" t="s">
        <v>57</v>
      </c>
      <c r="F168" s="9">
        <v>2062.5</v>
      </c>
    </row>
    <row r="169" spans="1:6" x14ac:dyDescent="0.3">
      <c r="A169" s="17">
        <v>46174</v>
      </c>
      <c r="B169" s="25" t="s">
        <v>36</v>
      </c>
      <c r="C169" s="25" t="s">
        <v>677</v>
      </c>
      <c r="D169" s="8" t="s">
        <v>689</v>
      </c>
      <c r="E169" s="4" t="s">
        <v>57</v>
      </c>
      <c r="F169" s="9">
        <v>2062.5</v>
      </c>
    </row>
    <row r="170" spans="1:6" x14ac:dyDescent="0.3">
      <c r="A170" s="17">
        <v>46113</v>
      </c>
      <c r="B170" s="25" t="s">
        <v>36</v>
      </c>
      <c r="C170" s="25" t="s">
        <v>677</v>
      </c>
      <c r="D170" s="8" t="s">
        <v>678</v>
      </c>
      <c r="E170" s="4" t="s">
        <v>57</v>
      </c>
      <c r="F170" s="9">
        <v>6000</v>
      </c>
    </row>
    <row r="171" spans="1:6" x14ac:dyDescent="0.3">
      <c r="A171" s="19">
        <v>46093</v>
      </c>
      <c r="B171" s="8" t="s">
        <v>36</v>
      </c>
      <c r="C171" s="8" t="s">
        <v>111</v>
      </c>
      <c r="D171" s="8" t="s">
        <v>112</v>
      </c>
      <c r="E171" s="8" t="s">
        <v>57</v>
      </c>
      <c r="F171" s="9">
        <v>13500</v>
      </c>
    </row>
    <row r="172" spans="1:6" x14ac:dyDescent="0.3">
      <c r="A172" s="19">
        <v>46100</v>
      </c>
      <c r="B172" s="8" t="s">
        <v>36</v>
      </c>
      <c r="C172" s="8" t="s">
        <v>111</v>
      </c>
      <c r="D172" s="8" t="s">
        <v>112</v>
      </c>
      <c r="E172" s="8" t="s">
        <v>57</v>
      </c>
      <c r="F172" s="9">
        <v>13500</v>
      </c>
    </row>
    <row r="173" spans="1:6" x14ac:dyDescent="0.3">
      <c r="A173" s="17">
        <v>46080</v>
      </c>
      <c r="B173" s="22" t="s">
        <v>143</v>
      </c>
      <c r="C173" s="22" t="s">
        <v>253</v>
      </c>
      <c r="D173" s="8" t="s">
        <v>255</v>
      </c>
      <c r="E173" s="8" t="s">
        <v>57</v>
      </c>
      <c r="F173" s="9">
        <v>58250166.049999997</v>
      </c>
    </row>
    <row r="174" spans="1:6" x14ac:dyDescent="0.3">
      <c r="A174" s="17">
        <v>46081</v>
      </c>
      <c r="B174" s="22" t="s">
        <v>143</v>
      </c>
      <c r="C174" s="22" t="s">
        <v>253</v>
      </c>
      <c r="D174" s="8" t="s">
        <v>254</v>
      </c>
      <c r="E174" s="8" t="s">
        <v>57</v>
      </c>
      <c r="F174" s="9">
        <v>355711.88</v>
      </c>
    </row>
    <row r="175" spans="1:6" x14ac:dyDescent="0.3">
      <c r="A175" s="17">
        <v>46042</v>
      </c>
      <c r="B175" s="19" t="s">
        <v>143</v>
      </c>
      <c r="C175" s="19" t="s">
        <v>200</v>
      </c>
      <c r="D175" s="8" t="s">
        <v>1169</v>
      </c>
      <c r="E175" s="8" t="s">
        <v>42</v>
      </c>
      <c r="F175" s="9">
        <v>10570.8</v>
      </c>
    </row>
    <row r="176" spans="1:6" x14ac:dyDescent="0.3">
      <c r="A176" s="17">
        <v>46196</v>
      </c>
      <c r="B176" s="17" t="s">
        <v>1009</v>
      </c>
      <c r="C176" s="17" t="s">
        <v>175</v>
      </c>
      <c r="D176" s="8" t="s">
        <v>1012</v>
      </c>
      <c r="E176" s="8" t="s">
        <v>57</v>
      </c>
      <c r="F176" s="9">
        <v>2000</v>
      </c>
    </row>
    <row r="177" spans="1:25" x14ac:dyDescent="0.3">
      <c r="A177" s="17">
        <v>46192</v>
      </c>
      <c r="B177" s="17" t="s">
        <v>1009</v>
      </c>
      <c r="C177" s="17" t="s">
        <v>1010</v>
      </c>
      <c r="D177" s="8" t="s">
        <v>119</v>
      </c>
      <c r="E177" s="8" t="s">
        <v>47</v>
      </c>
      <c r="F177" s="9">
        <v>-80000</v>
      </c>
    </row>
    <row r="178" spans="1:25" x14ac:dyDescent="0.3">
      <c r="A178" s="17">
        <v>46192</v>
      </c>
      <c r="B178" s="17" t="s">
        <v>1009</v>
      </c>
      <c r="C178" s="17" t="s">
        <v>1010</v>
      </c>
      <c r="D178" s="8" t="s">
        <v>188</v>
      </c>
      <c r="E178" s="8" t="s">
        <v>47</v>
      </c>
      <c r="F178" s="9">
        <v>22.89</v>
      </c>
    </row>
    <row r="179" spans="1:25" x14ac:dyDescent="0.3">
      <c r="A179" s="17">
        <v>46192</v>
      </c>
      <c r="B179" s="17" t="s">
        <v>1009</v>
      </c>
      <c r="C179" s="17" t="s">
        <v>1010</v>
      </c>
      <c r="D179" s="8" t="s">
        <v>1014</v>
      </c>
      <c r="E179" s="8" t="s">
        <v>47</v>
      </c>
      <c r="F179" s="9">
        <v>8000</v>
      </c>
    </row>
    <row r="180" spans="1:25" x14ac:dyDescent="0.3">
      <c r="A180" s="17">
        <v>46183</v>
      </c>
      <c r="B180" s="17" t="s">
        <v>1009</v>
      </c>
      <c r="C180" s="17" t="s">
        <v>185</v>
      </c>
      <c r="D180" s="8" t="s">
        <v>1016</v>
      </c>
      <c r="E180" s="8" t="s">
        <v>42</v>
      </c>
      <c r="F180" s="9">
        <v>200</v>
      </c>
    </row>
    <row r="181" spans="1:25" x14ac:dyDescent="0.3">
      <c r="A181" s="17">
        <v>46183</v>
      </c>
      <c r="B181" s="17" t="s">
        <v>1009</v>
      </c>
      <c r="C181" s="17" t="s">
        <v>185</v>
      </c>
      <c r="D181" s="8" t="s">
        <v>190</v>
      </c>
      <c r="E181" s="8" t="s">
        <v>42</v>
      </c>
      <c r="F181" s="9">
        <v>1020</v>
      </c>
    </row>
    <row r="182" spans="1:25" x14ac:dyDescent="0.3">
      <c r="A182" s="17">
        <v>46181</v>
      </c>
      <c r="B182" s="17" t="s">
        <v>1009</v>
      </c>
      <c r="C182" s="17" t="s">
        <v>185</v>
      </c>
      <c r="D182" s="8" t="s">
        <v>1016</v>
      </c>
      <c r="E182" s="8" t="s">
        <v>42</v>
      </c>
      <c r="F182" s="9">
        <v>640</v>
      </c>
    </row>
    <row r="183" spans="1:25" x14ac:dyDescent="0.3">
      <c r="A183" s="17">
        <v>46181</v>
      </c>
      <c r="B183" s="17" t="s">
        <v>1009</v>
      </c>
      <c r="C183" s="17" t="s">
        <v>185</v>
      </c>
      <c r="D183" s="8" t="s">
        <v>1015</v>
      </c>
      <c r="E183" s="8" t="s">
        <v>42</v>
      </c>
      <c r="F183" s="9">
        <v>550</v>
      </c>
    </row>
    <row r="184" spans="1:25" x14ac:dyDescent="0.3">
      <c r="A184" s="17">
        <v>46034</v>
      </c>
      <c r="B184" s="17" t="s">
        <v>1009</v>
      </c>
      <c r="C184" s="17" t="s">
        <v>185</v>
      </c>
      <c r="D184" s="8" t="s">
        <v>186</v>
      </c>
      <c r="E184" s="8" t="s">
        <v>42</v>
      </c>
      <c r="F184" s="39">
        <v>474990</v>
      </c>
      <c r="Y184" s="3">
        <v>-19500</v>
      </c>
    </row>
    <row r="185" spans="1:25" x14ac:dyDescent="0.3">
      <c r="A185" s="17">
        <v>46037</v>
      </c>
      <c r="B185" s="17" t="s">
        <v>1009</v>
      </c>
      <c r="C185" s="17" t="s">
        <v>185</v>
      </c>
      <c r="D185" s="6" t="s">
        <v>190</v>
      </c>
      <c r="E185" s="6" t="s">
        <v>42</v>
      </c>
      <c r="F185" s="7">
        <v>21599.599999999999</v>
      </c>
      <c r="G185" s="38"/>
    </row>
    <row r="186" spans="1:25" x14ac:dyDescent="0.3">
      <c r="A186" s="17">
        <v>46044</v>
      </c>
      <c r="B186" s="17" t="s">
        <v>1009</v>
      </c>
      <c r="C186" s="25" t="s">
        <v>185</v>
      </c>
      <c r="D186" s="8" t="s">
        <v>625</v>
      </c>
      <c r="E186" s="8" t="s">
        <v>42</v>
      </c>
      <c r="F186" s="9">
        <v>22250</v>
      </c>
    </row>
    <row r="187" spans="1:25" x14ac:dyDescent="0.3">
      <c r="A187" s="17">
        <v>46054</v>
      </c>
      <c r="B187" s="17" t="s">
        <v>1009</v>
      </c>
      <c r="C187" s="25" t="s">
        <v>185</v>
      </c>
      <c r="D187" s="8" t="s">
        <v>625</v>
      </c>
      <c r="E187" s="8" t="s">
        <v>42</v>
      </c>
      <c r="F187" s="9">
        <v>22250</v>
      </c>
    </row>
    <row r="188" spans="1:25" x14ac:dyDescent="0.3">
      <c r="A188" s="17">
        <v>46082</v>
      </c>
      <c r="B188" s="17" t="s">
        <v>1009</v>
      </c>
      <c r="C188" s="25" t="s">
        <v>185</v>
      </c>
      <c r="D188" s="8" t="s">
        <v>625</v>
      </c>
      <c r="E188" s="8" t="s">
        <v>42</v>
      </c>
      <c r="F188" s="9">
        <v>22250</v>
      </c>
    </row>
    <row r="189" spans="1:25" x14ac:dyDescent="0.3">
      <c r="A189" s="17">
        <v>46113</v>
      </c>
      <c r="B189" s="17" t="s">
        <v>1009</v>
      </c>
      <c r="C189" s="25" t="s">
        <v>185</v>
      </c>
      <c r="D189" s="8" t="s">
        <v>625</v>
      </c>
      <c r="E189" s="8" t="s">
        <v>42</v>
      </c>
      <c r="F189" s="9">
        <v>22250</v>
      </c>
    </row>
    <row r="190" spans="1:25" x14ac:dyDescent="0.3">
      <c r="A190" s="17">
        <v>46055</v>
      </c>
      <c r="B190" s="17" t="s">
        <v>1009</v>
      </c>
      <c r="C190" s="23" t="s">
        <v>207</v>
      </c>
      <c r="D190" s="6" t="s">
        <v>237</v>
      </c>
      <c r="E190" s="6" t="s">
        <v>57</v>
      </c>
      <c r="F190" s="3">
        <v>1070</v>
      </c>
    </row>
    <row r="191" spans="1:25" x14ac:dyDescent="0.3">
      <c r="A191" s="17">
        <v>46052</v>
      </c>
      <c r="B191" s="17" t="s">
        <v>1009</v>
      </c>
      <c r="C191" s="17" t="s">
        <v>207</v>
      </c>
      <c r="D191" s="8" t="s">
        <v>208</v>
      </c>
      <c r="E191" s="8" t="s">
        <v>57</v>
      </c>
      <c r="F191" s="9">
        <v>640</v>
      </c>
    </row>
    <row r="192" spans="1:25" x14ac:dyDescent="0.3">
      <c r="A192" s="17">
        <v>46052</v>
      </c>
      <c r="B192" s="17" t="s">
        <v>1009</v>
      </c>
      <c r="C192" s="17" t="s">
        <v>207</v>
      </c>
      <c r="D192" s="8" t="s">
        <v>209</v>
      </c>
      <c r="E192" s="8" t="s">
        <v>57</v>
      </c>
      <c r="F192" s="9">
        <v>235</v>
      </c>
    </row>
    <row r="193" spans="1:6" x14ac:dyDescent="0.3">
      <c r="A193" s="19">
        <v>46125</v>
      </c>
      <c r="B193" s="17" t="s">
        <v>1009</v>
      </c>
      <c r="C193" s="8" t="s">
        <v>686</v>
      </c>
      <c r="D193" s="8" t="s">
        <v>841</v>
      </c>
      <c r="E193" s="4" t="s">
        <v>57</v>
      </c>
      <c r="F193" s="9">
        <v>15000</v>
      </c>
    </row>
    <row r="194" spans="1:6" x14ac:dyDescent="0.3">
      <c r="A194" s="17">
        <v>46114</v>
      </c>
      <c r="B194" s="17" t="s">
        <v>1009</v>
      </c>
      <c r="C194" s="8" t="s">
        <v>844</v>
      </c>
      <c r="D194" s="8" t="s">
        <v>843</v>
      </c>
      <c r="E194" s="4" t="s">
        <v>57</v>
      </c>
      <c r="F194" s="9">
        <v>7100</v>
      </c>
    </row>
    <row r="195" spans="1:6" x14ac:dyDescent="0.3">
      <c r="A195" s="17">
        <v>46029</v>
      </c>
      <c r="B195" s="17" t="s">
        <v>1009</v>
      </c>
      <c r="C195" s="8" t="s">
        <v>674</v>
      </c>
      <c r="D195" s="8" t="s">
        <v>698</v>
      </c>
      <c r="E195" s="8" t="s">
        <v>47</v>
      </c>
      <c r="F195" s="9">
        <v>20000</v>
      </c>
    </row>
    <row r="196" spans="1:6" x14ac:dyDescent="0.3">
      <c r="A196" s="17">
        <v>46113</v>
      </c>
      <c r="B196" s="17" t="s">
        <v>1009</v>
      </c>
      <c r="C196" s="8" t="s">
        <v>674</v>
      </c>
      <c r="D196" s="8" t="s">
        <v>698</v>
      </c>
      <c r="E196" s="4" t="s">
        <v>47</v>
      </c>
      <c r="F196" s="9">
        <v>1990</v>
      </c>
    </row>
    <row r="197" spans="1:6" x14ac:dyDescent="0.3">
      <c r="A197" s="17">
        <v>46143</v>
      </c>
      <c r="B197" s="17" t="s">
        <v>1009</v>
      </c>
      <c r="C197" s="8" t="s">
        <v>674</v>
      </c>
      <c r="D197" s="8" t="s">
        <v>698</v>
      </c>
      <c r="E197" s="4" t="s">
        <v>47</v>
      </c>
      <c r="F197" s="9">
        <v>1990</v>
      </c>
    </row>
    <row r="198" spans="1:6" x14ac:dyDescent="0.3">
      <c r="A198" s="17">
        <v>46174</v>
      </c>
      <c r="B198" s="17" t="s">
        <v>1009</v>
      </c>
      <c r="C198" s="8" t="s">
        <v>674</v>
      </c>
      <c r="D198" s="8" t="s">
        <v>698</v>
      </c>
      <c r="E198" s="4" t="s">
        <v>47</v>
      </c>
      <c r="F198" s="9">
        <v>1990</v>
      </c>
    </row>
    <row r="199" spans="1:6" x14ac:dyDescent="0.3">
      <c r="A199" s="17">
        <v>46146</v>
      </c>
      <c r="B199" s="17" t="s">
        <v>1009</v>
      </c>
      <c r="C199" s="18" t="s">
        <v>838</v>
      </c>
      <c r="D199" s="6" t="s">
        <v>846</v>
      </c>
      <c r="E199" s="6" t="s">
        <v>57</v>
      </c>
      <c r="F199" s="3">
        <v>3200</v>
      </c>
    </row>
    <row r="200" spans="1:6" x14ac:dyDescent="0.3">
      <c r="A200" s="23">
        <v>46146</v>
      </c>
      <c r="B200" s="17" t="s">
        <v>1009</v>
      </c>
      <c r="C200" s="18" t="s">
        <v>838</v>
      </c>
      <c r="D200" s="8" t="s">
        <v>839</v>
      </c>
      <c r="E200" s="8" t="s">
        <v>57</v>
      </c>
      <c r="F200" s="9">
        <v>300</v>
      </c>
    </row>
    <row r="201" spans="1:6" x14ac:dyDescent="0.3">
      <c r="A201" s="17">
        <v>46125</v>
      </c>
      <c r="B201" s="17" t="s">
        <v>1009</v>
      </c>
      <c r="C201" s="18" t="s">
        <v>838</v>
      </c>
      <c r="D201" s="8" t="s">
        <v>841</v>
      </c>
      <c r="E201" s="4" t="s">
        <v>57</v>
      </c>
      <c r="F201" s="9">
        <v>13600</v>
      </c>
    </row>
    <row r="202" spans="1:6" x14ac:dyDescent="0.3">
      <c r="A202" s="17">
        <v>46033</v>
      </c>
      <c r="B202" s="17" t="s">
        <v>1009</v>
      </c>
      <c r="C202" s="19" t="s">
        <v>175</v>
      </c>
      <c r="D202" s="6" t="s">
        <v>181</v>
      </c>
      <c r="E202" s="8" t="s">
        <v>57</v>
      </c>
      <c r="F202" s="9">
        <v>8000</v>
      </c>
    </row>
    <row r="203" spans="1:6" x14ac:dyDescent="0.3">
      <c r="A203" s="17">
        <v>46034</v>
      </c>
      <c r="B203" s="17" t="s">
        <v>1009</v>
      </c>
      <c r="C203" s="19" t="s">
        <v>175</v>
      </c>
      <c r="D203" s="6" t="s">
        <v>181</v>
      </c>
      <c r="E203" s="10" t="s">
        <v>57</v>
      </c>
      <c r="F203" s="3">
        <v>26000</v>
      </c>
    </row>
    <row r="204" spans="1:6" x14ac:dyDescent="0.3">
      <c r="A204" s="18">
        <v>46190</v>
      </c>
      <c r="B204" s="46" t="s">
        <v>143</v>
      </c>
      <c r="C204" s="46" t="s">
        <v>200</v>
      </c>
      <c r="D204" s="6" t="s">
        <v>1168</v>
      </c>
      <c r="E204" s="6" t="s">
        <v>47</v>
      </c>
      <c r="F204" s="7">
        <v>4680</v>
      </c>
    </row>
    <row r="205" spans="1:6" x14ac:dyDescent="0.3">
      <c r="A205" s="18">
        <v>46190</v>
      </c>
      <c r="B205" s="18" t="s">
        <v>61</v>
      </c>
      <c r="C205" s="44" t="s">
        <v>314</v>
      </c>
      <c r="D205" s="6" t="s">
        <v>1156</v>
      </c>
      <c r="E205" s="6" t="s">
        <v>47</v>
      </c>
      <c r="F205" s="3">
        <v>117000</v>
      </c>
    </row>
    <row r="206" spans="1:6" x14ac:dyDescent="0.3">
      <c r="A206" s="17">
        <v>46034</v>
      </c>
      <c r="B206" s="17" t="s">
        <v>1009</v>
      </c>
      <c r="C206" s="19" t="s">
        <v>175</v>
      </c>
      <c r="D206" s="6" t="s">
        <v>181</v>
      </c>
      <c r="E206" s="8" t="s">
        <v>57</v>
      </c>
      <c r="F206" s="9">
        <v>8000</v>
      </c>
    </row>
    <row r="207" spans="1:6" x14ac:dyDescent="0.3">
      <c r="A207" s="17">
        <v>46181</v>
      </c>
      <c r="B207" s="17" t="s">
        <v>1009</v>
      </c>
      <c r="C207" s="19" t="s">
        <v>1146</v>
      </c>
      <c r="D207" s="6" t="s">
        <v>1147</v>
      </c>
      <c r="E207" s="8" t="s">
        <v>57</v>
      </c>
      <c r="F207" s="9">
        <v>2500</v>
      </c>
    </row>
    <row r="208" spans="1:6" x14ac:dyDescent="0.3">
      <c r="A208" s="17">
        <v>46181</v>
      </c>
      <c r="B208" s="17" t="s">
        <v>1009</v>
      </c>
      <c r="C208" s="19" t="s">
        <v>1146</v>
      </c>
      <c r="D208" s="6" t="s">
        <v>1147</v>
      </c>
      <c r="E208" s="8" t="s">
        <v>57</v>
      </c>
      <c r="F208" s="9">
        <v>2500.0100000000002</v>
      </c>
    </row>
    <row r="209" spans="1:6" x14ac:dyDescent="0.3">
      <c r="A209" s="17">
        <v>46072</v>
      </c>
      <c r="B209" s="17" t="s">
        <v>1009</v>
      </c>
      <c r="C209" s="19" t="s">
        <v>249</v>
      </c>
      <c r="D209" s="8" t="s">
        <v>190</v>
      </c>
      <c r="E209" s="8" t="s">
        <v>57</v>
      </c>
      <c r="F209" s="9">
        <v>525.83000000000004</v>
      </c>
    </row>
    <row r="210" spans="1:6" x14ac:dyDescent="0.3">
      <c r="A210" s="17">
        <v>46092</v>
      </c>
      <c r="B210" s="17" t="s">
        <v>1009</v>
      </c>
      <c r="C210" s="21" t="s">
        <v>249</v>
      </c>
      <c r="D210" s="8" t="s">
        <v>842</v>
      </c>
      <c r="E210" s="4" t="s">
        <v>47</v>
      </c>
      <c r="F210" s="9">
        <v>3980</v>
      </c>
    </row>
    <row r="211" spans="1:6" x14ac:dyDescent="0.3">
      <c r="A211" s="17">
        <v>46055</v>
      </c>
      <c r="B211" s="17" t="s">
        <v>1009</v>
      </c>
      <c r="C211" s="21" t="s">
        <v>249</v>
      </c>
      <c r="D211" s="8" t="s">
        <v>257</v>
      </c>
      <c r="E211" s="8" t="s">
        <v>57</v>
      </c>
      <c r="F211" s="9">
        <v>485000</v>
      </c>
    </row>
    <row r="212" spans="1:6" x14ac:dyDescent="0.3">
      <c r="A212" s="17">
        <v>46045</v>
      </c>
      <c r="B212" s="17" t="s">
        <v>1009</v>
      </c>
      <c r="C212" s="19" t="s">
        <v>249</v>
      </c>
      <c r="D212" s="8" t="s">
        <v>258</v>
      </c>
      <c r="E212" s="8" t="s">
        <v>57</v>
      </c>
      <c r="F212" s="9">
        <v>500000</v>
      </c>
    </row>
    <row r="213" spans="1:6" x14ac:dyDescent="0.3">
      <c r="A213" s="17">
        <v>46072</v>
      </c>
      <c r="B213" s="17" t="s">
        <v>1009</v>
      </c>
      <c r="C213" s="19" t="s">
        <v>250</v>
      </c>
      <c r="D213" s="8" t="s">
        <v>176</v>
      </c>
      <c r="E213" s="8" t="s">
        <v>57</v>
      </c>
      <c r="F213" s="9">
        <v>80000</v>
      </c>
    </row>
    <row r="214" spans="1:6" x14ac:dyDescent="0.3">
      <c r="A214" s="17">
        <v>46146</v>
      </c>
      <c r="B214" s="17" t="s">
        <v>1009</v>
      </c>
      <c r="C214" s="8" t="s">
        <v>685</v>
      </c>
      <c r="D214" s="8" t="s">
        <v>841</v>
      </c>
      <c r="E214" s="4" t="s">
        <v>57</v>
      </c>
      <c r="F214" s="3">
        <v>4000</v>
      </c>
    </row>
    <row r="215" spans="1:6" x14ac:dyDescent="0.3">
      <c r="A215" s="17">
        <v>46125</v>
      </c>
      <c r="B215" s="17" t="s">
        <v>1009</v>
      </c>
      <c r="C215" s="8" t="s">
        <v>685</v>
      </c>
      <c r="D215" s="8" t="s">
        <v>841</v>
      </c>
      <c r="E215" s="4" t="s">
        <v>57</v>
      </c>
      <c r="F215" s="9">
        <v>10000</v>
      </c>
    </row>
    <row r="216" spans="1:6" x14ac:dyDescent="0.3">
      <c r="A216" s="17">
        <v>46139</v>
      </c>
      <c r="B216" s="17" t="s">
        <v>1009</v>
      </c>
      <c r="C216" s="25" t="s">
        <v>685</v>
      </c>
      <c r="D216" s="8" t="s">
        <v>841</v>
      </c>
      <c r="E216" s="4" t="s">
        <v>57</v>
      </c>
      <c r="F216" s="9">
        <v>4000</v>
      </c>
    </row>
  </sheetData>
  <autoFilter ref="A1:F216" xr:uid="{8D74706F-9570-4F26-A1CD-7F043C59A887}">
    <sortState xmlns:xlrd2="http://schemas.microsoft.com/office/spreadsheetml/2017/richdata2" ref="A2:F216">
      <sortCondition ref="B1:B21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B62E-580B-42C5-9887-BBED3C63FB19}">
  <dimension ref="A1:E214"/>
  <sheetViews>
    <sheetView topLeftCell="A28" workbookViewId="0">
      <selection activeCell="B46" sqref="B46"/>
    </sheetView>
  </sheetViews>
  <sheetFormatPr defaultRowHeight="14.4" x14ac:dyDescent="0.3"/>
  <cols>
    <col min="1" max="1" width="11.5546875" customWidth="1"/>
    <col min="2" max="2" width="18.5546875" bestFit="1" customWidth="1"/>
    <col min="3" max="3" width="20.5546875" bestFit="1" customWidth="1"/>
    <col min="4" max="4" width="47" bestFit="1" customWidth="1"/>
    <col min="5" max="5" width="16.77734375" style="40" customWidth="1"/>
  </cols>
  <sheetData>
    <row r="1" spans="1:5" x14ac:dyDescent="0.3">
      <c r="A1" s="12" t="s">
        <v>28</v>
      </c>
      <c r="B1" s="12" t="s">
        <v>30</v>
      </c>
      <c r="C1" s="12" t="s">
        <v>31</v>
      </c>
      <c r="D1" s="12" t="s">
        <v>29</v>
      </c>
      <c r="E1" s="43" t="s">
        <v>33</v>
      </c>
    </row>
    <row r="2" spans="1:5" x14ac:dyDescent="0.3">
      <c r="A2" s="2">
        <v>46114</v>
      </c>
      <c r="B2" s="8" t="s">
        <v>968</v>
      </c>
      <c r="C2" s="8" t="s">
        <v>854</v>
      </c>
      <c r="D2" s="8" t="s">
        <v>957</v>
      </c>
      <c r="E2" s="9">
        <v>10</v>
      </c>
    </row>
    <row r="3" spans="1:5" x14ac:dyDescent="0.3">
      <c r="A3" s="2">
        <v>46114</v>
      </c>
      <c r="B3" s="8" t="s">
        <v>968</v>
      </c>
      <c r="C3" s="8" t="s">
        <v>854</v>
      </c>
      <c r="D3" s="8" t="s">
        <v>957</v>
      </c>
      <c r="E3" s="9">
        <v>70.599999999999994</v>
      </c>
    </row>
    <row r="4" spans="1:5" x14ac:dyDescent="0.3">
      <c r="A4" s="2">
        <v>46108</v>
      </c>
      <c r="B4" s="8" t="s">
        <v>968</v>
      </c>
      <c r="C4" s="8" t="s">
        <v>854</v>
      </c>
      <c r="D4" s="8" t="s">
        <v>957</v>
      </c>
      <c r="E4" s="9">
        <v>10</v>
      </c>
    </row>
    <row r="5" spans="1:5" x14ac:dyDescent="0.3">
      <c r="A5" s="2">
        <v>46108</v>
      </c>
      <c r="B5" s="8" t="s">
        <v>968</v>
      </c>
      <c r="C5" s="8" t="s">
        <v>854</v>
      </c>
      <c r="D5" s="8" t="s">
        <v>957</v>
      </c>
      <c r="E5" s="9">
        <v>10</v>
      </c>
    </row>
    <row r="6" spans="1:5" x14ac:dyDescent="0.3">
      <c r="A6" s="2">
        <v>46118</v>
      </c>
      <c r="B6" s="8" t="s">
        <v>968</v>
      </c>
      <c r="C6" s="8" t="s">
        <v>854</v>
      </c>
      <c r="D6" s="8" t="s">
        <v>957</v>
      </c>
      <c r="E6" s="9">
        <v>15.94</v>
      </c>
    </row>
    <row r="7" spans="1:5" x14ac:dyDescent="0.3">
      <c r="A7" s="2">
        <v>46125</v>
      </c>
      <c r="B7" s="8" t="s">
        <v>968</v>
      </c>
      <c r="C7" s="8" t="s">
        <v>854</v>
      </c>
      <c r="D7" s="8" t="s">
        <v>957</v>
      </c>
      <c r="E7" s="9">
        <v>1</v>
      </c>
    </row>
    <row r="8" spans="1:5" x14ac:dyDescent="0.3">
      <c r="A8" s="2">
        <v>46126</v>
      </c>
      <c r="B8" s="8" t="s">
        <v>968</v>
      </c>
      <c r="C8" s="8" t="s">
        <v>854</v>
      </c>
      <c r="D8" s="8" t="s">
        <v>957</v>
      </c>
      <c r="E8" s="9">
        <v>7.08</v>
      </c>
    </row>
    <row r="9" spans="1:5" x14ac:dyDescent="0.3">
      <c r="A9" s="2">
        <v>46126</v>
      </c>
      <c r="B9" s="8" t="s">
        <v>968</v>
      </c>
      <c r="C9" s="8" t="s">
        <v>854</v>
      </c>
      <c r="D9" s="8" t="s">
        <v>957</v>
      </c>
      <c r="E9" s="9">
        <v>4.37</v>
      </c>
    </row>
    <row r="10" spans="1:5" x14ac:dyDescent="0.3">
      <c r="A10" s="2">
        <v>46146</v>
      </c>
      <c r="B10" s="8" t="s">
        <v>968</v>
      </c>
      <c r="C10" s="8" t="s">
        <v>854</v>
      </c>
      <c r="D10" s="8" t="s">
        <v>957</v>
      </c>
      <c r="E10" s="9">
        <v>18.91</v>
      </c>
    </row>
    <row r="11" spans="1:5" x14ac:dyDescent="0.3">
      <c r="A11" s="2">
        <v>46136</v>
      </c>
      <c r="B11" s="8" t="s">
        <v>968</v>
      </c>
      <c r="C11" s="8" t="s">
        <v>854</v>
      </c>
      <c r="D11" s="8" t="s">
        <v>957</v>
      </c>
      <c r="E11" s="9">
        <v>1.1499999999999999</v>
      </c>
    </row>
    <row r="12" spans="1:5" x14ac:dyDescent="0.3">
      <c r="A12" s="2">
        <v>46142</v>
      </c>
      <c r="B12" s="8" t="s">
        <v>968</v>
      </c>
      <c r="C12" s="8" t="s">
        <v>854</v>
      </c>
      <c r="D12" s="8" t="s">
        <v>957</v>
      </c>
      <c r="E12" s="9">
        <v>9.7799999999999994</v>
      </c>
    </row>
    <row r="13" spans="1:5" x14ac:dyDescent="0.3">
      <c r="A13" s="2">
        <v>46139</v>
      </c>
      <c r="B13" s="8" t="s">
        <v>968</v>
      </c>
      <c r="C13" s="8" t="s">
        <v>854</v>
      </c>
      <c r="D13" s="8" t="s">
        <v>957</v>
      </c>
      <c r="E13" s="9">
        <v>66.2</v>
      </c>
    </row>
    <row r="14" spans="1:5" x14ac:dyDescent="0.3">
      <c r="A14" s="2">
        <v>46149</v>
      </c>
      <c r="B14" s="8" t="s">
        <v>968</v>
      </c>
      <c r="C14" s="8" t="s">
        <v>854</v>
      </c>
      <c r="D14" s="8" t="s">
        <v>957</v>
      </c>
      <c r="E14" s="9">
        <v>3.55</v>
      </c>
    </row>
    <row r="15" spans="1:5" x14ac:dyDescent="0.3">
      <c r="A15" s="2">
        <v>46118</v>
      </c>
      <c r="B15" s="8" t="s">
        <v>968</v>
      </c>
      <c r="C15" s="8" t="s">
        <v>854</v>
      </c>
      <c r="D15" s="8" t="s">
        <v>957</v>
      </c>
      <c r="E15" s="9">
        <v>13.4</v>
      </c>
    </row>
    <row r="16" spans="1:5" x14ac:dyDescent="0.3">
      <c r="A16" s="2">
        <v>46150</v>
      </c>
      <c r="B16" s="8" t="s">
        <v>968</v>
      </c>
      <c r="C16" s="8" t="s">
        <v>854</v>
      </c>
      <c r="D16" s="8" t="s">
        <v>957</v>
      </c>
      <c r="E16" s="9">
        <v>17.510000000000002</v>
      </c>
    </row>
    <row r="17" spans="1:5" x14ac:dyDescent="0.3">
      <c r="A17" s="2">
        <v>46163</v>
      </c>
      <c r="B17" s="8" t="s">
        <v>968</v>
      </c>
      <c r="C17" s="8" t="s">
        <v>854</v>
      </c>
      <c r="D17" s="8" t="s">
        <v>957</v>
      </c>
      <c r="E17" s="9">
        <v>20</v>
      </c>
    </row>
    <row r="18" spans="1:5" x14ac:dyDescent="0.3">
      <c r="A18" s="2">
        <v>46163</v>
      </c>
      <c r="B18" s="8" t="s">
        <v>968</v>
      </c>
      <c r="C18" s="8" t="s">
        <v>854</v>
      </c>
      <c r="D18" s="8" t="s">
        <v>957</v>
      </c>
      <c r="E18" s="9">
        <v>1.02</v>
      </c>
    </row>
    <row r="19" spans="1:5" x14ac:dyDescent="0.3">
      <c r="A19" s="2">
        <v>46167</v>
      </c>
      <c r="B19" s="8" t="s">
        <v>968</v>
      </c>
      <c r="C19" s="8" t="s">
        <v>854</v>
      </c>
      <c r="D19" s="8" t="s">
        <v>957</v>
      </c>
      <c r="E19" s="9">
        <v>13.6</v>
      </c>
    </row>
    <row r="20" spans="1:5" x14ac:dyDescent="0.3">
      <c r="A20" s="2">
        <v>46167</v>
      </c>
      <c r="B20" s="8" t="s">
        <v>968</v>
      </c>
      <c r="C20" s="8" t="s">
        <v>854</v>
      </c>
      <c r="D20" s="8" t="s">
        <v>957</v>
      </c>
      <c r="E20" s="9">
        <v>13.6</v>
      </c>
    </row>
    <row r="21" spans="1:5" x14ac:dyDescent="0.3">
      <c r="A21" s="2">
        <v>46150</v>
      </c>
      <c r="B21" s="8" t="s">
        <v>968</v>
      </c>
      <c r="C21" s="8" t="s">
        <v>854</v>
      </c>
      <c r="D21" s="8" t="s">
        <v>957</v>
      </c>
      <c r="E21" s="9">
        <v>20</v>
      </c>
    </row>
    <row r="22" spans="1:5" x14ac:dyDescent="0.3">
      <c r="A22" s="2">
        <v>46025</v>
      </c>
      <c r="B22" s="8" t="s">
        <v>968</v>
      </c>
      <c r="C22" s="8" t="s">
        <v>855</v>
      </c>
      <c r="D22" s="8" t="s">
        <v>957</v>
      </c>
      <c r="E22" s="9">
        <v>319</v>
      </c>
    </row>
    <row r="23" spans="1:5" x14ac:dyDescent="0.3">
      <c r="A23" s="2">
        <v>46027</v>
      </c>
      <c r="B23" s="8" t="s">
        <v>968</v>
      </c>
      <c r="C23" s="8" t="s">
        <v>855</v>
      </c>
      <c r="D23" s="8" t="s">
        <v>957</v>
      </c>
      <c r="E23" s="9">
        <v>319</v>
      </c>
    </row>
    <row r="24" spans="1:5" x14ac:dyDescent="0.3">
      <c r="A24" s="2">
        <v>46056</v>
      </c>
      <c r="B24" s="8" t="s">
        <v>968</v>
      </c>
      <c r="C24" s="8" t="s">
        <v>855</v>
      </c>
      <c r="D24" s="8" t="s">
        <v>957</v>
      </c>
      <c r="E24" s="9">
        <v>319</v>
      </c>
    </row>
    <row r="25" spans="1:5" x14ac:dyDescent="0.3">
      <c r="A25" s="2">
        <v>46084</v>
      </c>
      <c r="B25" s="8" t="s">
        <v>968</v>
      </c>
      <c r="C25" s="8" t="s">
        <v>855</v>
      </c>
      <c r="D25" s="8" t="s">
        <v>957</v>
      </c>
      <c r="E25" s="9">
        <v>351</v>
      </c>
    </row>
    <row r="26" spans="1:5" x14ac:dyDescent="0.3">
      <c r="A26" s="2">
        <v>46084</v>
      </c>
      <c r="B26" s="8" t="s">
        <v>968</v>
      </c>
      <c r="C26" s="8" t="s">
        <v>855</v>
      </c>
      <c r="D26" s="8" t="s">
        <v>957</v>
      </c>
      <c r="E26" s="9">
        <v>0.5</v>
      </c>
    </row>
    <row r="27" spans="1:5" x14ac:dyDescent="0.3">
      <c r="A27" s="2">
        <v>46147</v>
      </c>
      <c r="B27" s="8" t="s">
        <v>968</v>
      </c>
      <c r="C27" s="8" t="s">
        <v>854</v>
      </c>
      <c r="D27" s="8" t="s">
        <v>957</v>
      </c>
      <c r="E27" s="9">
        <v>73</v>
      </c>
    </row>
    <row r="28" spans="1:5" x14ac:dyDescent="0.3">
      <c r="A28" s="2">
        <v>46147</v>
      </c>
      <c r="B28" s="8" t="s">
        <v>968</v>
      </c>
      <c r="C28" s="8" t="s">
        <v>854</v>
      </c>
      <c r="D28" s="8" t="s">
        <v>957</v>
      </c>
      <c r="E28" s="9">
        <v>13.6</v>
      </c>
    </row>
    <row r="29" spans="1:5" x14ac:dyDescent="0.3">
      <c r="A29" s="2">
        <v>46147</v>
      </c>
      <c r="B29" s="8" t="s">
        <v>968</v>
      </c>
      <c r="C29" s="8" t="s">
        <v>854</v>
      </c>
      <c r="D29" s="8" t="s">
        <v>957</v>
      </c>
      <c r="E29" s="9">
        <v>10</v>
      </c>
    </row>
    <row r="30" spans="1:5" x14ac:dyDescent="0.3">
      <c r="A30" s="2">
        <v>46148</v>
      </c>
      <c r="B30" s="8" t="s">
        <v>968</v>
      </c>
      <c r="C30" s="8" t="s">
        <v>854</v>
      </c>
      <c r="D30" s="8" t="s">
        <v>957</v>
      </c>
      <c r="E30" s="9">
        <v>15.94</v>
      </c>
    </row>
    <row r="31" spans="1:5" x14ac:dyDescent="0.3">
      <c r="A31" s="2">
        <v>46175</v>
      </c>
      <c r="B31" s="8" t="s">
        <v>968</v>
      </c>
      <c r="C31" s="8" t="s">
        <v>854</v>
      </c>
      <c r="D31" s="8" t="s">
        <v>957</v>
      </c>
      <c r="E31" s="9">
        <v>73</v>
      </c>
    </row>
    <row r="32" spans="1:5" x14ac:dyDescent="0.3">
      <c r="A32" s="2">
        <v>46176</v>
      </c>
      <c r="B32" s="8" t="s">
        <v>968</v>
      </c>
      <c r="C32" s="8" t="s">
        <v>854</v>
      </c>
      <c r="D32" s="8" t="s">
        <v>957</v>
      </c>
      <c r="E32" s="9">
        <v>13.6</v>
      </c>
    </row>
    <row r="33" spans="1:5" x14ac:dyDescent="0.3">
      <c r="A33" s="2">
        <v>46176</v>
      </c>
      <c r="B33" s="8" t="s">
        <v>968</v>
      </c>
      <c r="C33" s="8" t="s">
        <v>854</v>
      </c>
      <c r="D33" s="8" t="s">
        <v>957</v>
      </c>
      <c r="E33" s="9">
        <v>20</v>
      </c>
    </row>
    <row r="34" spans="1:5" x14ac:dyDescent="0.3">
      <c r="A34" s="2">
        <v>46181</v>
      </c>
      <c r="B34" s="8" t="s">
        <v>968</v>
      </c>
      <c r="C34" s="8" t="s">
        <v>854</v>
      </c>
      <c r="D34" s="8" t="s">
        <v>957</v>
      </c>
      <c r="E34" s="9">
        <v>30</v>
      </c>
    </row>
    <row r="35" spans="1:5" x14ac:dyDescent="0.3">
      <c r="A35" s="2">
        <v>46183</v>
      </c>
      <c r="B35" s="8" t="s">
        <v>968</v>
      </c>
      <c r="C35" s="8" t="s">
        <v>854</v>
      </c>
      <c r="D35" s="8" t="s">
        <v>957</v>
      </c>
      <c r="E35" s="9">
        <v>10</v>
      </c>
    </row>
    <row r="36" spans="1:5" x14ac:dyDescent="0.3">
      <c r="A36" s="2">
        <v>46189</v>
      </c>
      <c r="B36" s="8" t="s">
        <v>968</v>
      </c>
      <c r="C36" s="8" t="s">
        <v>854</v>
      </c>
      <c r="D36" s="8" t="s">
        <v>957</v>
      </c>
      <c r="E36" s="9">
        <v>10</v>
      </c>
    </row>
    <row r="37" spans="1:5" x14ac:dyDescent="0.3">
      <c r="A37" s="2">
        <v>46190</v>
      </c>
      <c r="B37" s="8" t="s">
        <v>968</v>
      </c>
      <c r="C37" s="8" t="s">
        <v>854</v>
      </c>
      <c r="D37" s="8" t="s">
        <v>957</v>
      </c>
      <c r="E37" s="9">
        <v>1</v>
      </c>
    </row>
    <row r="38" spans="1:5" x14ac:dyDescent="0.3">
      <c r="A38" s="2">
        <v>46195</v>
      </c>
      <c r="B38" s="8" t="s">
        <v>968</v>
      </c>
      <c r="C38" s="8" t="s">
        <v>854</v>
      </c>
      <c r="D38" s="8" t="s">
        <v>957</v>
      </c>
      <c r="E38" s="9">
        <v>10</v>
      </c>
    </row>
    <row r="39" spans="1:5" x14ac:dyDescent="0.3">
      <c r="A39" s="2">
        <v>46035</v>
      </c>
      <c r="B39" s="8" t="s">
        <v>670</v>
      </c>
      <c r="C39" s="8" t="s">
        <v>91</v>
      </c>
      <c r="D39" s="8" t="s">
        <v>853</v>
      </c>
      <c r="E39" s="9">
        <v>24</v>
      </c>
    </row>
    <row r="40" spans="1:5" x14ac:dyDescent="0.3">
      <c r="A40" s="2">
        <v>46142</v>
      </c>
      <c r="B40" s="8" t="s">
        <v>670</v>
      </c>
      <c r="C40" s="8" t="s">
        <v>91</v>
      </c>
      <c r="D40" s="8" t="s">
        <v>853</v>
      </c>
      <c r="E40" s="9">
        <v>45</v>
      </c>
    </row>
    <row r="41" spans="1:5" s="1" customFormat="1" x14ac:dyDescent="0.3">
      <c r="A41" s="2">
        <v>46063</v>
      </c>
      <c r="B41" s="8" t="s">
        <v>670</v>
      </c>
      <c r="C41" s="8" t="s">
        <v>861</v>
      </c>
      <c r="D41" s="8" t="s">
        <v>862</v>
      </c>
      <c r="E41" s="9">
        <v>233.25</v>
      </c>
    </row>
    <row r="42" spans="1:5" x14ac:dyDescent="0.3">
      <c r="A42" s="2">
        <v>46126</v>
      </c>
      <c r="B42" s="8" t="s">
        <v>670</v>
      </c>
      <c r="C42" s="8" t="s">
        <v>861</v>
      </c>
      <c r="D42" s="8" t="s">
        <v>852</v>
      </c>
      <c r="E42" s="9">
        <v>442</v>
      </c>
    </row>
    <row r="43" spans="1:5" x14ac:dyDescent="0.3">
      <c r="A43" s="2">
        <v>46126</v>
      </c>
      <c r="B43" s="8" t="s">
        <v>670</v>
      </c>
      <c r="C43" s="8" t="s">
        <v>858</v>
      </c>
      <c r="D43" s="8" t="s">
        <v>859</v>
      </c>
      <c r="E43" s="9">
        <v>115.83</v>
      </c>
    </row>
    <row r="44" spans="1:5" x14ac:dyDescent="0.3">
      <c r="A44" s="2">
        <v>46149</v>
      </c>
      <c r="B44" s="8" t="s">
        <v>134</v>
      </c>
      <c r="C44" s="8" t="s">
        <v>455</v>
      </c>
      <c r="D44" s="8" t="s">
        <v>1170</v>
      </c>
      <c r="E44" s="9">
        <v>1769.71</v>
      </c>
    </row>
    <row r="45" spans="1:5" x14ac:dyDescent="0.3">
      <c r="A45" s="2">
        <v>46150</v>
      </c>
      <c r="B45" s="8" t="s">
        <v>143</v>
      </c>
      <c r="C45" s="8" t="s">
        <v>145</v>
      </c>
      <c r="D45" s="8" t="s">
        <v>961</v>
      </c>
      <c r="E45" s="9">
        <v>72079.600000000006</v>
      </c>
    </row>
    <row r="46" spans="1:5" x14ac:dyDescent="0.3">
      <c r="A46" s="2">
        <v>46163</v>
      </c>
      <c r="B46" s="8" t="s">
        <v>670</v>
      </c>
      <c r="C46" s="8" t="s">
        <v>858</v>
      </c>
      <c r="D46" s="8" t="s">
        <v>964</v>
      </c>
      <c r="E46" s="9">
        <v>103.86</v>
      </c>
    </row>
    <row r="47" spans="1:5" x14ac:dyDescent="0.3">
      <c r="A47" s="2">
        <v>46126</v>
      </c>
      <c r="B47" s="8" t="s">
        <v>670</v>
      </c>
      <c r="C47" s="8" t="s">
        <v>351</v>
      </c>
      <c r="D47" s="8" t="s">
        <v>57</v>
      </c>
      <c r="E47" s="9">
        <v>180.02</v>
      </c>
    </row>
    <row r="48" spans="1:5" x14ac:dyDescent="0.3">
      <c r="A48" s="2">
        <v>46126</v>
      </c>
      <c r="B48" s="8" t="s">
        <v>670</v>
      </c>
      <c r="C48" s="8" t="s">
        <v>351</v>
      </c>
      <c r="D48" s="8" t="s">
        <v>57</v>
      </c>
      <c r="E48" s="9">
        <v>90</v>
      </c>
    </row>
    <row r="49" spans="1:5" x14ac:dyDescent="0.3">
      <c r="A49" s="2">
        <v>46101</v>
      </c>
      <c r="B49" s="8" t="s">
        <v>34</v>
      </c>
      <c r="C49" s="8" t="s">
        <v>148</v>
      </c>
      <c r="D49" s="8" t="s">
        <v>149</v>
      </c>
      <c r="E49" s="9">
        <v>1260</v>
      </c>
    </row>
    <row r="50" spans="1:5" x14ac:dyDescent="0.3">
      <c r="A50" s="2">
        <v>46164</v>
      </c>
      <c r="B50" s="8" t="s">
        <v>34</v>
      </c>
      <c r="C50" s="8" t="s">
        <v>148</v>
      </c>
      <c r="D50" s="8" t="s">
        <v>149</v>
      </c>
      <c r="E50" s="9">
        <v>1042.52</v>
      </c>
    </row>
    <row r="51" spans="1:5" x14ac:dyDescent="0.3">
      <c r="A51" s="2">
        <v>46034</v>
      </c>
      <c r="B51" s="8" t="s">
        <v>34</v>
      </c>
      <c r="C51" s="8" t="s">
        <v>311</v>
      </c>
      <c r="D51" s="8" t="s">
        <v>310</v>
      </c>
      <c r="E51" s="9">
        <v>599</v>
      </c>
    </row>
    <row r="52" spans="1:5" x14ac:dyDescent="0.3">
      <c r="A52" s="2">
        <v>46190</v>
      </c>
      <c r="B52" s="8" t="s">
        <v>34</v>
      </c>
      <c r="C52" s="8" t="s">
        <v>1164</v>
      </c>
      <c r="D52" s="51" t="s">
        <v>1165</v>
      </c>
      <c r="E52" s="9">
        <v>299</v>
      </c>
    </row>
    <row r="53" spans="1:5" x14ac:dyDescent="0.3">
      <c r="A53" s="2">
        <v>46063</v>
      </c>
      <c r="B53" s="8" t="s">
        <v>132</v>
      </c>
      <c r="C53" s="8" t="s">
        <v>133</v>
      </c>
      <c r="D53" s="8" t="s">
        <v>140</v>
      </c>
      <c r="E53" s="9">
        <v>30000</v>
      </c>
    </row>
    <row r="54" spans="1:5" x14ac:dyDescent="0.3">
      <c r="A54" s="2">
        <v>46086</v>
      </c>
      <c r="B54" s="8" t="s">
        <v>132</v>
      </c>
      <c r="C54" s="8" t="s">
        <v>133</v>
      </c>
      <c r="D54" s="8" t="s">
        <v>140</v>
      </c>
      <c r="E54" s="9">
        <v>15516.56</v>
      </c>
    </row>
    <row r="55" spans="1:5" x14ac:dyDescent="0.3">
      <c r="A55" s="2">
        <v>46118</v>
      </c>
      <c r="B55" s="8" t="s">
        <v>132</v>
      </c>
      <c r="C55" s="8" t="s">
        <v>133</v>
      </c>
      <c r="D55" s="8" t="s">
        <v>140</v>
      </c>
      <c r="E55" s="9">
        <v>16397.52</v>
      </c>
    </row>
    <row r="56" spans="1:5" x14ac:dyDescent="0.3">
      <c r="A56" s="2">
        <v>46147</v>
      </c>
      <c r="B56" s="8" t="s">
        <v>132</v>
      </c>
      <c r="C56" s="8" t="s">
        <v>133</v>
      </c>
      <c r="D56" s="8" t="s">
        <v>140</v>
      </c>
      <c r="E56" s="9">
        <v>17841.580000000002</v>
      </c>
    </row>
    <row r="57" spans="1:5" x14ac:dyDescent="0.3">
      <c r="A57" s="2">
        <v>46163</v>
      </c>
      <c r="B57" s="8" t="s">
        <v>132</v>
      </c>
      <c r="C57" s="8" t="s">
        <v>962</v>
      </c>
      <c r="D57" s="8" t="s">
        <v>140</v>
      </c>
      <c r="E57" s="9">
        <v>28900</v>
      </c>
    </row>
    <row r="58" spans="1:5" x14ac:dyDescent="0.3">
      <c r="A58" s="2">
        <v>46176</v>
      </c>
      <c r="B58" s="8" t="s">
        <v>132</v>
      </c>
      <c r="C58" s="8" t="s">
        <v>133</v>
      </c>
      <c r="D58" s="8" t="s">
        <v>140</v>
      </c>
      <c r="E58" s="9">
        <v>3841.58</v>
      </c>
    </row>
    <row r="59" spans="1:5" x14ac:dyDescent="0.3">
      <c r="A59" s="2">
        <v>46178</v>
      </c>
      <c r="B59" s="8" t="s">
        <v>132</v>
      </c>
      <c r="C59" s="8" t="s">
        <v>133</v>
      </c>
      <c r="D59" s="8" t="s">
        <v>140</v>
      </c>
      <c r="E59" s="9">
        <v>14000</v>
      </c>
    </row>
    <row r="60" spans="1:5" x14ac:dyDescent="0.3">
      <c r="A60" s="2">
        <v>46178</v>
      </c>
      <c r="B60" s="8" t="s">
        <v>132</v>
      </c>
      <c r="C60" s="8" t="s">
        <v>962</v>
      </c>
      <c r="D60" s="8" t="s">
        <v>140</v>
      </c>
      <c r="E60" s="9">
        <v>38500</v>
      </c>
    </row>
    <row r="61" spans="1:5" x14ac:dyDescent="0.3">
      <c r="A61" s="2">
        <v>46059</v>
      </c>
      <c r="B61" s="8" t="s">
        <v>131</v>
      </c>
      <c r="C61" s="8" t="s">
        <v>125</v>
      </c>
      <c r="D61" s="8" t="s">
        <v>125</v>
      </c>
      <c r="E61" s="9">
        <v>11000</v>
      </c>
    </row>
    <row r="62" spans="1:5" x14ac:dyDescent="0.3">
      <c r="A62" s="2">
        <v>46086</v>
      </c>
      <c r="B62" s="8" t="s">
        <v>131</v>
      </c>
      <c r="C62" s="8" t="s">
        <v>125</v>
      </c>
      <c r="D62" s="8" t="s">
        <v>125</v>
      </c>
      <c r="E62" s="9">
        <v>11000</v>
      </c>
    </row>
    <row r="63" spans="1:5" x14ac:dyDescent="0.3">
      <c r="A63" s="2">
        <v>46118</v>
      </c>
      <c r="B63" s="8" t="s">
        <v>131</v>
      </c>
      <c r="C63" s="8" t="s">
        <v>125</v>
      </c>
      <c r="D63" s="8" t="s">
        <v>125</v>
      </c>
      <c r="E63" s="9">
        <v>11000</v>
      </c>
    </row>
    <row r="64" spans="1:5" x14ac:dyDescent="0.3">
      <c r="A64" s="2">
        <v>46147</v>
      </c>
      <c r="B64" s="8" t="s">
        <v>131</v>
      </c>
      <c r="C64" s="8" t="s">
        <v>125</v>
      </c>
      <c r="D64" s="8" t="s">
        <v>125</v>
      </c>
      <c r="E64" s="9">
        <v>12000</v>
      </c>
    </row>
    <row r="65" spans="1:5" x14ac:dyDescent="0.3">
      <c r="A65" s="2">
        <v>46055</v>
      </c>
      <c r="B65" s="8" t="s">
        <v>131</v>
      </c>
      <c r="C65" s="8" t="s">
        <v>41</v>
      </c>
      <c r="D65" s="8" t="s">
        <v>53</v>
      </c>
      <c r="E65" s="9">
        <v>2678.2200000000003</v>
      </c>
    </row>
    <row r="66" spans="1:5" x14ac:dyDescent="0.3">
      <c r="A66" s="2">
        <v>46082</v>
      </c>
      <c r="B66" s="8" t="s">
        <v>131</v>
      </c>
      <c r="C66" s="8" t="s">
        <v>41</v>
      </c>
      <c r="D66" s="8" t="s">
        <v>53</v>
      </c>
      <c r="E66" s="9">
        <v>2678.22</v>
      </c>
    </row>
    <row r="67" spans="1:5" x14ac:dyDescent="0.3">
      <c r="A67" s="2">
        <v>46113</v>
      </c>
      <c r="B67" s="8" t="s">
        <v>131</v>
      </c>
      <c r="C67" s="8" t="s">
        <v>41</v>
      </c>
      <c r="D67" s="8" t="s">
        <v>53</v>
      </c>
      <c r="E67" s="9">
        <v>1334.45</v>
      </c>
    </row>
    <row r="68" spans="1:5" s="1" customFormat="1" x14ac:dyDescent="0.3">
      <c r="A68" s="2">
        <v>46113</v>
      </c>
      <c r="B68" s="8" t="s">
        <v>131</v>
      </c>
      <c r="C68" s="8" t="s">
        <v>41</v>
      </c>
      <c r="D68" s="8" t="s">
        <v>53</v>
      </c>
      <c r="E68" s="9">
        <v>1436.18</v>
      </c>
    </row>
    <row r="69" spans="1:5" s="1" customFormat="1" x14ac:dyDescent="0.3">
      <c r="A69" s="2">
        <v>46146</v>
      </c>
      <c r="B69" s="8" t="s">
        <v>131</v>
      </c>
      <c r="C69" s="8" t="s">
        <v>41</v>
      </c>
      <c r="D69" s="8" t="s">
        <v>53</v>
      </c>
      <c r="E69" s="9">
        <v>1304.78</v>
      </c>
    </row>
    <row r="70" spans="1:5" s="1" customFormat="1" x14ac:dyDescent="0.3">
      <c r="A70" s="2">
        <v>46146</v>
      </c>
      <c r="B70" s="8" t="s">
        <v>131</v>
      </c>
      <c r="C70" s="8" t="s">
        <v>41</v>
      </c>
      <c r="D70" s="8" t="s">
        <v>53</v>
      </c>
      <c r="E70" s="9">
        <v>1404.25</v>
      </c>
    </row>
    <row r="71" spans="1:5" s="1" customFormat="1" x14ac:dyDescent="0.3">
      <c r="A71" s="2">
        <v>46062</v>
      </c>
      <c r="B71" s="8" t="s">
        <v>131</v>
      </c>
      <c r="C71" s="8" t="s">
        <v>39</v>
      </c>
      <c r="D71" s="8" t="s">
        <v>64</v>
      </c>
      <c r="E71" s="9">
        <v>99.9</v>
      </c>
    </row>
    <row r="72" spans="1:5" s="1" customFormat="1" x14ac:dyDescent="0.3">
      <c r="A72" s="2">
        <v>46090</v>
      </c>
      <c r="B72" s="8" t="s">
        <v>131</v>
      </c>
      <c r="C72" s="8" t="s">
        <v>39</v>
      </c>
      <c r="D72" s="8" t="s">
        <v>64</v>
      </c>
      <c r="E72" s="9">
        <v>189.63</v>
      </c>
    </row>
    <row r="73" spans="1:5" s="1" customFormat="1" x14ac:dyDescent="0.3">
      <c r="A73" s="2">
        <v>46118</v>
      </c>
      <c r="B73" s="8" t="s">
        <v>131</v>
      </c>
      <c r="C73" s="8" t="s">
        <v>39</v>
      </c>
      <c r="D73" s="8" t="s">
        <v>64</v>
      </c>
      <c r="E73" s="9">
        <v>249.46</v>
      </c>
    </row>
    <row r="74" spans="1:5" s="1" customFormat="1" x14ac:dyDescent="0.3">
      <c r="A74" s="2">
        <v>46147</v>
      </c>
      <c r="B74" s="8" t="s">
        <v>131</v>
      </c>
      <c r="C74" s="8" t="s">
        <v>39</v>
      </c>
      <c r="D74" s="8" t="s">
        <v>64</v>
      </c>
      <c r="E74" s="9">
        <v>258.8</v>
      </c>
    </row>
    <row r="75" spans="1:5" s="1" customFormat="1" x14ac:dyDescent="0.3">
      <c r="A75" s="2">
        <v>46076</v>
      </c>
      <c r="B75" s="8" t="s">
        <v>131</v>
      </c>
      <c r="C75" s="8" t="s">
        <v>39</v>
      </c>
      <c r="D75" s="8" t="s">
        <v>129</v>
      </c>
      <c r="E75" s="9">
        <v>70.34</v>
      </c>
    </row>
    <row r="76" spans="1:5" s="1" customFormat="1" x14ac:dyDescent="0.3">
      <c r="A76" s="2">
        <v>46147</v>
      </c>
      <c r="B76" s="8" t="s">
        <v>131</v>
      </c>
      <c r="C76" s="8" t="s">
        <v>39</v>
      </c>
      <c r="D76" s="8" t="s">
        <v>129</v>
      </c>
      <c r="E76" s="9">
        <v>184.14</v>
      </c>
    </row>
    <row r="77" spans="1:5" s="1" customFormat="1" x14ac:dyDescent="0.3">
      <c r="A77" s="2">
        <v>46083</v>
      </c>
      <c r="B77" s="8" t="s">
        <v>131</v>
      </c>
      <c r="C77" s="8" t="s">
        <v>39</v>
      </c>
      <c r="D77" s="8" t="s">
        <v>129</v>
      </c>
      <c r="E77" s="9">
        <f>70+124.33</f>
        <v>194.32999999999998</v>
      </c>
    </row>
    <row r="78" spans="1:5" s="1" customFormat="1" x14ac:dyDescent="0.3">
      <c r="A78" s="2">
        <v>46113</v>
      </c>
      <c r="B78" s="8" t="s">
        <v>131</v>
      </c>
      <c r="C78" s="8" t="s">
        <v>39</v>
      </c>
      <c r="D78" s="8" t="s">
        <v>129</v>
      </c>
      <c r="E78" s="9">
        <v>167.95</v>
      </c>
    </row>
    <row r="79" spans="1:5" s="1" customFormat="1" x14ac:dyDescent="0.3">
      <c r="A79" s="2">
        <v>46164</v>
      </c>
      <c r="B79" s="8" t="s">
        <v>131</v>
      </c>
      <c r="C79" s="8" t="s">
        <v>39</v>
      </c>
      <c r="D79" s="8" t="s">
        <v>129</v>
      </c>
      <c r="E79" s="9">
        <v>58.78</v>
      </c>
    </row>
    <row r="80" spans="1:5" s="1" customFormat="1" x14ac:dyDescent="0.3">
      <c r="A80" s="2">
        <v>46134</v>
      </c>
      <c r="B80" s="8" t="s">
        <v>131</v>
      </c>
      <c r="C80" s="8" t="s">
        <v>39</v>
      </c>
      <c r="D80" s="8" t="s">
        <v>129</v>
      </c>
      <c r="E80" s="9">
        <v>56.77</v>
      </c>
    </row>
    <row r="81" spans="1:5" s="1" customFormat="1" x14ac:dyDescent="0.3">
      <c r="A81" s="2">
        <v>46062</v>
      </c>
      <c r="B81" s="8" t="s">
        <v>131</v>
      </c>
      <c r="C81" s="8" t="s">
        <v>79</v>
      </c>
      <c r="D81" s="8" t="s">
        <v>79</v>
      </c>
      <c r="E81" s="9">
        <v>859.93000000000006</v>
      </c>
    </row>
    <row r="82" spans="1:5" s="1" customFormat="1" x14ac:dyDescent="0.3">
      <c r="A82" s="2">
        <v>46090</v>
      </c>
      <c r="B82" s="8" t="s">
        <v>131</v>
      </c>
      <c r="C82" s="8" t="s">
        <v>79</v>
      </c>
      <c r="D82" s="8" t="s">
        <v>79</v>
      </c>
      <c r="E82" s="9">
        <v>859.93000000000006</v>
      </c>
    </row>
    <row r="83" spans="1:5" s="1" customFormat="1" x14ac:dyDescent="0.3">
      <c r="A83" s="2">
        <v>46118</v>
      </c>
      <c r="B83" s="8" t="s">
        <v>131</v>
      </c>
      <c r="C83" s="8" t="s">
        <v>79</v>
      </c>
      <c r="D83" s="8" t="s">
        <v>79</v>
      </c>
      <c r="E83" s="9">
        <f>415.26+444.67</f>
        <v>859.93000000000006</v>
      </c>
    </row>
    <row r="84" spans="1:5" s="1" customFormat="1" x14ac:dyDescent="0.3">
      <c r="A84" s="2">
        <v>46147</v>
      </c>
      <c r="B84" s="8" t="s">
        <v>131</v>
      </c>
      <c r="C84" s="8" t="s">
        <v>79</v>
      </c>
      <c r="D84" s="8" t="s">
        <v>79</v>
      </c>
      <c r="E84" s="9">
        <f>415.26+444.67</f>
        <v>859.93000000000006</v>
      </c>
    </row>
    <row r="85" spans="1:5" s="1" customFormat="1" x14ac:dyDescent="0.3">
      <c r="A85" s="2">
        <v>46059</v>
      </c>
      <c r="B85" s="8" t="s">
        <v>131</v>
      </c>
      <c r="C85" s="8" t="s">
        <v>857</v>
      </c>
      <c r="D85" s="8" t="s">
        <v>126</v>
      </c>
      <c r="E85" s="9">
        <v>600</v>
      </c>
    </row>
    <row r="86" spans="1:5" s="1" customFormat="1" x14ac:dyDescent="0.3">
      <c r="A86" s="2">
        <v>46086</v>
      </c>
      <c r="B86" s="8" t="s">
        <v>131</v>
      </c>
      <c r="C86" s="8" t="s">
        <v>856</v>
      </c>
      <c r="D86" s="8" t="s">
        <v>126</v>
      </c>
      <c r="E86" s="9">
        <v>600</v>
      </c>
    </row>
    <row r="87" spans="1:5" s="1" customFormat="1" ht="13.8" customHeight="1" x14ac:dyDescent="0.3">
      <c r="A87" s="2">
        <v>46118</v>
      </c>
      <c r="B87" s="8" t="s">
        <v>131</v>
      </c>
      <c r="C87" s="8" t="s">
        <v>856</v>
      </c>
      <c r="D87" s="8" t="s">
        <v>126</v>
      </c>
      <c r="E87" s="9">
        <v>600</v>
      </c>
    </row>
    <row r="88" spans="1:5" s="1" customFormat="1" x14ac:dyDescent="0.3">
      <c r="A88" s="2">
        <v>46147</v>
      </c>
      <c r="B88" s="8" t="s">
        <v>131</v>
      </c>
      <c r="C88" s="8" t="s">
        <v>856</v>
      </c>
      <c r="D88" s="8" t="s">
        <v>126</v>
      </c>
      <c r="E88" s="9">
        <v>600</v>
      </c>
    </row>
    <row r="89" spans="1:5" x14ac:dyDescent="0.3">
      <c r="A89" s="2">
        <v>46035</v>
      </c>
      <c r="B89" s="8" t="s">
        <v>131</v>
      </c>
      <c r="C89" s="8" t="s">
        <v>58</v>
      </c>
      <c r="D89" s="8" t="s">
        <v>187</v>
      </c>
      <c r="E89" s="9">
        <v>120</v>
      </c>
    </row>
    <row r="90" spans="1:5" x14ac:dyDescent="0.3">
      <c r="A90" s="2">
        <v>46038</v>
      </c>
      <c r="B90" s="8" t="s">
        <v>131</v>
      </c>
      <c r="C90" s="8" t="s">
        <v>58</v>
      </c>
      <c r="D90" s="8" t="s">
        <v>194</v>
      </c>
      <c r="E90" s="9">
        <v>345</v>
      </c>
    </row>
    <row r="91" spans="1:5" x14ac:dyDescent="0.3">
      <c r="A91" s="2">
        <v>46057</v>
      </c>
      <c r="B91" s="8" t="s">
        <v>131</v>
      </c>
      <c r="C91" s="8" t="s">
        <v>58</v>
      </c>
      <c r="D91" s="8" t="s">
        <v>194</v>
      </c>
      <c r="E91" s="9">
        <v>1000</v>
      </c>
    </row>
    <row r="92" spans="1:5" x14ac:dyDescent="0.3">
      <c r="A92" s="2">
        <v>46062</v>
      </c>
      <c r="B92" s="8" t="s">
        <v>131</v>
      </c>
      <c r="C92" s="8" t="s">
        <v>58</v>
      </c>
      <c r="D92" s="8" t="s">
        <v>194</v>
      </c>
      <c r="E92" s="9">
        <v>150</v>
      </c>
    </row>
    <row r="93" spans="1:5" x14ac:dyDescent="0.3">
      <c r="A93" s="2">
        <v>46072</v>
      </c>
      <c r="B93" s="8" t="s">
        <v>131</v>
      </c>
      <c r="C93" s="8" t="s">
        <v>58</v>
      </c>
      <c r="D93" s="8" t="s">
        <v>194</v>
      </c>
      <c r="E93" s="9">
        <v>30</v>
      </c>
    </row>
    <row r="94" spans="1:5" x14ac:dyDescent="0.3">
      <c r="A94" s="2">
        <v>46072</v>
      </c>
      <c r="B94" s="8" t="s">
        <v>131</v>
      </c>
      <c r="C94" s="8" t="s">
        <v>58</v>
      </c>
      <c r="D94" s="8" t="s">
        <v>194</v>
      </c>
      <c r="E94" s="9">
        <v>158</v>
      </c>
    </row>
    <row r="95" spans="1:5" x14ac:dyDescent="0.3">
      <c r="A95" s="2">
        <v>46076</v>
      </c>
      <c r="B95" s="8" t="s">
        <v>131</v>
      </c>
      <c r="C95" s="8" t="s">
        <v>58</v>
      </c>
      <c r="D95" s="8" t="s">
        <v>194</v>
      </c>
      <c r="E95" s="9">
        <v>100</v>
      </c>
    </row>
    <row r="96" spans="1:5" x14ac:dyDescent="0.3">
      <c r="A96" s="2">
        <v>46038</v>
      </c>
      <c r="B96" s="8" t="s">
        <v>131</v>
      </c>
      <c r="C96" s="8" t="s">
        <v>58</v>
      </c>
      <c r="D96" s="8" t="s">
        <v>192</v>
      </c>
      <c r="E96" s="9">
        <v>150</v>
      </c>
    </row>
    <row r="97" spans="1:5" x14ac:dyDescent="0.3">
      <c r="A97" s="2">
        <v>46064</v>
      </c>
      <c r="B97" s="8" t="s">
        <v>131</v>
      </c>
      <c r="C97" s="8" t="s">
        <v>58</v>
      </c>
      <c r="D97" s="8" t="s">
        <v>246</v>
      </c>
      <c r="E97" s="9">
        <v>210</v>
      </c>
    </row>
    <row r="98" spans="1:5" x14ac:dyDescent="0.3">
      <c r="A98" s="2">
        <v>46055</v>
      </c>
      <c r="B98" s="8" t="s">
        <v>131</v>
      </c>
      <c r="C98" s="8" t="s">
        <v>58</v>
      </c>
      <c r="D98" s="8" t="s">
        <v>217</v>
      </c>
      <c r="E98" s="9">
        <v>120</v>
      </c>
    </row>
    <row r="99" spans="1:5" x14ac:dyDescent="0.3">
      <c r="A99" s="2">
        <v>46147</v>
      </c>
      <c r="B99" s="8" t="s">
        <v>131</v>
      </c>
      <c r="C99" s="8" t="s">
        <v>94</v>
      </c>
      <c r="D99" s="8" t="s">
        <v>958</v>
      </c>
      <c r="E99" s="9">
        <v>74.8</v>
      </c>
    </row>
    <row r="100" spans="1:5" x14ac:dyDescent="0.3">
      <c r="A100" s="2">
        <v>46174</v>
      </c>
      <c r="B100" s="8" t="s">
        <v>131</v>
      </c>
      <c r="C100" s="8" t="s">
        <v>41</v>
      </c>
      <c r="D100" s="8" t="s">
        <v>53</v>
      </c>
      <c r="E100" s="9">
        <v>1304.78</v>
      </c>
    </row>
    <row r="101" spans="1:5" x14ac:dyDescent="0.3">
      <c r="A101" s="2">
        <v>46174</v>
      </c>
      <c r="B101" s="8" t="s">
        <v>131</v>
      </c>
      <c r="C101" s="8" t="s">
        <v>41</v>
      </c>
      <c r="D101" s="8" t="s">
        <v>53</v>
      </c>
      <c r="E101" s="9">
        <v>1404.25</v>
      </c>
    </row>
    <row r="102" spans="1:5" x14ac:dyDescent="0.3">
      <c r="A102" s="2">
        <v>46174</v>
      </c>
      <c r="B102" s="8" t="s">
        <v>131</v>
      </c>
      <c r="C102" s="8" t="s">
        <v>39</v>
      </c>
      <c r="D102" s="8" t="s">
        <v>129</v>
      </c>
      <c r="E102" s="9">
        <v>139.47999999999999</v>
      </c>
    </row>
    <row r="103" spans="1:5" x14ac:dyDescent="0.3">
      <c r="A103" s="2">
        <v>46174</v>
      </c>
      <c r="B103" s="8" t="s">
        <v>131</v>
      </c>
      <c r="C103" s="8" t="s">
        <v>94</v>
      </c>
      <c r="D103" s="8" t="s">
        <v>958</v>
      </c>
      <c r="E103" s="9">
        <v>74.819999999999993</v>
      </c>
    </row>
    <row r="104" spans="1:5" x14ac:dyDescent="0.3">
      <c r="A104" s="2">
        <v>46176</v>
      </c>
      <c r="B104" s="8" t="s">
        <v>131</v>
      </c>
      <c r="C104" s="8" t="s">
        <v>125</v>
      </c>
      <c r="D104" s="8" t="s">
        <v>125</v>
      </c>
      <c r="E104" s="9">
        <v>10000</v>
      </c>
    </row>
    <row r="105" spans="1:5" x14ac:dyDescent="0.3">
      <c r="A105" s="2">
        <v>46176</v>
      </c>
      <c r="B105" s="8" t="s">
        <v>131</v>
      </c>
      <c r="C105" s="8" t="s">
        <v>125</v>
      </c>
      <c r="D105" s="8" t="s">
        <v>125</v>
      </c>
      <c r="E105" s="9">
        <v>2000</v>
      </c>
    </row>
    <row r="106" spans="1:5" x14ac:dyDescent="0.3">
      <c r="A106" s="2">
        <v>46178</v>
      </c>
      <c r="B106" s="8" t="s">
        <v>131</v>
      </c>
      <c r="C106" s="8" t="s">
        <v>857</v>
      </c>
      <c r="D106" s="8" t="s">
        <v>126</v>
      </c>
      <c r="E106" s="9">
        <v>1040</v>
      </c>
    </row>
    <row r="107" spans="1:5" x14ac:dyDescent="0.3">
      <c r="A107" s="2">
        <v>46182</v>
      </c>
      <c r="B107" s="8" t="s">
        <v>131</v>
      </c>
      <c r="C107" s="8" t="s">
        <v>79</v>
      </c>
      <c r="D107" s="8" t="s">
        <v>79</v>
      </c>
      <c r="E107" s="9">
        <v>415.26</v>
      </c>
    </row>
    <row r="108" spans="1:5" x14ac:dyDescent="0.3">
      <c r="A108" s="2">
        <v>46182</v>
      </c>
      <c r="B108" s="8" t="s">
        <v>131</v>
      </c>
      <c r="C108" s="8" t="s">
        <v>79</v>
      </c>
      <c r="D108" s="8" t="s">
        <v>79</v>
      </c>
      <c r="E108" s="9">
        <v>444.67</v>
      </c>
    </row>
    <row r="109" spans="1:5" x14ac:dyDescent="0.3">
      <c r="A109" s="2">
        <v>46182</v>
      </c>
      <c r="B109" s="8" t="s">
        <v>131</v>
      </c>
      <c r="C109" s="8" t="s">
        <v>39</v>
      </c>
      <c r="D109" s="8" t="s">
        <v>64</v>
      </c>
      <c r="E109" s="9">
        <v>258.8</v>
      </c>
    </row>
    <row r="110" spans="1:5" x14ac:dyDescent="0.3">
      <c r="A110" s="2">
        <v>46188</v>
      </c>
      <c r="B110" s="8" t="s">
        <v>131</v>
      </c>
      <c r="C110" s="8" t="s">
        <v>39</v>
      </c>
      <c r="D110" s="8" t="s">
        <v>129</v>
      </c>
      <c r="E110" s="9">
        <v>61.41</v>
      </c>
    </row>
    <row r="111" spans="1:5" x14ac:dyDescent="0.3">
      <c r="A111" s="2">
        <v>46188</v>
      </c>
      <c r="B111" s="8" t="s">
        <v>131</v>
      </c>
      <c r="C111" s="8" t="s">
        <v>39</v>
      </c>
      <c r="D111" s="8" t="s">
        <v>129</v>
      </c>
      <c r="E111" s="9">
        <v>39.9</v>
      </c>
    </row>
    <row r="112" spans="1:5" x14ac:dyDescent="0.3">
      <c r="A112" s="2">
        <v>46203</v>
      </c>
      <c r="B112" s="8" t="s">
        <v>131</v>
      </c>
      <c r="C112" s="8" t="s">
        <v>39</v>
      </c>
      <c r="D112" s="8" t="s">
        <v>129</v>
      </c>
      <c r="E112" s="9">
        <v>61.41</v>
      </c>
    </row>
    <row r="113" spans="1:5" x14ac:dyDescent="0.3">
      <c r="A113" s="2">
        <v>46163</v>
      </c>
      <c r="B113" s="8" t="s">
        <v>137</v>
      </c>
      <c r="C113" s="8" t="s">
        <v>864</v>
      </c>
      <c r="D113" s="8" t="s">
        <v>963</v>
      </c>
      <c r="E113" s="9">
        <v>15600</v>
      </c>
    </row>
    <row r="114" spans="1:5" x14ac:dyDescent="0.3">
      <c r="A114" s="2">
        <v>46108</v>
      </c>
      <c r="B114" s="8" t="s">
        <v>137</v>
      </c>
      <c r="C114" s="8" t="s">
        <v>864</v>
      </c>
      <c r="D114" s="8" t="s">
        <v>865</v>
      </c>
      <c r="E114" s="9">
        <v>1400</v>
      </c>
    </row>
    <row r="115" spans="1:5" x14ac:dyDescent="0.3">
      <c r="A115" s="2">
        <v>46142</v>
      </c>
      <c r="B115" s="8" t="s">
        <v>137</v>
      </c>
      <c r="C115" s="8" t="s">
        <v>864</v>
      </c>
      <c r="D115" s="8" t="s">
        <v>865</v>
      </c>
      <c r="E115" s="9">
        <v>2450</v>
      </c>
    </row>
    <row r="116" spans="1:5" x14ac:dyDescent="0.3">
      <c r="A116" s="2">
        <v>46034</v>
      </c>
      <c r="B116" s="8" t="s">
        <v>137</v>
      </c>
      <c r="C116" s="8" t="s">
        <v>302</v>
      </c>
      <c r="D116" s="8" t="s">
        <v>16</v>
      </c>
      <c r="E116" s="9">
        <v>3000</v>
      </c>
    </row>
    <row r="117" spans="1:5" x14ac:dyDescent="0.3">
      <c r="A117" s="2">
        <v>46068</v>
      </c>
      <c r="B117" s="8" t="s">
        <v>137</v>
      </c>
      <c r="C117" s="8" t="s">
        <v>302</v>
      </c>
      <c r="D117" s="8" t="s">
        <v>16</v>
      </c>
      <c r="E117" s="9">
        <v>3000</v>
      </c>
    </row>
    <row r="118" spans="1:5" x14ac:dyDescent="0.3">
      <c r="A118" s="2">
        <v>46096</v>
      </c>
      <c r="B118" s="8" t="s">
        <v>137</v>
      </c>
      <c r="C118" s="8" t="s">
        <v>302</v>
      </c>
      <c r="D118" s="8" t="s">
        <v>16</v>
      </c>
      <c r="E118" s="9">
        <v>3000</v>
      </c>
    </row>
    <row r="119" spans="1:5" x14ac:dyDescent="0.3">
      <c r="A119" s="2">
        <v>46126</v>
      </c>
      <c r="B119" s="8" t="s">
        <v>137</v>
      </c>
      <c r="C119" s="8" t="s">
        <v>302</v>
      </c>
      <c r="D119" s="8" t="s">
        <v>16</v>
      </c>
      <c r="E119" s="9">
        <v>3000</v>
      </c>
    </row>
    <row r="120" spans="1:5" x14ac:dyDescent="0.3">
      <c r="A120" s="2">
        <v>46157</v>
      </c>
      <c r="B120" s="8" t="s">
        <v>137</v>
      </c>
      <c r="C120" s="8" t="s">
        <v>302</v>
      </c>
      <c r="D120" s="8" t="s">
        <v>16</v>
      </c>
      <c r="E120" s="9">
        <v>3000</v>
      </c>
    </row>
    <row r="121" spans="1:5" x14ac:dyDescent="0.3">
      <c r="A121" s="2">
        <v>46161</v>
      </c>
      <c r="B121" s="8" t="s">
        <v>137</v>
      </c>
      <c r="C121" s="8" t="s">
        <v>851</v>
      </c>
      <c r="D121" s="8" t="s">
        <v>810</v>
      </c>
      <c r="E121" s="9">
        <v>1500</v>
      </c>
    </row>
    <row r="122" spans="1:5" x14ac:dyDescent="0.3">
      <c r="A122" s="2">
        <v>46081</v>
      </c>
      <c r="B122" s="8" t="s">
        <v>137</v>
      </c>
      <c r="C122" s="8" t="s">
        <v>130</v>
      </c>
      <c r="D122" s="8" t="s">
        <v>136</v>
      </c>
      <c r="E122" s="9">
        <v>1407.75</v>
      </c>
    </row>
    <row r="123" spans="1:5" x14ac:dyDescent="0.3">
      <c r="A123" s="2">
        <v>46091</v>
      </c>
      <c r="B123" s="8" t="s">
        <v>137</v>
      </c>
      <c r="C123" s="8" t="s">
        <v>130</v>
      </c>
      <c r="D123" s="8" t="s">
        <v>136</v>
      </c>
      <c r="E123" s="9">
        <v>1407</v>
      </c>
    </row>
    <row r="124" spans="1:5" x14ac:dyDescent="0.3">
      <c r="A124" s="2">
        <v>46126</v>
      </c>
      <c r="B124" s="8" t="s">
        <v>137</v>
      </c>
      <c r="C124" s="8" t="s">
        <v>130</v>
      </c>
      <c r="D124" s="8" t="s">
        <v>136</v>
      </c>
      <c r="E124" s="9">
        <v>1407.75</v>
      </c>
    </row>
    <row r="125" spans="1:5" x14ac:dyDescent="0.3">
      <c r="A125" s="2">
        <v>46152</v>
      </c>
      <c r="B125" s="8" t="s">
        <v>137</v>
      </c>
      <c r="C125" s="8" t="s">
        <v>130</v>
      </c>
      <c r="D125" s="8" t="s">
        <v>136</v>
      </c>
      <c r="E125" s="9">
        <v>1407.75</v>
      </c>
    </row>
    <row r="126" spans="1:5" x14ac:dyDescent="0.3">
      <c r="A126" s="2">
        <v>46063</v>
      </c>
      <c r="B126" s="8" t="s">
        <v>137</v>
      </c>
      <c r="C126" s="8" t="s">
        <v>242</v>
      </c>
      <c r="D126" s="8" t="s">
        <v>243</v>
      </c>
      <c r="E126" s="9">
        <v>240</v>
      </c>
    </row>
    <row r="127" spans="1:5" x14ac:dyDescent="0.3">
      <c r="A127" s="2">
        <v>46126</v>
      </c>
      <c r="B127" s="8" t="s">
        <v>137</v>
      </c>
      <c r="C127" s="8" t="s">
        <v>242</v>
      </c>
      <c r="D127" s="8" t="s">
        <v>860</v>
      </c>
      <c r="E127" s="9">
        <v>600</v>
      </c>
    </row>
    <row r="128" spans="1:5" x14ac:dyDescent="0.3">
      <c r="A128" s="2">
        <v>46142</v>
      </c>
      <c r="B128" s="8" t="s">
        <v>137</v>
      </c>
      <c r="C128" s="8" t="s">
        <v>242</v>
      </c>
      <c r="D128" s="8" t="s">
        <v>860</v>
      </c>
      <c r="E128" s="9">
        <v>900</v>
      </c>
    </row>
    <row r="129" spans="1:5" x14ac:dyDescent="0.3">
      <c r="A129" s="2">
        <v>46084</v>
      </c>
      <c r="B129" s="8" t="s">
        <v>137</v>
      </c>
      <c r="C129" s="8" t="s">
        <v>124</v>
      </c>
      <c r="D129" s="8" t="s">
        <v>303</v>
      </c>
      <c r="E129" s="9">
        <v>4223.25</v>
      </c>
    </row>
    <row r="130" spans="1:5" x14ac:dyDescent="0.3">
      <c r="A130" s="2">
        <v>46114</v>
      </c>
      <c r="B130" s="8" t="s">
        <v>137</v>
      </c>
      <c r="C130" s="8" t="s">
        <v>124</v>
      </c>
      <c r="D130" s="8" t="s">
        <v>303</v>
      </c>
      <c r="E130" s="9">
        <v>4223.25</v>
      </c>
    </row>
    <row r="131" spans="1:5" x14ac:dyDescent="0.3">
      <c r="A131" s="2">
        <v>46147</v>
      </c>
      <c r="B131" s="8" t="s">
        <v>137</v>
      </c>
      <c r="C131" s="8" t="s">
        <v>124</v>
      </c>
      <c r="D131" s="8" t="s">
        <v>303</v>
      </c>
      <c r="E131" s="9">
        <v>4223.25</v>
      </c>
    </row>
    <row r="132" spans="1:5" x14ac:dyDescent="0.3">
      <c r="A132" s="2">
        <v>46063</v>
      </c>
      <c r="B132" s="8" t="s">
        <v>137</v>
      </c>
      <c r="C132" s="8" t="s">
        <v>244</v>
      </c>
      <c r="D132" s="8" t="s">
        <v>220</v>
      </c>
      <c r="E132" s="9">
        <v>750</v>
      </c>
    </row>
    <row r="133" spans="1:5" x14ac:dyDescent="0.3">
      <c r="A133" s="2">
        <v>46150</v>
      </c>
      <c r="B133" s="8" t="s">
        <v>137</v>
      </c>
      <c r="C133" s="8" t="s">
        <v>959</v>
      </c>
      <c r="D133" s="8" t="s">
        <v>960</v>
      </c>
      <c r="E133" s="9">
        <v>23400</v>
      </c>
    </row>
    <row r="134" spans="1:5" x14ac:dyDescent="0.3">
      <c r="A134" s="2">
        <v>46167</v>
      </c>
      <c r="B134" s="8" t="s">
        <v>137</v>
      </c>
      <c r="C134" s="8" t="s">
        <v>959</v>
      </c>
      <c r="D134" s="8" t="s">
        <v>965</v>
      </c>
      <c r="E134" s="9">
        <v>10000</v>
      </c>
    </row>
    <row r="135" spans="1:5" x14ac:dyDescent="0.3">
      <c r="A135" s="2">
        <v>46150</v>
      </c>
      <c r="B135" s="8" t="s">
        <v>137</v>
      </c>
      <c r="C135" s="8" t="s">
        <v>864</v>
      </c>
      <c r="D135" s="8" t="s">
        <v>967</v>
      </c>
      <c r="E135" s="9">
        <v>37500</v>
      </c>
    </row>
    <row r="136" spans="1:5" x14ac:dyDescent="0.3">
      <c r="A136" s="2">
        <v>46167</v>
      </c>
      <c r="B136" s="8" t="s">
        <v>137</v>
      </c>
      <c r="C136" s="8" t="s">
        <v>864</v>
      </c>
      <c r="D136" s="8" t="s">
        <v>966</v>
      </c>
      <c r="E136" s="9">
        <v>22433.37</v>
      </c>
    </row>
    <row r="137" spans="1:5" x14ac:dyDescent="0.3">
      <c r="A137" s="2">
        <v>46181</v>
      </c>
      <c r="B137" s="8" t="s">
        <v>137</v>
      </c>
      <c r="C137" s="8" t="s">
        <v>130</v>
      </c>
      <c r="D137" s="8" t="s">
        <v>136</v>
      </c>
      <c r="E137" s="9">
        <v>1407.75</v>
      </c>
    </row>
    <row r="138" spans="1:5" x14ac:dyDescent="0.3">
      <c r="A138" s="2">
        <v>46183</v>
      </c>
      <c r="B138" s="8" t="s">
        <v>137</v>
      </c>
      <c r="C138" s="8" t="s">
        <v>959</v>
      </c>
      <c r="D138" s="51" t="s">
        <v>1158</v>
      </c>
      <c r="E138" s="9">
        <v>3000</v>
      </c>
    </row>
    <row r="139" spans="1:5" x14ac:dyDescent="0.3">
      <c r="A139" s="2">
        <v>46188</v>
      </c>
      <c r="B139" s="8" t="s">
        <v>137</v>
      </c>
      <c r="C139" s="8" t="s">
        <v>302</v>
      </c>
      <c r="D139" s="8" t="s">
        <v>16</v>
      </c>
      <c r="E139" s="9">
        <v>3000</v>
      </c>
    </row>
    <row r="140" spans="1:5" x14ac:dyDescent="0.3">
      <c r="A140" s="2">
        <v>46189</v>
      </c>
      <c r="B140" s="8" t="s">
        <v>137</v>
      </c>
      <c r="C140" s="8" t="s">
        <v>959</v>
      </c>
      <c r="D140" s="8" t="s">
        <v>965</v>
      </c>
      <c r="E140" s="9">
        <v>10000</v>
      </c>
    </row>
    <row r="141" spans="1:5" x14ac:dyDescent="0.3">
      <c r="A141" s="2">
        <v>46190</v>
      </c>
      <c r="B141" s="8" t="s">
        <v>137</v>
      </c>
      <c r="C141" s="8" t="s">
        <v>959</v>
      </c>
      <c r="D141" s="8" t="s">
        <v>960</v>
      </c>
      <c r="E141" s="9">
        <v>20</v>
      </c>
    </row>
    <row r="142" spans="1:5" x14ac:dyDescent="0.3">
      <c r="A142" s="2">
        <v>46195</v>
      </c>
      <c r="B142" s="8" t="s">
        <v>137</v>
      </c>
      <c r="C142" s="50" t="s">
        <v>242</v>
      </c>
      <c r="D142" s="51" t="s">
        <v>1159</v>
      </c>
      <c r="E142" s="9">
        <v>1100</v>
      </c>
    </row>
    <row r="143" spans="1:5" x14ac:dyDescent="0.3">
      <c r="A143" s="2">
        <v>46041</v>
      </c>
      <c r="B143" s="8" t="s">
        <v>123</v>
      </c>
      <c r="C143" s="8" t="s">
        <v>216</v>
      </c>
      <c r="D143" s="8" t="s">
        <v>867</v>
      </c>
      <c r="E143" s="9">
        <v>47</v>
      </c>
    </row>
    <row r="144" spans="1:5" x14ac:dyDescent="0.3">
      <c r="A144" s="2">
        <v>46043</v>
      </c>
      <c r="B144" s="8" t="s">
        <v>123</v>
      </c>
      <c r="C144" s="8" t="s">
        <v>216</v>
      </c>
      <c r="D144" s="8" t="s">
        <v>867</v>
      </c>
      <c r="E144" s="9">
        <v>5.98</v>
      </c>
    </row>
    <row r="145" spans="1:5" x14ac:dyDescent="0.3">
      <c r="A145" s="2">
        <v>46058</v>
      </c>
      <c r="B145" s="8" t="s">
        <v>123</v>
      </c>
      <c r="C145" s="8" t="s">
        <v>216</v>
      </c>
      <c r="D145" s="8" t="s">
        <v>867</v>
      </c>
      <c r="E145" s="9">
        <v>38.53</v>
      </c>
    </row>
    <row r="146" spans="1:5" x14ac:dyDescent="0.3">
      <c r="A146" s="2">
        <v>46036</v>
      </c>
      <c r="B146" s="8" t="s">
        <v>123</v>
      </c>
      <c r="C146" s="8" t="s">
        <v>216</v>
      </c>
      <c r="D146" s="8" t="s">
        <v>867</v>
      </c>
      <c r="E146" s="9">
        <v>618</v>
      </c>
    </row>
    <row r="147" spans="1:5" x14ac:dyDescent="0.3">
      <c r="A147" s="2">
        <v>46048</v>
      </c>
      <c r="B147" s="8" t="s">
        <v>123</v>
      </c>
      <c r="C147" s="8" t="s">
        <v>216</v>
      </c>
      <c r="D147" s="8" t="s">
        <v>867</v>
      </c>
      <c r="E147" s="9">
        <v>259</v>
      </c>
    </row>
    <row r="148" spans="1:5" x14ac:dyDescent="0.3">
      <c r="A148" s="2">
        <v>46038</v>
      </c>
      <c r="B148" s="8" t="s">
        <v>123</v>
      </c>
      <c r="C148" s="8" t="s">
        <v>216</v>
      </c>
      <c r="D148" s="8" t="s">
        <v>867</v>
      </c>
      <c r="E148" s="9">
        <v>14</v>
      </c>
    </row>
    <row r="149" spans="1:5" x14ac:dyDescent="0.3">
      <c r="A149" s="2">
        <v>46048</v>
      </c>
      <c r="B149" s="8" t="s">
        <v>123</v>
      </c>
      <c r="C149" s="8" t="s">
        <v>216</v>
      </c>
      <c r="D149" s="8" t="s">
        <v>867</v>
      </c>
      <c r="E149" s="9">
        <v>25</v>
      </c>
    </row>
    <row r="150" spans="1:5" x14ac:dyDescent="0.3">
      <c r="A150" s="2">
        <v>46050</v>
      </c>
      <c r="B150" s="8" t="s">
        <v>123</v>
      </c>
      <c r="C150" s="8" t="s">
        <v>216</v>
      </c>
      <c r="D150" s="8" t="s">
        <v>867</v>
      </c>
      <c r="E150" s="9">
        <v>19.8</v>
      </c>
    </row>
    <row r="151" spans="1:5" x14ac:dyDescent="0.3">
      <c r="A151" s="2">
        <v>46048</v>
      </c>
      <c r="B151" s="8" t="s">
        <v>123</v>
      </c>
      <c r="C151" s="8" t="s">
        <v>216</v>
      </c>
      <c r="D151" s="8" t="s">
        <v>867</v>
      </c>
      <c r="E151" s="9">
        <v>34.299999999999997</v>
      </c>
    </row>
    <row r="152" spans="1:5" x14ac:dyDescent="0.3">
      <c r="A152" s="2">
        <v>46028</v>
      </c>
      <c r="B152" s="8" t="s">
        <v>123</v>
      </c>
      <c r="C152" s="8" t="s">
        <v>868</v>
      </c>
      <c r="D152" s="8" t="s">
        <v>135</v>
      </c>
      <c r="E152" s="9">
        <v>55</v>
      </c>
    </row>
    <row r="153" spans="1:5" x14ac:dyDescent="0.3">
      <c r="A153" s="2">
        <v>46028</v>
      </c>
      <c r="B153" s="8" t="s">
        <v>123</v>
      </c>
      <c r="C153" s="8" t="s">
        <v>868</v>
      </c>
      <c r="D153" s="8" t="s">
        <v>135</v>
      </c>
      <c r="E153" s="9">
        <v>25</v>
      </c>
    </row>
    <row r="154" spans="1:5" x14ac:dyDescent="0.3">
      <c r="A154" s="2">
        <v>46064</v>
      </c>
      <c r="B154" s="8" t="s">
        <v>123</v>
      </c>
      <c r="C154" s="8" t="s">
        <v>868</v>
      </c>
      <c r="D154" s="8" t="s">
        <v>135</v>
      </c>
      <c r="E154" s="9">
        <v>145</v>
      </c>
    </row>
    <row r="155" spans="1:5" x14ac:dyDescent="0.3">
      <c r="A155" s="2">
        <v>46101</v>
      </c>
      <c r="B155" s="8" t="s">
        <v>123</v>
      </c>
      <c r="C155" s="8" t="s">
        <v>868</v>
      </c>
      <c r="D155" s="8" t="s">
        <v>135</v>
      </c>
      <c r="E155" s="9">
        <v>25.8</v>
      </c>
    </row>
    <row r="156" spans="1:5" x14ac:dyDescent="0.3">
      <c r="A156" s="2">
        <v>46125</v>
      </c>
      <c r="B156" s="8" t="s">
        <v>123</v>
      </c>
      <c r="C156" s="8" t="s">
        <v>868</v>
      </c>
      <c r="D156" s="8" t="s">
        <v>135</v>
      </c>
      <c r="E156" s="9">
        <v>100</v>
      </c>
    </row>
    <row r="157" spans="1:5" x14ac:dyDescent="0.3">
      <c r="A157" s="2">
        <v>46092</v>
      </c>
      <c r="B157" s="8" t="s">
        <v>123</v>
      </c>
      <c r="C157" s="8" t="s">
        <v>868</v>
      </c>
      <c r="D157" s="8" t="s">
        <v>135</v>
      </c>
      <c r="E157" s="9">
        <v>9.9</v>
      </c>
    </row>
    <row r="158" spans="1:5" x14ac:dyDescent="0.3">
      <c r="A158" s="2">
        <v>46092</v>
      </c>
      <c r="B158" s="8" t="s">
        <v>123</v>
      </c>
      <c r="C158" s="8" t="s">
        <v>868</v>
      </c>
      <c r="D158" s="8" t="s">
        <v>135</v>
      </c>
      <c r="E158" s="9">
        <v>70</v>
      </c>
    </row>
    <row r="159" spans="1:5" x14ac:dyDescent="0.3">
      <c r="A159" s="2">
        <v>46141</v>
      </c>
      <c r="B159" s="8" t="s">
        <v>123</v>
      </c>
      <c r="C159" s="8" t="s">
        <v>868</v>
      </c>
      <c r="D159" s="8" t="s">
        <v>135</v>
      </c>
      <c r="E159" s="9">
        <v>988</v>
      </c>
    </row>
    <row r="160" spans="1:5" x14ac:dyDescent="0.3">
      <c r="A160" s="2">
        <v>46104</v>
      </c>
      <c r="B160" s="8" t="s">
        <v>123</v>
      </c>
      <c r="C160" s="8" t="s">
        <v>868</v>
      </c>
      <c r="D160" s="8" t="s">
        <v>135</v>
      </c>
      <c r="E160" s="9">
        <v>131.81</v>
      </c>
    </row>
    <row r="161" spans="1:5" x14ac:dyDescent="0.3">
      <c r="A161" s="2">
        <v>46078</v>
      </c>
      <c r="B161" s="8" t="s">
        <v>123</v>
      </c>
      <c r="C161" s="8" t="s">
        <v>868</v>
      </c>
      <c r="D161" s="8" t="s">
        <v>135</v>
      </c>
      <c r="E161" s="9">
        <v>17.100000000000001</v>
      </c>
    </row>
    <row r="162" spans="1:5" x14ac:dyDescent="0.3">
      <c r="A162" s="2">
        <v>46056</v>
      </c>
      <c r="B162" s="8" t="s">
        <v>123</v>
      </c>
      <c r="C162" s="8" t="s">
        <v>868</v>
      </c>
      <c r="D162" s="8" t="s">
        <v>135</v>
      </c>
      <c r="E162" s="9">
        <v>25</v>
      </c>
    </row>
    <row r="163" spans="1:5" x14ac:dyDescent="0.3">
      <c r="A163" s="2">
        <v>46037</v>
      </c>
      <c r="B163" s="8" t="s">
        <v>123</v>
      </c>
      <c r="C163" s="8" t="s">
        <v>868</v>
      </c>
      <c r="D163" s="8" t="s">
        <v>135</v>
      </c>
      <c r="E163" s="9">
        <v>392.8</v>
      </c>
    </row>
    <row r="164" spans="1:5" x14ac:dyDescent="0.3">
      <c r="A164" s="2">
        <v>46042</v>
      </c>
      <c r="B164" s="8" t="s">
        <v>123</v>
      </c>
      <c r="C164" s="8" t="s">
        <v>868</v>
      </c>
      <c r="D164" s="8" t="s">
        <v>135</v>
      </c>
      <c r="E164" s="9">
        <v>158.88999999999999</v>
      </c>
    </row>
    <row r="165" spans="1:5" x14ac:dyDescent="0.3">
      <c r="A165" s="2">
        <v>46043</v>
      </c>
      <c r="B165" s="8" t="s">
        <v>123</v>
      </c>
      <c r="C165" s="8" t="s">
        <v>868</v>
      </c>
      <c r="D165" s="8" t="s">
        <v>135</v>
      </c>
      <c r="E165" s="9">
        <v>78.319999999999993</v>
      </c>
    </row>
    <row r="166" spans="1:5" x14ac:dyDescent="0.3">
      <c r="A166" s="2">
        <v>46108</v>
      </c>
      <c r="B166" s="8" t="s">
        <v>123</v>
      </c>
      <c r="C166" s="8" t="s">
        <v>868</v>
      </c>
      <c r="D166" s="8" t="s">
        <v>135</v>
      </c>
      <c r="E166" s="9">
        <v>261.60000000000002</v>
      </c>
    </row>
    <row r="167" spans="1:5" x14ac:dyDescent="0.3">
      <c r="A167" s="2">
        <v>46058</v>
      </c>
      <c r="B167" s="8" t="s">
        <v>123</v>
      </c>
      <c r="C167" s="8" t="s">
        <v>868</v>
      </c>
      <c r="D167" s="8" t="s">
        <v>135</v>
      </c>
      <c r="E167" s="9">
        <v>113.7</v>
      </c>
    </row>
    <row r="168" spans="1:5" x14ac:dyDescent="0.3">
      <c r="A168" s="2">
        <v>46065</v>
      </c>
      <c r="B168" s="8" t="s">
        <v>123</v>
      </c>
      <c r="C168" s="8" t="s">
        <v>868</v>
      </c>
      <c r="D168" s="8" t="s">
        <v>135</v>
      </c>
      <c r="E168" s="9">
        <v>26.6</v>
      </c>
    </row>
    <row r="169" spans="1:5" x14ac:dyDescent="0.3">
      <c r="A169" s="2">
        <v>46118</v>
      </c>
      <c r="B169" s="8" t="s">
        <v>123</v>
      </c>
      <c r="C169" s="8" t="s">
        <v>868</v>
      </c>
      <c r="D169" s="8" t="s">
        <v>135</v>
      </c>
      <c r="E169" s="9">
        <v>194.67</v>
      </c>
    </row>
    <row r="170" spans="1:5" x14ac:dyDescent="0.3">
      <c r="A170" s="2">
        <v>46118</v>
      </c>
      <c r="B170" s="8" t="s">
        <v>123</v>
      </c>
      <c r="C170" s="8" t="s">
        <v>868</v>
      </c>
      <c r="D170" s="8" t="s">
        <v>135</v>
      </c>
      <c r="E170" s="9">
        <f>839.76-437</f>
        <v>402.76</v>
      </c>
    </row>
    <row r="171" spans="1:5" x14ac:dyDescent="0.3">
      <c r="A171" s="2">
        <v>46052</v>
      </c>
      <c r="B171" s="8" t="s">
        <v>123</v>
      </c>
      <c r="C171" s="8" t="s">
        <v>868</v>
      </c>
      <c r="D171" s="8" t="s">
        <v>135</v>
      </c>
      <c r="E171" s="9">
        <v>883.3</v>
      </c>
    </row>
    <row r="172" spans="1:5" x14ac:dyDescent="0.3">
      <c r="A172" s="2">
        <v>46080</v>
      </c>
      <c r="B172" s="8" t="s">
        <v>123</v>
      </c>
      <c r="C172" s="8" t="s">
        <v>868</v>
      </c>
      <c r="D172" s="8" t="s">
        <v>135</v>
      </c>
      <c r="E172" s="9">
        <v>3429.02</v>
      </c>
    </row>
    <row r="173" spans="1:5" x14ac:dyDescent="0.3">
      <c r="A173" s="2">
        <v>46065</v>
      </c>
      <c r="B173" s="8" t="s">
        <v>123</v>
      </c>
      <c r="C173" s="8" t="s">
        <v>868</v>
      </c>
      <c r="D173" s="8" t="s">
        <v>135</v>
      </c>
      <c r="E173" s="9">
        <v>30</v>
      </c>
    </row>
    <row r="174" spans="1:5" x14ac:dyDescent="0.3">
      <c r="A174" s="2">
        <v>46136</v>
      </c>
      <c r="B174" s="8" t="s">
        <v>123</v>
      </c>
      <c r="C174" s="8" t="s">
        <v>868</v>
      </c>
      <c r="D174" s="8" t="s">
        <v>135</v>
      </c>
      <c r="E174" s="9">
        <v>116.49</v>
      </c>
    </row>
    <row r="175" spans="1:5" x14ac:dyDescent="0.3">
      <c r="A175" s="2">
        <v>46078</v>
      </c>
      <c r="B175" s="8" t="s">
        <v>123</v>
      </c>
      <c r="C175" s="8" t="s">
        <v>868</v>
      </c>
      <c r="D175" s="8" t="s">
        <v>135</v>
      </c>
      <c r="E175" s="9">
        <v>7.99</v>
      </c>
    </row>
    <row r="176" spans="1:5" x14ac:dyDescent="0.3">
      <c r="A176" s="2">
        <v>46150</v>
      </c>
      <c r="B176" s="8" t="s">
        <v>123</v>
      </c>
      <c r="C176" s="8" t="s">
        <v>868</v>
      </c>
      <c r="D176" s="8" t="s">
        <v>135</v>
      </c>
      <c r="E176" s="9">
        <v>19.989999999999998</v>
      </c>
    </row>
    <row r="177" spans="1:5" x14ac:dyDescent="0.3">
      <c r="A177" s="2">
        <v>46050</v>
      </c>
      <c r="B177" s="8" t="s">
        <v>123</v>
      </c>
      <c r="C177" s="8" t="s">
        <v>868</v>
      </c>
      <c r="D177" s="8" t="s">
        <v>135</v>
      </c>
      <c r="E177" s="9">
        <v>35</v>
      </c>
    </row>
    <row r="178" spans="1:5" x14ac:dyDescent="0.3">
      <c r="A178" s="2">
        <v>46056</v>
      </c>
      <c r="B178" s="8" t="s">
        <v>123</v>
      </c>
      <c r="C178" s="8" t="s">
        <v>868</v>
      </c>
      <c r="D178" s="8" t="s">
        <v>135</v>
      </c>
      <c r="E178" s="9">
        <v>132.6</v>
      </c>
    </row>
    <row r="179" spans="1:5" x14ac:dyDescent="0.3">
      <c r="A179" s="2">
        <v>46147</v>
      </c>
      <c r="B179" s="8" t="s">
        <v>123</v>
      </c>
      <c r="C179" s="8" t="s">
        <v>868</v>
      </c>
      <c r="D179" s="8" t="s">
        <v>135</v>
      </c>
      <c r="E179" s="9">
        <v>358.9</v>
      </c>
    </row>
    <row r="180" spans="1:5" x14ac:dyDescent="0.3">
      <c r="A180" s="2">
        <v>46150</v>
      </c>
      <c r="B180" s="8" t="s">
        <v>123</v>
      </c>
      <c r="C180" s="8" t="s">
        <v>868</v>
      </c>
      <c r="D180" s="8" t="s">
        <v>135</v>
      </c>
      <c r="E180" s="9">
        <v>67.599999999999994</v>
      </c>
    </row>
    <row r="181" spans="1:5" x14ac:dyDescent="0.3">
      <c r="A181" s="2">
        <v>46176</v>
      </c>
      <c r="B181" s="8" t="s">
        <v>123</v>
      </c>
      <c r="C181" s="8" t="s">
        <v>868</v>
      </c>
      <c r="D181" s="8" t="s">
        <v>135</v>
      </c>
      <c r="E181" s="9">
        <v>38.5</v>
      </c>
    </row>
    <row r="182" spans="1:5" x14ac:dyDescent="0.3">
      <c r="A182" s="2">
        <v>46203</v>
      </c>
      <c r="B182" s="8" t="s">
        <v>123</v>
      </c>
      <c r="C182" s="8" t="s">
        <v>868</v>
      </c>
      <c r="D182" s="51" t="s">
        <v>1162</v>
      </c>
      <c r="E182" s="9">
        <v>230.99</v>
      </c>
    </row>
    <row r="183" spans="1:5" x14ac:dyDescent="0.3">
      <c r="A183" s="2">
        <v>46101</v>
      </c>
      <c r="B183" s="8" t="s">
        <v>143</v>
      </c>
      <c r="C183" s="8" t="s">
        <v>128</v>
      </c>
      <c r="D183" s="8" t="s">
        <v>145</v>
      </c>
      <c r="E183" s="9">
        <v>250.91</v>
      </c>
    </row>
    <row r="184" spans="1:5" x14ac:dyDescent="0.3">
      <c r="A184" s="2">
        <v>46101</v>
      </c>
      <c r="B184" s="8" t="s">
        <v>143</v>
      </c>
      <c r="C184" s="8" t="s">
        <v>863</v>
      </c>
      <c r="D184" s="8" t="s">
        <v>144</v>
      </c>
      <c r="E184" s="9">
        <v>1014.75</v>
      </c>
    </row>
    <row r="185" spans="1:5" x14ac:dyDescent="0.3">
      <c r="A185" s="2">
        <v>46167</v>
      </c>
      <c r="B185" s="8" t="s">
        <v>143</v>
      </c>
      <c r="C185" s="8" t="s">
        <v>863</v>
      </c>
      <c r="D185" s="8" t="s">
        <v>144</v>
      </c>
      <c r="E185" s="9">
        <v>187.54</v>
      </c>
    </row>
    <row r="186" spans="1:5" x14ac:dyDescent="0.3">
      <c r="A186" s="2">
        <v>46041</v>
      </c>
      <c r="B186" s="8" t="s">
        <v>143</v>
      </c>
      <c r="C186" s="8" t="s">
        <v>127</v>
      </c>
      <c r="D186" s="8" t="s">
        <v>144</v>
      </c>
      <c r="E186" s="9">
        <v>27.97</v>
      </c>
    </row>
    <row r="187" spans="1:5" x14ac:dyDescent="0.3">
      <c r="A187" s="2">
        <v>46101</v>
      </c>
      <c r="B187" s="8" t="s">
        <v>143</v>
      </c>
      <c r="C187" s="8" t="s">
        <v>127</v>
      </c>
      <c r="D187" s="8" t="s">
        <v>144</v>
      </c>
      <c r="E187" s="9">
        <v>33.270000000000003</v>
      </c>
    </row>
    <row r="188" spans="1:5" x14ac:dyDescent="0.3">
      <c r="A188" s="2">
        <v>46192</v>
      </c>
      <c r="B188" s="8" t="s">
        <v>143</v>
      </c>
      <c r="C188" s="8" t="s">
        <v>863</v>
      </c>
      <c r="D188" s="8" t="s">
        <v>144</v>
      </c>
      <c r="E188" s="9">
        <v>9124.27</v>
      </c>
    </row>
    <row r="189" spans="1:5" x14ac:dyDescent="0.3">
      <c r="A189" s="2">
        <v>46197</v>
      </c>
      <c r="B189" s="8" t="s">
        <v>143</v>
      </c>
      <c r="C189" s="50" t="s">
        <v>1160</v>
      </c>
      <c r="D189" s="51" t="s">
        <v>1161</v>
      </c>
      <c r="E189" s="9">
        <v>526.85</v>
      </c>
    </row>
    <row r="190" spans="1:5" x14ac:dyDescent="0.3">
      <c r="A190" s="2">
        <v>46077</v>
      </c>
      <c r="B190" s="8" t="s">
        <v>134</v>
      </c>
      <c r="C190" s="8" t="s">
        <v>453</v>
      </c>
      <c r="D190" s="8" t="s">
        <v>455</v>
      </c>
      <c r="E190" s="9">
        <v>12</v>
      </c>
    </row>
    <row r="191" spans="1:5" x14ac:dyDescent="0.3">
      <c r="A191" s="2">
        <v>46078</v>
      </c>
      <c r="B191" s="8" t="s">
        <v>134</v>
      </c>
      <c r="C191" s="8" t="s">
        <v>453</v>
      </c>
      <c r="D191" s="8" t="s">
        <v>455</v>
      </c>
      <c r="E191" s="9">
        <v>43.5</v>
      </c>
    </row>
    <row r="192" spans="1:5" x14ac:dyDescent="0.3">
      <c r="A192" s="2">
        <v>46057</v>
      </c>
      <c r="B192" s="8" t="s">
        <v>134</v>
      </c>
      <c r="C192" s="8" t="s">
        <v>374</v>
      </c>
      <c r="D192" s="8" t="s">
        <v>450</v>
      </c>
      <c r="E192" s="9">
        <v>4802.8599999999997</v>
      </c>
    </row>
    <row r="193" spans="1:5" x14ac:dyDescent="0.3">
      <c r="A193" s="2">
        <v>46065</v>
      </c>
      <c r="B193" s="8" t="s">
        <v>134</v>
      </c>
      <c r="C193" s="8" t="s">
        <v>374</v>
      </c>
      <c r="D193" s="8" t="s">
        <v>450</v>
      </c>
      <c r="E193" s="9">
        <v>1321.29</v>
      </c>
    </row>
    <row r="194" spans="1:5" x14ac:dyDescent="0.3">
      <c r="A194" s="2">
        <v>46096</v>
      </c>
      <c r="B194" s="8" t="s">
        <v>134</v>
      </c>
      <c r="C194" s="8" t="s">
        <v>141</v>
      </c>
      <c r="D194" s="8" t="s">
        <v>142</v>
      </c>
      <c r="E194" s="9">
        <v>2387.17</v>
      </c>
    </row>
    <row r="195" spans="1:5" x14ac:dyDescent="0.3">
      <c r="A195" s="2">
        <v>46140</v>
      </c>
      <c r="B195" s="8" t="s">
        <v>134</v>
      </c>
      <c r="C195" s="8" t="s">
        <v>141</v>
      </c>
      <c r="D195" s="8" t="s">
        <v>142</v>
      </c>
      <c r="E195" s="9">
        <v>4426.82</v>
      </c>
    </row>
    <row r="196" spans="1:5" x14ac:dyDescent="0.3">
      <c r="A196" s="2">
        <v>46127</v>
      </c>
      <c r="B196" s="8" t="s">
        <v>134</v>
      </c>
      <c r="C196" s="8" t="s">
        <v>850</v>
      </c>
      <c r="D196" s="8" t="s">
        <v>57</v>
      </c>
      <c r="E196" s="9">
        <v>166.59</v>
      </c>
    </row>
    <row r="197" spans="1:5" x14ac:dyDescent="0.3">
      <c r="A197" s="2">
        <v>46125</v>
      </c>
      <c r="B197" s="8" t="s">
        <v>134</v>
      </c>
      <c r="C197" s="8" t="s">
        <v>672</v>
      </c>
      <c r="D197" s="8" t="s">
        <v>455</v>
      </c>
      <c r="E197" s="9">
        <v>953.42</v>
      </c>
    </row>
    <row r="198" spans="1:5" x14ac:dyDescent="0.3">
      <c r="A198" s="2">
        <v>46128</v>
      </c>
      <c r="B198" s="8" t="s">
        <v>134</v>
      </c>
      <c r="C198" s="8" t="s">
        <v>671</v>
      </c>
      <c r="D198" s="8" t="s">
        <v>57</v>
      </c>
      <c r="E198" s="9">
        <v>379.68</v>
      </c>
    </row>
    <row r="199" spans="1:5" x14ac:dyDescent="0.3">
      <c r="A199" s="2">
        <v>46082</v>
      </c>
      <c r="B199" s="8" t="s">
        <v>134</v>
      </c>
      <c r="C199" s="8" t="s">
        <v>520</v>
      </c>
      <c r="D199" s="8" t="s">
        <v>527</v>
      </c>
      <c r="E199" s="9">
        <v>4888.28</v>
      </c>
    </row>
    <row r="200" spans="1:5" x14ac:dyDescent="0.3">
      <c r="A200" s="2">
        <v>46063</v>
      </c>
      <c r="B200" s="8" t="s">
        <v>134</v>
      </c>
      <c r="C200" s="8" t="s">
        <v>672</v>
      </c>
      <c r="D200" s="8" t="s">
        <v>455</v>
      </c>
      <c r="E200" s="9">
        <v>516.65</v>
      </c>
    </row>
    <row r="201" spans="1:5" x14ac:dyDescent="0.3">
      <c r="A201" s="2">
        <v>46073</v>
      </c>
      <c r="B201" s="8" t="s">
        <v>134</v>
      </c>
      <c r="C201" s="8" t="s">
        <v>449</v>
      </c>
      <c r="D201" s="8" t="s">
        <v>450</v>
      </c>
      <c r="E201" s="9">
        <v>6005.05</v>
      </c>
    </row>
    <row r="202" spans="1:5" x14ac:dyDescent="0.3">
      <c r="A202" s="2">
        <v>46080</v>
      </c>
      <c r="B202" s="8" t="s">
        <v>134</v>
      </c>
      <c r="C202" s="8" t="s">
        <v>449</v>
      </c>
      <c r="D202" s="8" t="s">
        <v>450</v>
      </c>
      <c r="E202" s="9">
        <v>2913.88</v>
      </c>
    </row>
    <row r="203" spans="1:5" x14ac:dyDescent="0.3">
      <c r="A203" s="2">
        <v>46078</v>
      </c>
      <c r="B203" s="8" t="s">
        <v>134</v>
      </c>
      <c r="C203" s="8" t="s">
        <v>456</v>
      </c>
      <c r="D203" s="8" t="s">
        <v>455</v>
      </c>
      <c r="E203" s="9">
        <v>144</v>
      </c>
    </row>
    <row r="204" spans="1:5" x14ac:dyDescent="0.3">
      <c r="A204" s="2">
        <v>46077</v>
      </c>
      <c r="B204" s="8" t="s">
        <v>134</v>
      </c>
      <c r="C204" s="8" t="s">
        <v>451</v>
      </c>
      <c r="D204" s="8" t="s">
        <v>455</v>
      </c>
      <c r="E204" s="9">
        <v>11.8</v>
      </c>
    </row>
    <row r="205" spans="1:5" x14ac:dyDescent="0.3">
      <c r="A205" s="2">
        <v>46077</v>
      </c>
      <c r="B205" s="8" t="s">
        <v>134</v>
      </c>
      <c r="C205" s="8" t="s">
        <v>412</v>
      </c>
      <c r="D205" s="8" t="s">
        <v>455</v>
      </c>
      <c r="E205" s="9">
        <v>224</v>
      </c>
    </row>
    <row r="206" spans="1:5" x14ac:dyDescent="0.3">
      <c r="A206" s="2">
        <v>46077</v>
      </c>
      <c r="B206" s="8" t="s">
        <v>134</v>
      </c>
      <c r="C206" s="8" t="s">
        <v>412</v>
      </c>
      <c r="D206" s="8" t="s">
        <v>455</v>
      </c>
      <c r="E206" s="9">
        <v>5</v>
      </c>
    </row>
    <row r="207" spans="1:5" x14ac:dyDescent="0.3">
      <c r="A207" s="2">
        <v>46077</v>
      </c>
      <c r="B207" s="8" t="s">
        <v>134</v>
      </c>
      <c r="C207" s="8" t="s">
        <v>454</v>
      </c>
      <c r="D207" s="8" t="s">
        <v>455</v>
      </c>
      <c r="E207" s="9">
        <v>73.7</v>
      </c>
    </row>
    <row r="208" spans="1:5" x14ac:dyDescent="0.3">
      <c r="A208" s="2">
        <v>46077</v>
      </c>
      <c r="B208" s="8" t="s">
        <v>134</v>
      </c>
      <c r="C208" s="8" t="s">
        <v>452</v>
      </c>
      <c r="D208" s="8" t="s">
        <v>455</v>
      </c>
      <c r="E208" s="9">
        <v>12.9</v>
      </c>
    </row>
    <row r="211" spans="1:5" x14ac:dyDescent="0.3">
      <c r="A211" s="2">
        <v>46086</v>
      </c>
      <c r="B211" s="8" t="s">
        <v>138</v>
      </c>
      <c r="C211" s="8" t="s">
        <v>641</v>
      </c>
      <c r="D211" s="8" t="s">
        <v>139</v>
      </c>
      <c r="E211" s="9">
        <v>-50000</v>
      </c>
    </row>
    <row r="212" spans="1:5" x14ac:dyDescent="0.3">
      <c r="A212" s="2">
        <v>46087</v>
      </c>
      <c r="B212" s="8" t="s">
        <v>138</v>
      </c>
      <c r="C212" s="8" t="s">
        <v>641</v>
      </c>
      <c r="D212" s="8" t="s">
        <v>139</v>
      </c>
      <c r="E212" s="9">
        <v>-50000</v>
      </c>
    </row>
    <row r="213" spans="1:5" x14ac:dyDescent="0.3">
      <c r="A213" s="2">
        <v>46091</v>
      </c>
      <c r="B213" s="8" t="s">
        <v>138</v>
      </c>
      <c r="C213" s="8" t="s">
        <v>641</v>
      </c>
      <c r="D213" s="8" t="s">
        <v>139</v>
      </c>
      <c r="E213" s="9">
        <v>-50000</v>
      </c>
    </row>
    <row r="214" spans="1:5" x14ac:dyDescent="0.3">
      <c r="A214" s="2">
        <v>46149</v>
      </c>
      <c r="B214" s="8" t="s">
        <v>138</v>
      </c>
      <c r="C214" s="8" t="s">
        <v>641</v>
      </c>
      <c r="D214" s="8" t="s">
        <v>139</v>
      </c>
      <c r="E214" s="9">
        <v>-360000</v>
      </c>
    </row>
  </sheetData>
  <autoFilter ref="A1:E98" xr:uid="{C21FB62E-580B-42C5-9887-BBED3C63FB19}">
    <sortState xmlns:xlrd2="http://schemas.microsoft.com/office/spreadsheetml/2017/richdata2" ref="A2:E208">
      <sortCondition ref="B1:B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ORDINARIOS</vt:lpstr>
      <vt:lpstr>EXTRAORDINARIOS</vt:lpstr>
      <vt:lpstr>BIOENERGIA</vt:lpstr>
      <vt:lpstr>Base Ordinarios</vt:lpstr>
      <vt:lpstr>Base Extraordinarios</vt:lpstr>
      <vt:lpstr>Base Bioenergia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Funes</dc:creator>
  <cp:lastModifiedBy>Emy Funes</cp:lastModifiedBy>
  <dcterms:created xsi:type="dcterms:W3CDTF">2026-03-30T12:32:00Z</dcterms:created>
  <dcterms:modified xsi:type="dcterms:W3CDTF">2026-07-13T20:22:36Z</dcterms:modified>
</cp:coreProperties>
</file>